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FDDB9F42-0C1C-4753-A82B-1AB4FF63830B}" xr6:coauthVersionLast="47" xr6:coauthVersionMax="47" xr10:uidLastSave="{00000000-0000-0000-0000-000000000000}"/>
  <bookViews>
    <workbookView xWindow="-120" yWindow="-120" windowWidth="29040" windowHeight="15720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Equipement" sheetId="14" r:id="rId7"/>
    <sheet name="Stars" sheetId="13" r:id="rId8"/>
    <sheet name="Tests" sheetId="5" r:id="rId9"/>
    <sheet name="CSV tableaux" sheetId="9" r:id="rId10"/>
    <sheet name="Tests Concat" sheetId="12" r:id="rId11"/>
  </sheets>
  <definedNames>
    <definedName name="_xlnm._FilterDatabase" localSheetId="0" hidden="1">Palmon!$B$2:$G$51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Palmon!$C$50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Palmon!$B$3:$AK$47</definedName>
    <definedName name="PalmonListCols">Palmon!$B$2:$I$2</definedName>
    <definedName name="PalmonListWIthHeaders">Palmon!$B$2:$O$47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_xlfn._xlws.SORT(Palmon!$B$3:$B$47)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_xlfn._xlws.SORT(_xlfn._xlws.FILTER(Palmon!$B$3:$B$47,Palmon!$G$3:$G$47&gt;0))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7" i="2" l="1"/>
  <c r="AF38" i="2"/>
  <c r="A6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C6" i="11"/>
  <c r="AD6" i="11"/>
  <c r="AE6" i="11"/>
  <c r="AF6" i="11"/>
  <c r="AG6" i="11"/>
  <c r="AH6" i="11"/>
  <c r="AI6" i="11"/>
  <c r="AJ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C7" i="11"/>
  <c r="AD7" i="11"/>
  <c r="AE7" i="11"/>
  <c r="AF7" i="11"/>
  <c r="AG7" i="11"/>
  <c r="AH7" i="11"/>
  <c r="AI7" i="11"/>
  <c r="AJ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C8" i="11"/>
  <c r="AD8" i="11"/>
  <c r="AE8" i="11"/>
  <c r="AF8" i="11"/>
  <c r="AG8" i="11"/>
  <c r="AH8" i="11"/>
  <c r="AI8" i="11"/>
  <c r="AJ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C9" i="11"/>
  <c r="AD9" i="11"/>
  <c r="AE9" i="11"/>
  <c r="AF9" i="11"/>
  <c r="AG9" i="11"/>
  <c r="AH9" i="11"/>
  <c r="AI9" i="11"/>
  <c r="AJ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C10" i="11"/>
  <c r="AD10" i="11"/>
  <c r="AE10" i="11"/>
  <c r="AF10" i="11"/>
  <c r="AG10" i="11"/>
  <c r="AH10" i="11"/>
  <c r="AI10" i="11"/>
  <c r="AJ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C11" i="11"/>
  <c r="AD11" i="11"/>
  <c r="AE11" i="11"/>
  <c r="AF11" i="11"/>
  <c r="AG11" i="11"/>
  <c r="AH11" i="11"/>
  <c r="AI11" i="11"/>
  <c r="AJ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C12" i="11"/>
  <c r="AD12" i="11"/>
  <c r="AE12" i="11"/>
  <c r="AF12" i="11"/>
  <c r="AG12" i="11"/>
  <c r="AH12" i="11"/>
  <c r="AI12" i="11"/>
  <c r="AJ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C13" i="11"/>
  <c r="AD13" i="11"/>
  <c r="AE13" i="11"/>
  <c r="AF13" i="11"/>
  <c r="AG13" i="11"/>
  <c r="AH13" i="11"/>
  <c r="AI13" i="11"/>
  <c r="AJ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C14" i="11"/>
  <c r="AD14" i="11"/>
  <c r="AE14" i="11"/>
  <c r="AF14" i="11"/>
  <c r="AG14" i="11"/>
  <c r="AH14" i="11"/>
  <c r="AI14" i="11"/>
  <c r="AJ14" i="11"/>
  <c r="A15" i="11"/>
  <c r="B15" i="11"/>
  <c r="C15" i="11"/>
  <c r="D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Y15" i="11"/>
  <c r="AC15" i="11"/>
  <c r="AD15" i="11"/>
  <c r="AE15" i="11"/>
  <c r="AF15" i="11"/>
  <c r="AG15" i="11"/>
  <c r="AH15" i="11"/>
  <c r="AI15" i="11"/>
  <c r="AJ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C16" i="11"/>
  <c r="AD16" i="11"/>
  <c r="AE16" i="11"/>
  <c r="AF16" i="11"/>
  <c r="AG16" i="11"/>
  <c r="AH16" i="11"/>
  <c r="AI16" i="11"/>
  <c r="AJ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C17" i="11"/>
  <c r="AD17" i="11"/>
  <c r="AE17" i="11"/>
  <c r="AF17" i="11"/>
  <c r="AG17" i="11"/>
  <c r="AH17" i="11"/>
  <c r="AI17" i="11"/>
  <c r="AJ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C18" i="11"/>
  <c r="AD18" i="11"/>
  <c r="AE18" i="11"/>
  <c r="AF18" i="11"/>
  <c r="AG18" i="11"/>
  <c r="AH18" i="11"/>
  <c r="AI18" i="11"/>
  <c r="AJ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C19" i="11"/>
  <c r="AD19" i="11"/>
  <c r="AE19" i="11"/>
  <c r="AF19" i="11"/>
  <c r="AG19" i="11"/>
  <c r="AH19" i="11"/>
  <c r="AI19" i="11"/>
  <c r="AJ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C20" i="11"/>
  <c r="AD20" i="11"/>
  <c r="AE20" i="11"/>
  <c r="AF20" i="11"/>
  <c r="AG20" i="11"/>
  <c r="AH20" i="11"/>
  <c r="AI20" i="11"/>
  <c r="AJ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C21" i="11"/>
  <c r="AD21" i="11"/>
  <c r="AE21" i="11"/>
  <c r="AF21" i="11"/>
  <c r="AG21" i="11"/>
  <c r="AH21" i="11"/>
  <c r="AI21" i="11"/>
  <c r="AJ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C22" i="11"/>
  <c r="AD22" i="11"/>
  <c r="AE22" i="11"/>
  <c r="AF22" i="11"/>
  <c r="AG22" i="11"/>
  <c r="AH22" i="11"/>
  <c r="AI22" i="11"/>
  <c r="AJ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C23" i="11"/>
  <c r="AD23" i="11"/>
  <c r="AE23" i="11"/>
  <c r="AF23" i="11"/>
  <c r="AG23" i="11"/>
  <c r="AH23" i="11"/>
  <c r="AI23" i="11"/>
  <c r="AJ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C24" i="11"/>
  <c r="AD24" i="11"/>
  <c r="AE24" i="11"/>
  <c r="AF24" i="11"/>
  <c r="AG24" i="11"/>
  <c r="AH24" i="11"/>
  <c r="AI24" i="11"/>
  <c r="AJ24" i="11"/>
  <c r="A25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C25" i="11"/>
  <c r="AD25" i="11"/>
  <c r="AE25" i="11"/>
  <c r="AF25" i="11"/>
  <c r="AG25" i="11"/>
  <c r="AH25" i="11"/>
  <c r="AI25" i="11"/>
  <c r="AJ25" i="11"/>
  <c r="A26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C26" i="11"/>
  <c r="AD26" i="11"/>
  <c r="AE26" i="11"/>
  <c r="AF26" i="11"/>
  <c r="AG26" i="11"/>
  <c r="AH26" i="11"/>
  <c r="AI26" i="11"/>
  <c r="AJ26" i="11"/>
  <c r="A27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C27" i="11"/>
  <c r="AD27" i="11"/>
  <c r="AE27" i="11"/>
  <c r="AF27" i="11"/>
  <c r="AG27" i="11"/>
  <c r="AH27" i="11"/>
  <c r="AI27" i="11"/>
  <c r="AJ27" i="11"/>
  <c r="A28" i="11"/>
  <c r="B28" i="11"/>
  <c r="C28" i="11"/>
  <c r="D28" i="11"/>
  <c r="E28" i="11"/>
  <c r="G28" i="11"/>
  <c r="H28" i="11"/>
  <c r="I28" i="11"/>
  <c r="J28" i="11"/>
  <c r="K28" i="11"/>
  <c r="N28" i="11"/>
  <c r="V28" i="11"/>
  <c r="W28" i="11"/>
  <c r="X28" i="11"/>
  <c r="Y28" i="11"/>
  <c r="AC28" i="11"/>
  <c r="AD28" i="11"/>
  <c r="AE28" i="11"/>
  <c r="AF28" i="11"/>
  <c r="AG28" i="11"/>
  <c r="AH28" i="11"/>
  <c r="AI28" i="11"/>
  <c r="AJ28" i="11"/>
  <c r="A29" i="11"/>
  <c r="B29" i="11"/>
  <c r="C29" i="11"/>
  <c r="D29" i="11"/>
  <c r="E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U29" i="11"/>
  <c r="V29" i="11"/>
  <c r="W29" i="11"/>
  <c r="X29" i="11"/>
  <c r="Y29" i="11"/>
  <c r="Z29" i="11"/>
  <c r="AC29" i="11"/>
  <c r="AD29" i="11"/>
  <c r="AE29" i="11"/>
  <c r="AF29" i="11"/>
  <c r="AG29" i="11"/>
  <c r="AH29" i="11"/>
  <c r="AI29" i="11"/>
  <c r="AJ29" i="11"/>
  <c r="A30" i="11"/>
  <c r="B30" i="11"/>
  <c r="C30" i="11"/>
  <c r="D30" i="11"/>
  <c r="E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U30" i="11"/>
  <c r="V30" i="11"/>
  <c r="W30" i="11"/>
  <c r="X30" i="11"/>
  <c r="Y30" i="11"/>
  <c r="Z30" i="11"/>
  <c r="AC30" i="11"/>
  <c r="AD30" i="11"/>
  <c r="AE30" i="11"/>
  <c r="AF30" i="11"/>
  <c r="AG30" i="11"/>
  <c r="AH30" i="11"/>
  <c r="AI30" i="11"/>
  <c r="AJ30" i="11"/>
  <c r="A31" i="11"/>
  <c r="B31" i="11"/>
  <c r="C31" i="11"/>
  <c r="D31" i="11"/>
  <c r="E31" i="11"/>
  <c r="F31" i="11"/>
  <c r="G31" i="11"/>
  <c r="H31" i="11"/>
  <c r="I31" i="11"/>
  <c r="J31" i="11"/>
  <c r="K31" i="11"/>
  <c r="L31" i="11"/>
  <c r="M31" i="11"/>
  <c r="N31" i="11"/>
  <c r="O31" i="11"/>
  <c r="P31" i="11"/>
  <c r="Q31" i="11"/>
  <c r="R31" i="11"/>
  <c r="S31" i="11"/>
  <c r="T31" i="11"/>
  <c r="U31" i="11"/>
  <c r="V31" i="11"/>
  <c r="W31" i="11"/>
  <c r="X31" i="11"/>
  <c r="Y31" i="11"/>
  <c r="Z31" i="11"/>
  <c r="AC31" i="11"/>
  <c r="AD31" i="11"/>
  <c r="AE31" i="11"/>
  <c r="AF31" i="11"/>
  <c r="AG31" i="11"/>
  <c r="AH31" i="11"/>
  <c r="AI31" i="11"/>
  <c r="AJ31" i="11"/>
  <c r="A32" i="11"/>
  <c r="B32" i="11"/>
  <c r="C32" i="11"/>
  <c r="D32" i="11"/>
  <c r="E32" i="11"/>
  <c r="F32" i="11"/>
  <c r="G32" i="11"/>
  <c r="H32" i="11"/>
  <c r="I32" i="11"/>
  <c r="J32" i="11"/>
  <c r="K32" i="11"/>
  <c r="L32" i="11"/>
  <c r="M32" i="11"/>
  <c r="N32" i="11"/>
  <c r="O32" i="11"/>
  <c r="P32" i="11"/>
  <c r="Q32" i="11"/>
  <c r="R32" i="11"/>
  <c r="S32" i="11"/>
  <c r="T32" i="11"/>
  <c r="U32" i="11"/>
  <c r="V32" i="11"/>
  <c r="W32" i="11"/>
  <c r="X32" i="11"/>
  <c r="Y32" i="11"/>
  <c r="Z32" i="11"/>
  <c r="AC32" i="11"/>
  <c r="AD32" i="11"/>
  <c r="AE32" i="11"/>
  <c r="AF32" i="11"/>
  <c r="AG32" i="11"/>
  <c r="AH32" i="11"/>
  <c r="AI32" i="11"/>
  <c r="AJ32" i="11"/>
  <c r="A33" i="11"/>
  <c r="B33" i="11"/>
  <c r="C33" i="11"/>
  <c r="D33" i="11"/>
  <c r="E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U33" i="11"/>
  <c r="V33" i="11"/>
  <c r="W33" i="11"/>
  <c r="X33" i="11"/>
  <c r="Y33" i="11"/>
  <c r="Z33" i="11"/>
  <c r="AC33" i="11"/>
  <c r="AD33" i="11"/>
  <c r="AE33" i="11"/>
  <c r="AF33" i="11"/>
  <c r="AG33" i="11"/>
  <c r="AH33" i="11"/>
  <c r="AI33" i="11"/>
  <c r="AJ33" i="11"/>
  <c r="A34" i="11"/>
  <c r="B34" i="11"/>
  <c r="C34" i="11"/>
  <c r="D34" i="11"/>
  <c r="E34" i="11"/>
  <c r="F34" i="11"/>
  <c r="G34" i="11"/>
  <c r="H34" i="11"/>
  <c r="I34" i="11"/>
  <c r="J34" i="11"/>
  <c r="K34" i="11"/>
  <c r="L34" i="11"/>
  <c r="M34" i="11"/>
  <c r="N34" i="11"/>
  <c r="O34" i="11"/>
  <c r="P34" i="11"/>
  <c r="Q34" i="11"/>
  <c r="R34" i="11"/>
  <c r="S34" i="11"/>
  <c r="T34" i="11"/>
  <c r="U34" i="11"/>
  <c r="V34" i="11"/>
  <c r="W34" i="11"/>
  <c r="X34" i="11"/>
  <c r="Y34" i="11"/>
  <c r="Z34" i="11"/>
  <c r="AC34" i="11"/>
  <c r="AD34" i="11"/>
  <c r="AE34" i="11"/>
  <c r="AF34" i="11"/>
  <c r="AG34" i="11"/>
  <c r="AH34" i="11"/>
  <c r="AI34" i="11"/>
  <c r="AJ34" i="11"/>
  <c r="A35" i="1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C35" i="11"/>
  <c r="AD35" i="11"/>
  <c r="AE35" i="11"/>
  <c r="AF35" i="11"/>
  <c r="AG35" i="11"/>
  <c r="AH35" i="11"/>
  <c r="AI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C36" i="11"/>
  <c r="AD36" i="11"/>
  <c r="AE36" i="11"/>
  <c r="AF36" i="11"/>
  <c r="AG36" i="11"/>
  <c r="AH36" i="11"/>
  <c r="AI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C37" i="11"/>
  <c r="AD37" i="11"/>
  <c r="AE37" i="11"/>
  <c r="AF37" i="11"/>
  <c r="AG37" i="11"/>
  <c r="AH37" i="11"/>
  <c r="AI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C38" i="11"/>
  <c r="AD38" i="11"/>
  <c r="AE38" i="11"/>
  <c r="AF38" i="11"/>
  <c r="AG38" i="11"/>
  <c r="AH38" i="11"/>
  <c r="AI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C39" i="11"/>
  <c r="AD39" i="11"/>
  <c r="AE39" i="11"/>
  <c r="AF39" i="11"/>
  <c r="AG39" i="11"/>
  <c r="AH39" i="11"/>
  <c r="AI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C40" i="11"/>
  <c r="AD40" i="11"/>
  <c r="AE40" i="11"/>
  <c r="AF40" i="11"/>
  <c r="AG40" i="11"/>
  <c r="AH40" i="11"/>
  <c r="AI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C41" i="11"/>
  <c r="AD41" i="11"/>
  <c r="AE41" i="11"/>
  <c r="AF41" i="11"/>
  <c r="AG41" i="11"/>
  <c r="AH41" i="11"/>
  <c r="AI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C42" i="11"/>
  <c r="AD42" i="11"/>
  <c r="AE42" i="11"/>
  <c r="AF42" i="11"/>
  <c r="AG42" i="11"/>
  <c r="AH42" i="11"/>
  <c r="AI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C43" i="11"/>
  <c r="AD43" i="11"/>
  <c r="AE43" i="11"/>
  <c r="AF43" i="11"/>
  <c r="AG43" i="11"/>
  <c r="AH43" i="11"/>
  <c r="AI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C44" i="11"/>
  <c r="AD44" i="11"/>
  <c r="AE44" i="11"/>
  <c r="AF44" i="11"/>
  <c r="AG44" i="11"/>
  <c r="AH44" i="11"/>
  <c r="AI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C45" i="11"/>
  <c r="AD45" i="11"/>
  <c r="AE45" i="11"/>
  <c r="AF45" i="11"/>
  <c r="AG45" i="11"/>
  <c r="AH45" i="11"/>
  <c r="AI45" i="11"/>
  <c r="AJ45" i="11"/>
  <c r="A46" i="11"/>
  <c r="B46" i="11"/>
  <c r="C46" i="11"/>
  <c r="D46" i="11"/>
  <c r="E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U46" i="11"/>
  <c r="V46" i="11"/>
  <c r="W46" i="11"/>
  <c r="X46" i="11"/>
  <c r="Y46" i="11"/>
  <c r="Z46" i="11"/>
  <c r="AC46" i="11"/>
  <c r="AD46" i="11"/>
  <c r="AE46" i="11"/>
  <c r="AF46" i="11"/>
  <c r="AG46" i="11"/>
  <c r="AH46" i="11"/>
  <c r="AI46" i="11"/>
  <c r="AJ46" i="11"/>
  <c r="AF7" i="2"/>
  <c r="AG7" i="2"/>
  <c r="AA7" i="2"/>
  <c r="X7" i="2" a="1"/>
  <c r="X7" i="2" s="1"/>
  <c r="T7" i="2"/>
  <c r="S7" i="2"/>
  <c r="R7" i="2"/>
  <c r="Q7" i="2"/>
  <c r="V7" i="2" s="1" a="1"/>
  <c r="V7" i="2" s="1"/>
  <c r="P7" i="2"/>
  <c r="N7" i="2"/>
  <c r="G7" i="2"/>
  <c r="M7" i="2" s="1"/>
  <c r="F7" i="2" a="1"/>
  <c r="F7" i="2" s="1"/>
  <c r="Y7" i="2" s="1"/>
  <c r="A7" i="2" a="1"/>
  <c r="A7" i="2" s="1"/>
  <c r="U7" i="2" l="1" a="1"/>
  <c r="U7" i="2" s="1"/>
  <c r="AE3" i="11"/>
  <c r="AE4" i="11"/>
  <c r="AD3" i="11"/>
  <c r="AD4" i="11"/>
  <c r="AD5" i="11"/>
  <c r="AH3" i="11"/>
  <c r="AI3" i="11"/>
  <c r="AH4" i="11"/>
  <c r="AI4" i="11"/>
  <c r="AH5" i="11"/>
  <c r="AI5" i="11"/>
  <c r="AI2" i="11"/>
  <c r="AH2" i="11"/>
  <c r="J38" i="2" a="1"/>
  <c r="J38" i="2" s="1"/>
  <c r="J37" i="2" a="1"/>
  <c r="J37" i="2" s="1"/>
  <c r="J36" i="2" a="1"/>
  <c r="J36" i="2" s="1"/>
  <c r="F38" i="2" a="1"/>
  <c r="F38" i="2" s="1"/>
  <c r="Y38" i="2" s="1"/>
  <c r="G38" i="2"/>
  <c r="M38" i="2"/>
  <c r="N38" i="2"/>
  <c r="P38" i="2"/>
  <c r="Q38" i="2"/>
  <c r="R38" i="2"/>
  <c r="S38" i="2"/>
  <c r="T38" i="2"/>
  <c r="X38" i="2" a="1"/>
  <c r="X38" i="2" s="1"/>
  <c r="AA38" i="2"/>
  <c r="AA37" i="2"/>
  <c r="X37" i="2" a="1"/>
  <c r="X37" i="2" s="1"/>
  <c r="P37" i="2"/>
  <c r="Q37" i="2"/>
  <c r="R37" i="2"/>
  <c r="S37" i="2"/>
  <c r="T37" i="2"/>
  <c r="N37" i="2"/>
  <c r="G37" i="2"/>
  <c r="M37" i="2" s="1"/>
  <c r="F37" i="2" a="1"/>
  <c r="F37" i="2" s="1"/>
  <c r="Y37" i="2" s="1"/>
  <c r="I272" i="4"/>
  <c r="I271" i="4"/>
  <c r="I270" i="4"/>
  <c r="I269" i="4"/>
  <c r="I268" i="4"/>
  <c r="I267" i="4"/>
  <c r="I266" i="4"/>
  <c r="I265" i="4"/>
  <c r="I264" i="4"/>
  <c r="U38" i="2" l="1" a="1"/>
  <c r="U38" i="2" s="1"/>
  <c r="V38" i="2" a="1"/>
  <c r="V38" i="2" s="1"/>
  <c r="U37" i="2" a="1"/>
  <c r="U37" i="2" s="1"/>
  <c r="V37" i="2" a="1"/>
  <c r="V37" i="2" s="1"/>
  <c r="I263" i="4"/>
  <c r="J302" i="4"/>
  <c r="J292" i="4"/>
  <c r="J282" i="4"/>
  <c r="J272" i="4"/>
  <c r="F7" i="10"/>
  <c r="F6" i="10"/>
  <c r="F5" i="10"/>
  <c r="F4" i="10"/>
  <c r="F3" i="10"/>
  <c r="AG39" i="2" l="1"/>
  <c r="AF39" i="2"/>
  <c r="AA39" i="2"/>
  <c r="T39" i="2"/>
  <c r="S39" i="2"/>
  <c r="R39" i="2"/>
  <c r="Q39" i="2"/>
  <c r="P39" i="2"/>
  <c r="N39" i="2"/>
  <c r="J39" i="2" a="1"/>
  <c r="G39" i="2"/>
  <c r="F39" i="2" a="1"/>
  <c r="F39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G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G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G5" i="11"/>
  <c r="AJ5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30" i="2"/>
  <c r="AA30" i="2"/>
  <c r="T30" i="2"/>
  <c r="S30" i="2"/>
  <c r="R30" i="2"/>
  <c r="Q30" i="2"/>
  <c r="P30" i="2"/>
  <c r="N30" i="2"/>
  <c r="G30" i="2"/>
  <c r="M30" i="2" s="1"/>
  <c r="F30" i="2" a="1"/>
  <c r="F30" i="2" s="1"/>
  <c r="Y30" i="2" s="1"/>
  <c r="A30" i="2" a="1"/>
  <c r="A30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9" i="2"/>
  <c r="R60" i="2"/>
  <c r="R61" i="2"/>
  <c r="R58" i="2"/>
  <c r="Q59" i="2"/>
  <c r="Q60" i="2"/>
  <c r="Q61" i="2"/>
  <c r="Q58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9" i="2" l="1"/>
  <c r="U39" i="2" a="1"/>
  <c r="U39" i="2" s="1"/>
  <c r="M39" i="2"/>
  <c r="Y39" i="2"/>
  <c r="V39" i="2" a="1"/>
  <c r="V39" i="2" s="1"/>
  <c r="V30" i="2" a="1"/>
  <c r="V30" i="2" s="1"/>
  <c r="U30" i="2" a="1"/>
  <c r="U30" i="2" s="1"/>
  <c r="B4" i="12"/>
  <c r="A5" i="12"/>
  <c r="AC24" i="4"/>
  <c r="S59" i="2"/>
  <c r="S58" i="2"/>
  <c r="S61" i="2"/>
  <c r="S60" i="2"/>
  <c r="AC22" i="4"/>
  <c r="A47" i="2" a="1"/>
  <c r="A47" i="2" s="1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6" i="2" a="1"/>
  <c r="A36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29" i="2" a="1"/>
  <c r="A29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8" i="2" l="1"/>
  <c r="AJ48" i="2"/>
  <c r="AI48" i="2"/>
  <c r="J47" i="2" l="1" a="1"/>
  <c r="J46" i="2" a="1"/>
  <c r="J46" i="2" s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4" i="2" a="1"/>
  <c r="J34" i="2" s="1"/>
  <c r="J33" i="2" a="1"/>
  <c r="J32" i="2" a="1"/>
  <c r="J32" i="2" s="1"/>
  <c r="Q33" i="7" a="1"/>
  <c r="Q33" i="7" s="1"/>
  <c r="AE3" i="2"/>
  <c r="AD2" i="11" s="1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AF47" i="2"/>
  <c r="AF46" i="2"/>
  <c r="AF45" i="2"/>
  <c r="AF44" i="2"/>
  <c r="AF43" i="2"/>
  <c r="AF42" i="2"/>
  <c r="AF41" i="2"/>
  <c r="AF40" i="2"/>
  <c r="AF36" i="2"/>
  <c r="AF34" i="2"/>
  <c r="AF32" i="2"/>
  <c r="AF29" i="2"/>
  <c r="AF28" i="2"/>
  <c r="AF27" i="2"/>
  <c r="AF20" i="2"/>
  <c r="AF16" i="2"/>
  <c r="AF15" i="2"/>
  <c r="AF14" i="2"/>
  <c r="AF13" i="2"/>
  <c r="AF9" i="2"/>
  <c r="AF6" i="2"/>
  <c r="AE5" i="11" s="1"/>
  <c r="AF3" i="2"/>
  <c r="AE2" i="11" s="1"/>
  <c r="AG47" i="2"/>
  <c r="AG46" i="2"/>
  <c r="AG45" i="2"/>
  <c r="AG44" i="2"/>
  <c r="AG43" i="2"/>
  <c r="AG42" i="2"/>
  <c r="AG41" i="2"/>
  <c r="AG40" i="2"/>
  <c r="AG36" i="2"/>
  <c r="AG35" i="2"/>
  <c r="AG34" i="2"/>
  <c r="AG33" i="2"/>
  <c r="AG32" i="2"/>
  <c r="AG31" i="2"/>
  <c r="AG29" i="2"/>
  <c r="AG28" i="2"/>
  <c r="AG27" i="2"/>
  <c r="AG26" i="2"/>
  <c r="AG25" i="2"/>
  <c r="AG24" i="2"/>
  <c r="AG23" i="2"/>
  <c r="AG22" i="2"/>
  <c r="AG21" i="2"/>
  <c r="AG20" i="2"/>
  <c r="AG19" i="2"/>
  <c r="AG18" i="2"/>
  <c r="AG17" i="2"/>
  <c r="AG16" i="2"/>
  <c r="AG15" i="2"/>
  <c r="AG14" i="2"/>
  <c r="AG13" i="2"/>
  <c r="AG12" i="2"/>
  <c r="AG11" i="2"/>
  <c r="AG10" i="2"/>
  <c r="AG9" i="2"/>
  <c r="AG8" i="2"/>
  <c r="AG6" i="2"/>
  <c r="AF5" i="11" s="1"/>
  <c r="AG5" i="2"/>
  <c r="AF4" i="11" s="1"/>
  <c r="AG4" i="2"/>
  <c r="AF3" i="11" s="1"/>
  <c r="AG3" i="2"/>
  <c r="AF2" i="11" s="1"/>
  <c r="C48" i="2"/>
  <c r="B48" i="2"/>
  <c r="AA47" i="2"/>
  <c r="AA46" i="2"/>
  <c r="AA45" i="2"/>
  <c r="AA44" i="2"/>
  <c r="AA43" i="2"/>
  <c r="AA42" i="2"/>
  <c r="AA41" i="2"/>
  <c r="AA40" i="2"/>
  <c r="AA36" i="2"/>
  <c r="AA35" i="2"/>
  <c r="AA34" i="2"/>
  <c r="AA33" i="2"/>
  <c r="AA32" i="2"/>
  <c r="AA31" i="2"/>
  <c r="AA29" i="2"/>
  <c r="Z28" i="11" s="1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Z15" i="11" s="1"/>
  <c r="AA15" i="2"/>
  <c r="AA14" i="2"/>
  <c r="AA13" i="2"/>
  <c r="AA12" i="2"/>
  <c r="AA11" i="2"/>
  <c r="AA10" i="2"/>
  <c r="AA9" i="2"/>
  <c r="AA8" i="2"/>
  <c r="AA6" i="2"/>
  <c r="Z5" i="11" s="1"/>
  <c r="AA5" i="2"/>
  <c r="Z4" i="11" s="1"/>
  <c r="AA4" i="2"/>
  <c r="Z3" i="11" s="1"/>
  <c r="Q31" i="2"/>
  <c r="Q32" i="2"/>
  <c r="Q33" i="2"/>
  <c r="Q34" i="2"/>
  <c r="Q35" i="2"/>
  <c r="Q36" i="2"/>
  <c r="Q40" i="2"/>
  <c r="Q41" i="2"/>
  <c r="Q42" i="2"/>
  <c r="Q43" i="2"/>
  <c r="Q44" i="2"/>
  <c r="Q45" i="2"/>
  <c r="Q46" i="2"/>
  <c r="Q47" i="2"/>
  <c r="AA3" i="2"/>
  <c r="AB7" i="2" l="1"/>
  <c r="AB38" i="2"/>
  <c r="AA37" i="11" s="1"/>
  <c r="Z2" i="11"/>
  <c r="AB37" i="2"/>
  <c r="AA36" i="11" s="1"/>
  <c r="J33" i="2"/>
  <c r="AB39" i="2"/>
  <c r="AA38" i="11" s="1"/>
  <c r="J47" i="2"/>
  <c r="AB30" i="2"/>
  <c r="AA29" i="11" s="1"/>
  <c r="AB35" i="2"/>
  <c r="AA34" i="11" s="1"/>
  <c r="AB22" i="2"/>
  <c r="AA21" i="11" s="1"/>
  <c r="AB3" i="2"/>
  <c r="AB4" i="2"/>
  <c r="AA3" i="11" s="1"/>
  <c r="AB18" i="2"/>
  <c r="AA17" i="11" s="1"/>
  <c r="AB19" i="2"/>
  <c r="AA18" i="11" s="1"/>
  <c r="AB20" i="2"/>
  <c r="AA19" i="11" s="1"/>
  <c r="AB27" i="2"/>
  <c r="AA26" i="11" s="1"/>
  <c r="AB45" i="2"/>
  <c r="AA44" i="11" s="1"/>
  <c r="AB46" i="2"/>
  <c r="AA45" i="11" s="1"/>
  <c r="AB47" i="2"/>
  <c r="AA46" i="11" s="1"/>
  <c r="AB21" i="2"/>
  <c r="AA20" i="11" s="1"/>
  <c r="AB5" i="2"/>
  <c r="AA4" i="11" s="1"/>
  <c r="AB28" i="2"/>
  <c r="AA27" i="11" s="1"/>
  <c r="AB6" i="2"/>
  <c r="AA5" i="11" s="1"/>
  <c r="AB29" i="2"/>
  <c r="AA28" i="11" s="1"/>
  <c r="AB8" i="2"/>
  <c r="AA7" i="11" s="1"/>
  <c r="AB31" i="2"/>
  <c r="AA30" i="11" s="1"/>
  <c r="AB9" i="2"/>
  <c r="AA8" i="11" s="1"/>
  <c r="AB34" i="2"/>
  <c r="AA33" i="11" s="1"/>
  <c r="AB10" i="2"/>
  <c r="AA9" i="11" s="1"/>
  <c r="AB43" i="2"/>
  <c r="AA42" i="11" s="1"/>
  <c r="AB17" i="2"/>
  <c r="AA16" i="11" s="1"/>
  <c r="AB44" i="2"/>
  <c r="AA43" i="11" s="1"/>
  <c r="AB15" i="2"/>
  <c r="AA14" i="11" s="1"/>
  <c r="AB32" i="2"/>
  <c r="AA31" i="11" s="1"/>
  <c r="AB16" i="2"/>
  <c r="AA15" i="11" s="1"/>
  <c r="AB33" i="2"/>
  <c r="AA32" i="11" s="1"/>
  <c r="AB11" i="2"/>
  <c r="AA10" i="11" s="1"/>
  <c r="AB23" i="2"/>
  <c r="AA22" i="11" s="1"/>
  <c r="AB36" i="2"/>
  <c r="AA35" i="11" s="1"/>
  <c r="AB12" i="2"/>
  <c r="AA11" i="11" s="1"/>
  <c r="AB24" i="2"/>
  <c r="AA23" i="11" s="1"/>
  <c r="AB40" i="2"/>
  <c r="AA39" i="11" s="1"/>
  <c r="AB13" i="2"/>
  <c r="AA12" i="11" s="1"/>
  <c r="AB25" i="2"/>
  <c r="AA24" i="11" s="1"/>
  <c r="AB41" i="2"/>
  <c r="AA40" i="11" s="1"/>
  <c r="AB14" i="2"/>
  <c r="AA13" i="11" s="1"/>
  <c r="AB26" i="2"/>
  <c r="AA25" i="11" s="1"/>
  <c r="AB42" i="2"/>
  <c r="AA41" i="11" s="1"/>
  <c r="L2" i="4"/>
  <c r="K2" i="4"/>
  <c r="J2" i="4"/>
  <c r="I2" i="4"/>
  <c r="AC7" i="2" l="1" a="1"/>
  <c r="AC7" i="2" s="1"/>
  <c r="AB6" i="11" s="1"/>
  <c r="AA6" i="11"/>
  <c r="AC37" i="2" a="1"/>
  <c r="AC37" i="2" s="1"/>
  <c r="AB36" i="11" s="1"/>
  <c r="AC38" i="2" a="1"/>
  <c r="AC38" i="2" s="1"/>
  <c r="AB37" i="11" s="1"/>
  <c r="AC39" i="2" a="1"/>
  <c r="AC39" i="2" s="1"/>
  <c r="AB38" i="11" s="1"/>
  <c r="AA2" i="11"/>
  <c r="AC30" i="2" a="1"/>
  <c r="AC30" i="2" s="1"/>
  <c r="AB29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8" i="2" a="1"/>
  <c r="AC28" i="2" s="1"/>
  <c r="AB27" i="11" s="1"/>
  <c r="AC29" i="2" a="1"/>
  <c r="AC29" i="2" s="1"/>
  <c r="AB28" i="11" s="1"/>
  <c r="P28" i="2"/>
  <c r="Q28" i="2"/>
  <c r="R28" i="2"/>
  <c r="S28" i="2"/>
  <c r="T28" i="2"/>
  <c r="P29" i="2"/>
  <c r="O28" i="11" s="1"/>
  <c r="Q29" i="2"/>
  <c r="P28" i="11" s="1"/>
  <c r="R29" i="2"/>
  <c r="Q28" i="11" s="1"/>
  <c r="S29" i="2"/>
  <c r="R28" i="11" s="1"/>
  <c r="T29" i="2"/>
  <c r="S28" i="11" s="1"/>
  <c r="N28" i="2"/>
  <c r="N29" i="2"/>
  <c r="M28" i="11" s="1"/>
  <c r="G28" i="2"/>
  <c r="G29" i="2"/>
  <c r="F28" i="11" s="1"/>
  <c r="F28" i="2" a="1"/>
  <c r="F28" i="2" s="1"/>
  <c r="F29" i="2" a="1"/>
  <c r="F29" i="2" s="1"/>
  <c r="Y28" i="2" l="1"/>
  <c r="M29" i="2"/>
  <c r="L28" i="11" s="1"/>
  <c r="Y29" i="2"/>
  <c r="U29" i="2" a="1"/>
  <c r="U29" i="2" s="1"/>
  <c r="T28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8" i="2"/>
  <c r="U28" i="2" a="1"/>
  <c r="U28" i="2" s="1"/>
  <c r="V28" i="2" a="1"/>
  <c r="V28" i="2" s="1"/>
  <c r="V29" i="2" a="1"/>
  <c r="V29" i="2" s="1"/>
  <c r="U28" i="11" s="1"/>
  <c r="AC36" i="2" a="1"/>
  <c r="AC36" i="2" s="1"/>
  <c r="AB35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AC46" i="2" a="1"/>
  <c r="AC46" i="2" s="1"/>
  <c r="AB45" i="11" s="1"/>
  <c r="N35" i="2"/>
  <c r="N36" i="2"/>
  <c r="N40" i="2"/>
  <c r="N41" i="2"/>
  <c r="N42" i="2"/>
  <c r="N43" i="2"/>
  <c r="N44" i="2"/>
  <c r="N45" i="2"/>
  <c r="N46" i="2"/>
  <c r="G36" i="2"/>
  <c r="G40" i="2"/>
  <c r="G41" i="2"/>
  <c r="G42" i="2"/>
  <c r="G43" i="2"/>
  <c r="G44" i="2"/>
  <c r="G45" i="2"/>
  <c r="F36" i="2" a="1"/>
  <c r="F36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F46" i="2" a="1"/>
  <c r="F46" i="2" s="1"/>
  <c r="AC35" i="2" a="1"/>
  <c r="AC35" i="2" s="1"/>
  <c r="AB34" i="11" s="1"/>
  <c r="G46" i="2"/>
  <c r="F32" i="2" a="1"/>
  <c r="F32" i="2" s="1"/>
  <c r="G32" i="2"/>
  <c r="F33" i="2" a="1"/>
  <c r="F33" i="2" s="1"/>
  <c r="G33" i="2"/>
  <c r="F34" i="2" a="1"/>
  <c r="F34" i="2" s="1"/>
  <c r="G34" i="2"/>
  <c r="F35" i="2" a="1"/>
  <c r="F35" i="2" s="1"/>
  <c r="G35" i="2"/>
  <c r="Y40" i="2" l="1"/>
  <c r="Y41" i="2"/>
  <c r="Y33" i="2"/>
  <c r="M45" i="2"/>
  <c r="Y43" i="2"/>
  <c r="Y36" i="2"/>
  <c r="M44" i="2"/>
  <c r="M46" i="2"/>
  <c r="M43" i="2"/>
  <c r="Y35" i="2"/>
  <c r="Y32" i="2"/>
  <c r="M42" i="2"/>
  <c r="M41" i="2"/>
  <c r="M35" i="2"/>
  <c r="Y42" i="2"/>
  <c r="Y34" i="2"/>
  <c r="Y46" i="2"/>
  <c r="Y45" i="2"/>
  <c r="M40" i="2"/>
  <c r="Y44" i="2"/>
  <c r="M36" i="2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9" i="2"/>
  <c r="AC47" i="2" a="1"/>
  <c r="AC47" i="2" s="1"/>
  <c r="AB46" i="11" s="1"/>
  <c r="AC34" i="2" a="1"/>
  <c r="AC34" i="2" s="1"/>
  <c r="AB33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27" i="2" a="1"/>
  <c r="AC27" i="2" s="1"/>
  <c r="AB26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9" i="2" s="1" a="1"/>
  <c r="X39" i="2" s="1"/>
  <c r="X30" i="2" a="1"/>
  <c r="X30" i="2" s="1"/>
  <c r="X41" i="2" a="1"/>
  <c r="X41" i="2" s="1"/>
  <c r="O5" i="4"/>
  <c r="O6" i="4" s="1"/>
  <c r="F47" i="2" a="1"/>
  <c r="F47" i="2" s="1"/>
  <c r="F31" i="2" a="1"/>
  <c r="F31" i="2" s="1"/>
  <c r="F27" i="2" a="1"/>
  <c r="F27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E15" i="11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6" i="2" a="1"/>
  <c r="X16" i="2" s="1"/>
  <c r="W15" i="11" s="1"/>
  <c r="X19" i="2" a="1"/>
  <c r="X19" i="2" s="1"/>
  <c r="X14" i="2" a="1"/>
  <c r="X14" i="2" s="1"/>
  <c r="X18" i="2" a="1"/>
  <c r="X18" i="2" s="1"/>
  <c r="X10" i="2" a="1"/>
  <c r="X10" i="2" s="1"/>
  <c r="X27" i="2" a="1"/>
  <c r="X27" i="2" s="1"/>
  <c r="X24" i="2" a="1"/>
  <c r="X24" i="2" s="1"/>
  <c r="X9" i="2" a="1"/>
  <c r="X9" i="2" s="1"/>
  <c r="X23" i="2" a="1"/>
  <c r="X23" i="2" s="1"/>
  <c r="X47" i="2" a="1"/>
  <c r="X47" i="2" s="1"/>
  <c r="X20" i="2" a="1"/>
  <c r="X20" i="2" s="1"/>
  <c r="X6" i="2" a="1"/>
  <c r="X6" i="2" s="1"/>
  <c r="W5" i="11" s="1"/>
  <c r="X34" i="2" a="1"/>
  <c r="X34" i="2" s="1"/>
  <c r="X5" i="2" a="1"/>
  <c r="X5" i="2" s="1"/>
  <c r="W4" i="11" s="1"/>
  <c r="X22" i="2" a="1"/>
  <c r="X22" i="2" s="1"/>
  <c r="X29" i="2" a="1"/>
  <c r="X29" i="2" s="1"/>
  <c r="X28" i="2" a="1"/>
  <c r="X28" i="2" s="1"/>
  <c r="X15" i="2" a="1"/>
  <c r="X15" i="2" s="1"/>
  <c r="X26" i="2" a="1"/>
  <c r="X26" i="2" s="1"/>
  <c r="X33" i="2" a="1"/>
  <c r="X33" i="2" s="1"/>
  <c r="X25" i="2" a="1"/>
  <c r="X25" i="2" s="1"/>
  <c r="X31" i="2" a="1"/>
  <c r="X31" i="2" s="1"/>
  <c r="X36" i="2" a="1"/>
  <c r="X36" i="2" s="1"/>
  <c r="X42" i="2" a="1"/>
  <c r="X42" i="2" s="1"/>
  <c r="X44" i="2" a="1"/>
  <c r="X44" i="2" s="1"/>
  <c r="X43" i="2" a="1"/>
  <c r="X43" i="2" s="1"/>
  <c r="X13" i="2" a="1"/>
  <c r="X13" i="2" s="1"/>
  <c r="X32" i="2" a="1"/>
  <c r="X32" i="2" s="1"/>
  <c r="X46" i="2" a="1"/>
  <c r="X46" i="2" s="1"/>
  <c r="X12" i="2" a="1"/>
  <c r="X12" i="2" s="1"/>
  <c r="X17" i="2" a="1"/>
  <c r="X17" i="2" s="1"/>
  <c r="X11" i="2" a="1"/>
  <c r="X11" i="2" s="1"/>
  <c r="X35" i="2" a="1"/>
  <c r="X35" i="2" s="1"/>
  <c r="X4" i="2" a="1"/>
  <c r="X4" i="2" s="1"/>
  <c r="W3" i="11" s="1"/>
  <c r="X45" i="2" a="1"/>
  <c r="X45" i="2" s="1"/>
  <c r="X40" i="2" a="1"/>
  <c r="X40" i="2" s="1"/>
  <c r="X8" i="2" a="1"/>
  <c r="X8" i="2" s="1"/>
  <c r="X3" i="2" a="1"/>
  <c r="X3" i="2" s="1"/>
  <c r="W2" i="11" s="1"/>
  <c r="X21" i="2" a="1"/>
  <c r="X21" i="2" s="1"/>
  <c r="F29" i="9"/>
  <c r="Y24" i="2"/>
  <c r="Y15" i="2"/>
  <c r="Y16" i="2"/>
  <c r="X15" i="11" s="1"/>
  <c r="Y31" i="2"/>
  <c r="Y17" i="2"/>
  <c r="Y47" i="2"/>
  <c r="Y25" i="2"/>
  <c r="Y3" i="2"/>
  <c r="X2" i="11" s="1"/>
  <c r="E2" i="11"/>
  <c r="Y18" i="2"/>
  <c r="Y11" i="2"/>
  <c r="Y27" i="2"/>
  <c r="Y12" i="2"/>
  <c r="Y14" i="2"/>
  <c r="Y4" i="2"/>
  <c r="X3" i="11" s="1"/>
  <c r="E3" i="11"/>
  <c r="Y6" i="2"/>
  <c r="X5" i="11" s="1"/>
  <c r="E5" i="11"/>
  <c r="Y19" i="2"/>
  <c r="Y13" i="2"/>
  <c r="Y26" i="2"/>
  <c r="Y9" i="2"/>
  <c r="Y21" i="2"/>
  <c r="Y10" i="2"/>
  <c r="Y22" i="2"/>
  <c r="Y23" i="2"/>
  <c r="Y20" i="2"/>
  <c r="Y5" i="2"/>
  <c r="X4" i="11" s="1"/>
  <c r="E4" i="11"/>
  <c r="Y8" i="2"/>
  <c r="N6" i="4"/>
  <c r="O7" i="4" s="1"/>
  <c r="N47" i="2"/>
  <c r="N34" i="2"/>
  <c r="N33" i="2"/>
  <c r="N32" i="2"/>
  <c r="N31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6" i="2"/>
  <c r="M5" i="11" s="1"/>
  <c r="N5" i="2"/>
  <c r="M4" i="11" s="1"/>
  <c r="N4" i="2"/>
  <c r="M3" i="11" s="1"/>
  <c r="N3" i="2"/>
  <c r="M2" i="11" s="1"/>
  <c r="F27" i="9" l="1"/>
  <c r="F28" i="9"/>
  <c r="X49" i="2"/>
  <c r="N7" i="4"/>
  <c r="N8" i="4" s="1"/>
  <c r="G9" i="2"/>
  <c r="G4" i="2"/>
  <c r="F3" i="11" s="1"/>
  <c r="M33" i="2"/>
  <c r="M32" i="2"/>
  <c r="G47" i="2"/>
  <c r="G31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8" i="2"/>
  <c r="G6" i="2"/>
  <c r="F5" i="11" s="1"/>
  <c r="G5" i="2"/>
  <c r="F4" i="11" s="1"/>
  <c r="G3" i="2"/>
  <c r="F2" i="11" s="1"/>
  <c r="M24" i="2" l="1"/>
  <c r="M14" i="2"/>
  <c r="M17" i="2"/>
  <c r="M18" i="2"/>
  <c r="M27" i="2"/>
  <c r="M15" i="2"/>
  <c r="M16" i="2"/>
  <c r="M31" i="2"/>
  <c r="M6" i="2"/>
  <c r="L5" i="11" s="1"/>
  <c r="M12" i="2"/>
  <c r="M26" i="2"/>
  <c r="M5" i="2"/>
  <c r="L4" i="11" s="1"/>
  <c r="M4" i="2"/>
  <c r="L3" i="11" s="1"/>
  <c r="M21" i="2"/>
  <c r="O8" i="4"/>
  <c r="V20" i="7"/>
  <c r="M23" i="2"/>
  <c r="M11" i="2"/>
  <c r="M9" i="2"/>
  <c r="M47" i="2"/>
  <c r="M20" i="2"/>
  <c r="M34" i="2"/>
  <c r="M3" i="2"/>
  <c r="L2" i="11" s="1"/>
  <c r="M19" i="2"/>
  <c r="M22" i="2"/>
  <c r="M25" i="2"/>
  <c r="M8" i="2"/>
  <c r="M10" i="2"/>
  <c r="M13" i="2"/>
  <c r="C56" i="2" a="1"/>
  <c r="C56" i="2" s="1"/>
  <c r="D56" i="2" s="1" a="1"/>
  <c r="D56" i="2" s="1"/>
  <c r="N9" i="4" l="1"/>
  <c r="O9" i="4"/>
  <c r="F148" i="2" a="1"/>
  <c r="F148" i="2" s="1"/>
  <c r="N10" i="4" l="1"/>
  <c r="O10" i="4"/>
  <c r="O11" i="4" s="1"/>
  <c r="N11" i="4" l="1"/>
  <c r="N12" i="4" l="1"/>
  <c r="O12" i="4"/>
  <c r="O13" i="4" s="1"/>
  <c r="P46" i="2"/>
  <c r="P45" i="2"/>
  <c r="P36" i="2"/>
  <c r="P40" i="2"/>
  <c r="P41" i="2"/>
  <c r="P42" i="2"/>
  <c r="P43" i="2"/>
  <c r="P44" i="2"/>
  <c r="T35" i="2"/>
  <c r="T46" i="2"/>
  <c r="T45" i="2"/>
  <c r="T36" i="2"/>
  <c r="T40" i="2"/>
  <c r="T41" i="2"/>
  <c r="T42" i="2"/>
  <c r="T43" i="2"/>
  <c r="T44" i="2"/>
  <c r="R35" i="2"/>
  <c r="R45" i="2"/>
  <c r="R36" i="2"/>
  <c r="R40" i="2"/>
  <c r="R41" i="2"/>
  <c r="R42" i="2"/>
  <c r="R43" i="2"/>
  <c r="R44" i="2"/>
  <c r="R46" i="2"/>
  <c r="S35" i="2"/>
  <c r="S46" i="2"/>
  <c r="S45" i="2"/>
  <c r="S36" i="2"/>
  <c r="S40" i="2"/>
  <c r="S41" i="2"/>
  <c r="S42" i="2"/>
  <c r="S43" i="2"/>
  <c r="S44" i="2"/>
  <c r="P35" i="2"/>
  <c r="T25" i="2"/>
  <c r="T13" i="2"/>
  <c r="T22" i="2"/>
  <c r="T10" i="2"/>
  <c r="T34" i="2"/>
  <c r="T19" i="2"/>
  <c r="T6" i="2"/>
  <c r="S5" i="11" s="1"/>
  <c r="T26" i="2"/>
  <c r="T14" i="2"/>
  <c r="T23" i="2"/>
  <c r="T11" i="2"/>
  <c r="T21" i="2"/>
  <c r="T9" i="2"/>
  <c r="T32" i="2"/>
  <c r="T17" i="2"/>
  <c r="T4" i="2"/>
  <c r="S3" i="11" s="1"/>
  <c r="T27" i="2"/>
  <c r="T15" i="2"/>
  <c r="T47" i="2"/>
  <c r="T20" i="2"/>
  <c r="T8" i="2"/>
  <c r="T33" i="2"/>
  <c r="T18" i="2"/>
  <c r="T5" i="2"/>
  <c r="S4" i="11" s="1"/>
  <c r="T31" i="2"/>
  <c r="T16" i="2"/>
  <c r="T3" i="2"/>
  <c r="S2" i="11" s="1"/>
  <c r="T24" i="2"/>
  <c r="T12" i="2"/>
  <c r="P27" i="2"/>
  <c r="P15" i="2"/>
  <c r="P14" i="2"/>
  <c r="P25" i="2"/>
  <c r="P24" i="2"/>
  <c r="P12" i="2"/>
  <c r="P21" i="2"/>
  <c r="P9" i="2"/>
  <c r="P8" i="2"/>
  <c r="P16" i="2"/>
  <c r="P3" i="2"/>
  <c r="O2" i="11" s="1"/>
  <c r="P23" i="2"/>
  <c r="P11" i="2"/>
  <c r="P19" i="2"/>
  <c r="P6" i="2"/>
  <c r="O5" i="11" s="1"/>
  <c r="P32" i="2"/>
  <c r="P17" i="2"/>
  <c r="P22" i="2"/>
  <c r="P10" i="2"/>
  <c r="P47" i="2"/>
  <c r="P20" i="2"/>
  <c r="P34" i="2"/>
  <c r="P33" i="2"/>
  <c r="P18" i="2"/>
  <c r="P5" i="2"/>
  <c r="O4" i="11" s="1"/>
  <c r="P4" i="2"/>
  <c r="O3" i="11" s="1"/>
  <c r="P31" i="2"/>
  <c r="P26" i="2"/>
  <c r="P13" i="2"/>
  <c r="S33" i="2"/>
  <c r="S18" i="2"/>
  <c r="S5" i="2"/>
  <c r="R4" i="11" s="1"/>
  <c r="S4" i="2"/>
  <c r="R3" i="11" s="1"/>
  <c r="S27" i="2"/>
  <c r="S15" i="2"/>
  <c r="S24" i="2"/>
  <c r="S12" i="2"/>
  <c r="S34" i="2"/>
  <c r="S19" i="2"/>
  <c r="S6" i="2"/>
  <c r="R5" i="11" s="1"/>
  <c r="S31" i="2"/>
  <c r="S3" i="2"/>
  <c r="R2" i="11" s="1"/>
  <c r="S26" i="2"/>
  <c r="S14" i="2"/>
  <c r="S22" i="2"/>
  <c r="S10" i="2"/>
  <c r="S47" i="2"/>
  <c r="S20" i="2"/>
  <c r="S8" i="2"/>
  <c r="S25" i="2"/>
  <c r="S13" i="2"/>
  <c r="S23" i="2"/>
  <c r="S11" i="2"/>
  <c r="S21" i="2"/>
  <c r="S9" i="2"/>
  <c r="S32" i="2"/>
  <c r="S17" i="2"/>
  <c r="S16" i="2"/>
  <c r="R23" i="2"/>
  <c r="R11" i="2"/>
  <c r="R47" i="2"/>
  <c r="R20" i="2"/>
  <c r="R8" i="2"/>
  <c r="R32" i="2"/>
  <c r="R17" i="2"/>
  <c r="R4" i="2"/>
  <c r="Q3" i="11" s="1"/>
  <c r="R24" i="2"/>
  <c r="R12" i="2"/>
  <c r="R21" i="2"/>
  <c r="R34" i="2"/>
  <c r="R19" i="2"/>
  <c r="R6" i="2"/>
  <c r="Q5" i="11" s="1"/>
  <c r="R27" i="2"/>
  <c r="R15" i="2"/>
  <c r="R25" i="2"/>
  <c r="R13" i="2"/>
  <c r="R33" i="2"/>
  <c r="R18" i="2"/>
  <c r="R5" i="2"/>
  <c r="Q4" i="11" s="1"/>
  <c r="R31" i="2"/>
  <c r="R16" i="2"/>
  <c r="R26" i="2"/>
  <c r="R14" i="2"/>
  <c r="R22" i="2"/>
  <c r="R10" i="2"/>
  <c r="R3" i="2"/>
  <c r="Q2" i="11" s="1"/>
  <c r="R9" i="2"/>
  <c r="Q22" i="2"/>
  <c r="Q10" i="2"/>
  <c r="Q21" i="2"/>
  <c r="Q9" i="2"/>
  <c r="Q19" i="2"/>
  <c r="Q6" i="2"/>
  <c r="P5" i="11" s="1"/>
  <c r="Q16" i="2"/>
  <c r="Q3" i="2"/>
  <c r="P2" i="11" s="1"/>
  <c r="Q27" i="2"/>
  <c r="Q26" i="2"/>
  <c r="Q11" i="2"/>
  <c r="Q8" i="2"/>
  <c r="Q18" i="2"/>
  <c r="Q5" i="2"/>
  <c r="P4" i="11" s="1"/>
  <c r="Q14" i="2"/>
  <c r="Q12" i="2"/>
  <c r="Q23" i="2"/>
  <c r="Q17" i="2"/>
  <c r="Q4" i="2"/>
  <c r="P3" i="11" s="1"/>
  <c r="Q15" i="2"/>
  <c r="Q25" i="2"/>
  <c r="Q13" i="2"/>
  <c r="Q24" i="2"/>
  <c r="Q20" i="2"/>
  <c r="N13" i="4" l="1"/>
  <c r="N14" i="4" s="1"/>
  <c r="U41" i="2" a="1"/>
  <c r="U41" i="2" s="1"/>
  <c r="U44" i="2" a="1"/>
  <c r="U44" i="2" s="1"/>
  <c r="U43" i="2" a="1"/>
  <c r="U43" i="2" s="1"/>
  <c r="U42" i="2" a="1"/>
  <c r="U42" i="2" s="1"/>
  <c r="U40" i="2" a="1"/>
  <c r="U40" i="2" s="1"/>
  <c r="U36" i="2" a="1"/>
  <c r="U36" i="2" s="1"/>
  <c r="U45" i="2" a="1"/>
  <c r="U45" i="2" s="1"/>
  <c r="U46" i="2" a="1"/>
  <c r="U46" i="2" s="1"/>
  <c r="V35" i="2" a="1"/>
  <c r="V35" i="2" s="1"/>
  <c r="V36" i="2" a="1"/>
  <c r="V36" i="2" s="1"/>
  <c r="V41" i="2" a="1"/>
  <c r="V41" i="2" s="1"/>
  <c r="V43" i="2" a="1"/>
  <c r="V43" i="2" s="1"/>
  <c r="V46" i="2" a="1"/>
  <c r="V46" i="2" s="1"/>
  <c r="V44" i="2" a="1"/>
  <c r="V44" i="2" s="1"/>
  <c r="V45" i="2" a="1"/>
  <c r="V45" i="2" s="1"/>
  <c r="V40" i="2" a="1"/>
  <c r="V40" i="2" s="1"/>
  <c r="V42" i="2" a="1"/>
  <c r="V42" i="2" s="1"/>
  <c r="U35" i="2" a="1"/>
  <c r="U35" i="2" s="1"/>
  <c r="U24" i="2" a="1"/>
  <c r="U24" i="2" s="1"/>
  <c r="U5" i="2" a="1"/>
  <c r="U5" i="2" s="1"/>
  <c r="U32" i="2" a="1"/>
  <c r="U32" i="2" s="1"/>
  <c r="U15" i="2" a="1"/>
  <c r="U15" i="2" s="1"/>
  <c r="U11" i="2" a="1"/>
  <c r="U11" i="2" s="1"/>
  <c r="U4" i="2" a="1"/>
  <c r="U4" i="2" s="1"/>
  <c r="U33" i="2" a="1"/>
  <c r="U33" i="2" s="1"/>
  <c r="V15" i="2" a="1"/>
  <c r="V15" i="2" s="1"/>
  <c r="U18" i="2" a="1"/>
  <c r="U18" i="2" s="1"/>
  <c r="U6" i="2" a="1"/>
  <c r="U6" i="2" s="1"/>
  <c r="U25" i="2" a="1"/>
  <c r="U25" i="2" s="1"/>
  <c r="U23" i="2" a="1"/>
  <c r="U23" i="2" s="1"/>
  <c r="U12" i="2" a="1"/>
  <c r="U12" i="2" s="1"/>
  <c r="U16" i="2" a="1"/>
  <c r="U16" i="2" s="1"/>
  <c r="U27" i="2" a="1"/>
  <c r="U27" i="2" s="1"/>
  <c r="U19" i="2" a="1"/>
  <c r="U19" i="2" s="1"/>
  <c r="U22" i="2" a="1"/>
  <c r="U22" i="2" s="1"/>
  <c r="U34" i="2" a="1"/>
  <c r="U34" i="2" s="1"/>
  <c r="U47" i="2" a="1"/>
  <c r="U47" i="2" s="1"/>
  <c r="U13" i="2" a="1"/>
  <c r="U13" i="2" s="1"/>
  <c r="U9" i="2" a="1"/>
  <c r="U9" i="2" s="1"/>
  <c r="U14" i="2" a="1"/>
  <c r="U14" i="2" s="1"/>
  <c r="U21" i="2" a="1"/>
  <c r="U21" i="2" s="1"/>
  <c r="U17" i="2" a="1"/>
  <c r="U17" i="2" s="1"/>
  <c r="U26" i="2" a="1"/>
  <c r="U26" i="2" s="1"/>
  <c r="V5" i="2" a="1"/>
  <c r="V5" i="2" s="1"/>
  <c r="U4" i="11" s="1"/>
  <c r="U10" i="2" a="1"/>
  <c r="U10" i="2" s="1"/>
  <c r="U8" i="2" a="1"/>
  <c r="U8" i="2" s="1"/>
  <c r="V3" i="2" a="1"/>
  <c r="V3" i="2" s="1"/>
  <c r="U2" i="11" s="1"/>
  <c r="V20" i="2" a="1"/>
  <c r="V20" i="2" s="1"/>
  <c r="V17" i="2" a="1"/>
  <c r="V17" i="2" s="1"/>
  <c r="V16" i="2" a="1"/>
  <c r="V16" i="2" s="1"/>
  <c r="V33" i="2" a="1"/>
  <c r="V33" i="2" s="1"/>
  <c r="V18" i="2" a="1"/>
  <c r="V18" i="2" s="1"/>
  <c r="V4" i="2" a="1"/>
  <c r="V4" i="2" s="1"/>
  <c r="U3" i="11" s="1"/>
  <c r="V25" i="2" a="1"/>
  <c r="V25" i="2" s="1"/>
  <c r="V27" i="2" a="1"/>
  <c r="V27" i="2" s="1"/>
  <c r="V31" i="2" a="1"/>
  <c r="V31" i="2" s="1"/>
  <c r="V21" i="2" a="1"/>
  <c r="V21" i="2" s="1"/>
  <c r="V12" i="2" a="1"/>
  <c r="V12" i="2" s="1"/>
  <c r="V11" i="2" a="1"/>
  <c r="V11" i="2" s="1"/>
  <c r="V9" i="2" a="1"/>
  <c r="V9" i="2" s="1"/>
  <c r="V26" i="2" a="1"/>
  <c r="V26" i="2" s="1"/>
  <c r="V24" i="2" a="1"/>
  <c r="V24" i="2" s="1"/>
  <c r="V23" i="2" a="1"/>
  <c r="V23" i="2" s="1"/>
  <c r="V19" i="2" a="1"/>
  <c r="V19" i="2" s="1"/>
  <c r="V22" i="2" a="1"/>
  <c r="V22" i="2" s="1"/>
  <c r="V47" i="2" a="1"/>
  <c r="V47" i="2" s="1"/>
  <c r="V8" i="2" a="1"/>
  <c r="V8" i="2" s="1"/>
  <c r="V10" i="2" a="1"/>
  <c r="V10" i="2" s="1"/>
  <c r="V32" i="2" a="1"/>
  <c r="V32" i="2" s="1"/>
  <c r="V13" i="2" a="1"/>
  <c r="V13" i="2" s="1"/>
  <c r="V14" i="2" a="1"/>
  <c r="V14" i="2" s="1"/>
  <c r="V6" i="2" a="1"/>
  <c r="V6" i="2" s="1"/>
  <c r="U5" i="11" s="1"/>
  <c r="V34" i="2" a="1"/>
  <c r="V34" i="2" s="1"/>
  <c r="U20" i="2" a="1"/>
  <c r="U20" i="2" s="1"/>
  <c r="U31" i="2" a="1"/>
  <c r="U31" i="2" s="1"/>
  <c r="U3" i="2" a="1"/>
  <c r="U3" i="2" s="1"/>
  <c r="T2" i="11" s="1"/>
  <c r="F42" i="9" l="1"/>
  <c r="F36" i="9"/>
  <c r="F43" i="9"/>
  <c r="F32" i="9"/>
  <c r="F4" i="9"/>
  <c r="T3" i="11"/>
  <c r="F21" i="9"/>
  <c r="F18" i="9"/>
  <c r="F14" i="9"/>
  <c r="F10" i="9"/>
  <c r="F41" i="9"/>
  <c r="F30" i="9"/>
  <c r="F25" i="9"/>
  <c r="F15" i="9"/>
  <c r="F5" i="9"/>
  <c r="T4" i="11"/>
  <c r="F7" i="9"/>
  <c r="F31" i="9"/>
  <c r="F37" i="9"/>
  <c r="F12" i="9"/>
  <c r="F9" i="9"/>
  <c r="F26" i="9"/>
  <c r="F11" i="9"/>
  <c r="F23" i="9"/>
  <c r="F13" i="9"/>
  <c r="F34" i="9"/>
  <c r="F35" i="9"/>
  <c r="F38" i="9"/>
  <c r="F20" i="9"/>
  <c r="F24" i="9"/>
  <c r="F40" i="9"/>
  <c r="F33" i="9"/>
  <c r="F39" i="9"/>
  <c r="F16" i="9"/>
  <c r="F22" i="9"/>
  <c r="F17" i="9"/>
  <c r="F6" i="9"/>
  <c r="T5" i="11"/>
  <c r="F8" i="9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5" i="2"/>
  <c r="L41" i="7" l="1"/>
  <c r="L33" i="7"/>
  <c r="N41" i="7"/>
  <c r="E55" i="2"/>
  <c r="E56" i="2"/>
  <c r="E57" i="2" l="1"/>
  <c r="F5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<sst xmlns="http://schemas.openxmlformats.org/spreadsheetml/2006/main" count="941" uniqueCount="389">
  <si>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</si>
  <si>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</si>
  <si>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</si>
  <si>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</si>
  <si>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</si>
  <si>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</si>
  <si>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</si>
  <si>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</si>
  <si>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</si>
  <si>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</si>
  <si>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</si>
  <si>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</si>
  <si>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</si>
  <si>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</si>
  <si>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</si>
  <si>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</si>
  <si>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</si>
  <si>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</si>
  <si>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</si>
  <si>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</si>
  <si>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</si>
  <si>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</si>
  <si>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</si>
  <si>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</si>
  <si>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</si>
  <si>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</si>
  <si>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</si>
  <si>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</si>
  <si>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</si>
  <si>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</si>
  <si>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</si>
  <si>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</si>
  <si>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</si>
  <si>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</si>
  <si>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</si>
  <si>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</si>
  <si>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</si>
  <si>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</si>
  <si>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</si>
  <si>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</si>
  <si>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</si>
  <si>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</si>
  <si>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</si>
  <si>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</si>
  <si>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</si>
  <si>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</si>
  <si>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</si>
  <si>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</si>
  <si>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</si>
  <si>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</si>
  <si>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</si>
  <si>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</si>
  <si>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</si>
  <si>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</si>
  <si>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</si>
  <si>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</si>
  <si>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</si>
  <si>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</si>
  <si>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</si>
  <si>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</si>
  <si>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</si>
  <si>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</si>
  <si>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</si>
  <si>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</si>
  <si>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</si>
  <si>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</si>
  <si>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</si>
  <si>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</si>
  <si>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</si>
  <si>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</si>
  <si>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</si>
  <si>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</si>
  <si>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</si>
  <si>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</si>
  <si>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</si>
  <si>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</si>
  <si>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</si>
  <si>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</si>
  <si>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</si>
  <si>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</si>
  <si>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</si>
  <si>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</si>
  <si>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</si>
  <si>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</si>
  <si>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</si>
  <si>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</si>
  <si>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</si>
  <si>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</si>
  <si>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</si>
  <si>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</si>
  <si>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</si>
  <si>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</si>
  <si>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</si>
  <si>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</si>
  <si>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</si>
  <si>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</si>
  <si>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</si>
  <si>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</si>
  <si>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</si>
  <si>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</si>
  <si>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</si>
  <si>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</si>
  <si>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</si>
  <si>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</si>
  <si>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</si>
  <si>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</si>
  <si>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</si>
  <si>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</si>
  <si>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</si>
  <si>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</si>
  <si>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</si>
  <si>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</si>
  <si>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</si>
  <si>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</si>
  <si>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</si>
  <si>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</si>
  <si>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</si>
  <si>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</si>
  <si>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</si>
  <si>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</si>
  <si>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</si>
  <si>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</si>
  <si>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</si>
  <si>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</si>
  <si>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</si>
  <si>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</si>
  <si>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</si>
  <si>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</si>
  <si>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</si>
  <si>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</si>
  <si>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</si>
  <si>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</si>
  <si>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</si>
  <si>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</si>
  <si>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</si>
  <si>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</si>
  <si>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</si>
  <si>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</si>
  <si>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</si>
  <si>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</si>
  <si>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</si>
  <si>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</si>
  <si>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</si>
  <si>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</si>
  <si>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</si>
  <si>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</si>
  <si>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</si>
  <si>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</si>
  <si>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</si>
  <si>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</si>
  <si>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</si>
  <si>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</si>
  <si>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</si>
  <si>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</si>
  <si>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</si>
  <si>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</si>
  <si>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</si>
  <si>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</si>
  <si>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</si>
  <si>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</si>
  <si>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</si>
  <si>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</si>
  <si>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</si>
  <si>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</si>
  <si>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</si>
  <si>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</si>
  <si>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</si>
  <si>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</si>
  <si>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</si>
  <si>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</si>
  <si>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</si>
  <si>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</si>
  <si>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</si>
  <si>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</si>
  <si>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</si>
  <si>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</si>
  <si>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</si>
  <si>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</si>
  <si>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</si>
  <si>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</si>
  <si>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</si>
  <si>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</si>
  <si>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</si>
  <si>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</si>
  <si>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</si>
  <si>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</si>
  <si>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</si>
  <si>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</si>
  <si>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</si>
  <si>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</si>
  <si>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</si>
  <si>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</si>
  <si>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</si>
  <si>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</si>
  <si>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</si>
  <si>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</si>
  <si>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</si>
  <si>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</si>
  <si>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</si>
  <si>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</si>
  <si>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</si>
  <si>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</si>
  <si>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</si>
  <si>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</si>
  <si>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</si>
  <si>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</si>
  <si>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</si>
  <si>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</si>
  <si>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</si>
  <si>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</si>
  <si>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</si>
  <si>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</si>
  <si>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</si>
  <si>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</si>
  <si>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</si>
  <si>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</si>
  <si>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</si>
  <si>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</si>
  <si>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</si>
  <si>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</si>
  <si>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</si>
  <si>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</si>
  <si>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</si>
  <si>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</si>
  <si>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</si>
  <si>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</si>
  <si>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</si>
  <si>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</si>
  <si>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</si>
  <si>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</si>
  <si>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</si>
  <si>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</si>
  <si>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</si>
  <si>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</si>
  <si>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</si>
  <si>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</si>
  <si>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</si>
  <si>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</si>
  <si>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</si>
  <si>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</si>
  <si>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</si>
  <si>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</si>
  <si>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</si>
  <si>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</si>
  <si>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</si>
  <si>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</si>
  <si>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</si>
  <si>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</si>
  <si>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</si>
  <si>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</si>
  <si>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</si>
  <si>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</si>
  <si>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</si>
  <si>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</si>
  <si>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</si>
  <si>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</si>
  <si>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</si>
  <si>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</si>
  <si>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</si>
  <si>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</si>
  <si>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</si>
  <si>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</si>
  <si>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</si>
  <si>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</si>
  <si>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</si>
  <si>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</si>
  <si>
    <t>Ordinaire</t>
  </si>
  <si>
    <t>Rare</t>
  </si>
  <si>
    <t>Epique</t>
  </si>
  <si>
    <t>Epique 1</t>
  </si>
  <si>
    <t>Légendaire</t>
  </si>
  <si>
    <t>Légendaire 1</t>
  </si>
  <si>
    <t>Légendaire 2</t>
  </si>
  <si>
    <t>Mythique</t>
  </si>
  <si>
    <t>Mythique 1</t>
  </si>
  <si>
    <t>Mythique 2</t>
  </si>
  <si>
    <t>Mythique 3</t>
  </si>
  <si>
    <t>Competencies</t>
  </si>
  <si>
    <t>Category</t>
  </si>
  <si>
    <t>Bonus</t>
  </si>
  <si>
    <t>Battle trait</t>
  </si>
  <si>
    <t>Production trait</t>
  </si>
  <si>
    <t>Sub type</t>
  </si>
  <si>
    <t>Ruthless</t>
  </si>
  <si>
    <t>Brutal</t>
  </si>
  <si>
    <t>Mean</t>
  </si>
  <si>
    <t>Crt Rate</t>
  </si>
  <si>
    <t>Blessed</t>
  </si>
  <si>
    <t>Fortunate</t>
  </si>
  <si>
    <t>Favored</t>
  </si>
  <si>
    <t>Lucky</t>
  </si>
  <si>
    <t>Accuracy</t>
  </si>
  <si>
    <t>Deadeye</t>
  </si>
  <si>
    <t>Sharpshooter</t>
  </si>
  <si>
    <t>Crack Shot</t>
  </si>
  <si>
    <t>Gunner</t>
  </si>
  <si>
    <t>Robust</t>
  </si>
  <si>
    <t>Defense</t>
  </si>
  <si>
    <t>Steadfast</t>
  </si>
  <si>
    <t>Rooted</t>
  </si>
  <si>
    <t>Hardy</t>
  </si>
  <si>
    <t>Stubborn</t>
  </si>
  <si>
    <t>Shadow</t>
  </si>
  <si>
    <t>Serene</t>
  </si>
  <si>
    <t>Steady</t>
  </si>
  <si>
    <t>Move Speed</t>
  </si>
  <si>
    <t>Speedy</t>
  </si>
  <si>
    <t>Electric Frenzy</t>
  </si>
  <si>
    <t>Battery Pack (B)</t>
  </si>
  <si>
    <t>E-Conductor (B)</t>
  </si>
  <si>
    <t>Metal Maestro</t>
  </si>
  <si>
    <t>Saw Savant</t>
  </si>
  <si>
    <t>Magicking Output</t>
  </si>
  <si>
    <t>Alchemist</t>
  </si>
  <si>
    <t>Caffinated</t>
  </si>
  <si>
    <t>Heartless</t>
  </si>
  <si>
    <t>Beligerent</t>
  </si>
  <si>
    <t>Crt Damage</t>
  </si>
  <si>
    <t>HP</t>
  </si>
  <si>
    <t>Crt Defense</t>
  </si>
  <si>
    <t>Tenacity</t>
  </si>
  <si>
    <t>Evasion</t>
  </si>
  <si>
    <t>Stun Resist</t>
  </si>
  <si>
    <t>Vigorous</t>
  </si>
  <si>
    <t>Warelike</t>
  </si>
  <si>
    <t>S</t>
  </si>
  <si>
    <t>Combative</t>
  </si>
  <si>
    <t>A</t>
  </si>
  <si>
    <t>B</t>
  </si>
  <si>
    <t>Hostile</t>
  </si>
  <si>
    <t>Unshakeable</t>
  </si>
  <si>
    <t>Diamond Skull</t>
  </si>
  <si>
    <t>Iron Will</t>
  </si>
  <si>
    <t>Steel Skull</t>
  </si>
  <si>
    <t>Unyielding</t>
  </si>
  <si>
    <t>Eluxive</t>
  </si>
  <si>
    <t>Clear Headed</t>
  </si>
  <si>
    <t>Energetic</t>
  </si>
  <si>
    <t>Resolute</t>
  </si>
  <si>
    <t>Iron Skull</t>
  </si>
  <si>
    <t>Slippery</t>
  </si>
  <si>
    <t>Durable</t>
  </si>
  <si>
    <t>Stone Skull</t>
  </si>
  <si>
    <t>Nimble</t>
  </si>
  <si>
    <t>Calm</t>
  </si>
  <si>
    <t>Camp reduction</t>
  </si>
  <si>
    <t>Timer reduction</t>
  </si>
  <si>
    <t>Other</t>
  </si>
  <si>
    <t>Job Efficiency</t>
  </si>
  <si>
    <t>Charging Output</t>
  </si>
  <si>
    <t>Smelting Output</t>
  </si>
  <si>
    <t>Sawing Output</t>
  </si>
  <si>
    <t>Dreamium Output</t>
  </si>
  <si>
    <t>Energy Depletion</t>
  </si>
  <si>
    <t>Food consumption</t>
  </si>
  <si>
    <t>Bed EXP</t>
  </si>
  <si>
    <t>Bed EXP per sec</t>
  </si>
  <si>
    <t>Lightspeed</t>
  </si>
  <si>
    <t>Timber Tycoon</t>
  </si>
  <si>
    <t>Workaholic</t>
  </si>
  <si>
    <t>Industrious</t>
  </si>
  <si>
    <t>Supersonic</t>
  </si>
  <si>
    <t>Forge Fanatic</t>
  </si>
  <si>
    <t>Wood Whiz</t>
  </si>
  <si>
    <t>Light. Affinty (A)</t>
  </si>
  <si>
    <t>Dreamium Hunter</t>
  </si>
  <si>
    <t>Light Eater</t>
  </si>
  <si>
    <t>Temperate</t>
  </si>
  <si>
    <t>Sweet Dreams</t>
  </si>
  <si>
    <t>Comfy</t>
  </si>
  <si>
    <t>exp</t>
  </si>
  <si>
    <t>Engineer</t>
  </si>
  <si>
    <t>Research</t>
  </si>
  <si>
    <t>Prodigy</t>
  </si>
  <si>
    <t>Training</t>
  </si>
  <si>
    <t>Coach</t>
  </si>
  <si>
    <t>Hunger Depletion</t>
  </si>
  <si>
    <t>Diligent</t>
  </si>
  <si>
    <t>Fleet-Footed</t>
  </si>
  <si>
    <t>Below Fellow</t>
  </si>
  <si>
    <t>Efficient</t>
  </si>
  <si>
    <t>Anvil Adept</t>
  </si>
  <si>
    <t>Workshopper</t>
  </si>
  <si>
    <t>Constructon</t>
  </si>
  <si>
    <t>Healing</t>
  </si>
  <si>
    <t>Healing Touch</t>
  </si>
  <si>
    <t>Generous</t>
  </si>
  <si>
    <t>Unit</t>
  </si>
  <si>
    <t>Reward Dismiss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</si>
</sst>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9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3" fontId="1" fillId="3" borderId="24" xfId="0" applyNumberFormat="1" applyFont="1" applyFill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left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80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9"/>
      <tableStyleElement type="pageFieldValues" dxfId="78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0/07/relationships/rdRichValueWebImage" Target="richData/rdRichValueWebImage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9" fmlaRange="PalmonNamesSorted" noThreeD="1" sel="10" val="0"/>
</file>

<file path=xl/ctrlProps/ctrlProp2.xml><?xml version="1.0" encoding="utf-8"?>
<formControlPr xmlns="http://schemas.microsoft.com/office/spreadsheetml/2009/9/main" objectType="Spin" dx="22" fmlaLink="$C$50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146</xdr:row>
          <xdr:rowOff>114300</xdr:rowOff>
        </xdr:from>
        <xdr:to>
          <xdr:col>10</xdr:col>
          <xdr:colOff>323850</xdr:colOff>
          <xdr:row>149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48</xdr:row>
          <xdr:rowOff>66675</xdr:rowOff>
        </xdr:from>
        <xdr:to>
          <xdr:col>3</xdr:col>
          <xdr:colOff>190500</xdr:colOff>
          <xdr:row>50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8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9"/>
  <sheetViews>
    <sheetView tabSelected="1" workbookViewId="0">
      <selection activeCell="F17" sqref="F17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hidden="1" customWidth="1" outlineLevel="1"/>
    <col min="18" max="18" width="8" style="1" hidden="1" customWidth="1" outlineLevel="1"/>
    <col min="19" max="20" width="5.7109375" style="1" hidden="1" customWidth="1" outlineLevel="1"/>
    <col min="21" max="21" width="10.28515625" style="1" hidden="1" customWidth="1" outlineLevel="1"/>
    <col min="22" max="22" width="5.7109375" style="1" hidden="1" customWidth="1" outlineLevel="1"/>
    <col min="23" max="23" width="1.42578125" style="1" customWidth="1" collapsed="1"/>
    <col min="24" max="24" width="13" style="1" hidden="1" customWidth="1" outlineLevel="1"/>
    <col min="25" max="25" width="11.5703125" style="1" hidden="1" customWidth="1" outlineLevel="1"/>
    <col min="26" max="26" width="0.85546875" style="1" hidden="1" customWidth="1" outlineLevel="1"/>
    <col min="27" max="28" width="6.28515625" style="1" hidden="1" customWidth="1" outlineLevel="1"/>
    <col min="29" max="29" width="12.5703125" style="1" hidden="1" customWidth="1" outlineLevel="1"/>
    <col min="30" max="30" width="0.85546875" style="1" customWidth="1" collapsed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6" t="s">
        <v>107</v>
      </c>
      <c r="C1" s="267"/>
      <c r="D1" s="267"/>
      <c r="E1" s="267"/>
      <c r="F1" s="267"/>
      <c r="G1" s="267"/>
      <c r="H1" s="267"/>
      <c r="I1" s="268"/>
      <c r="J1" s="263" t="s">
        <v>89</v>
      </c>
      <c r="K1" s="264"/>
      <c r="L1" s="264"/>
      <c r="M1" s="264"/>
      <c r="N1" s="265"/>
      <c r="P1" s="271" t="s">
        <v>17</v>
      </c>
      <c r="Q1" s="272"/>
      <c r="R1" s="272"/>
      <c r="S1" s="272"/>
      <c r="T1" s="272"/>
      <c r="U1" s="272"/>
      <c r="V1" s="273"/>
      <c r="X1" s="269" t="s">
        <v>79</v>
      </c>
      <c r="Y1" s="270"/>
      <c r="AA1" s="261" t="s">
        <v>93</v>
      </c>
      <c r="AB1" s="261"/>
      <c r="AC1" s="262"/>
      <c r="AE1" s="254" t="s">
        <v>143</v>
      </c>
      <c r="AF1" s="255"/>
      <c r="AG1" s="256"/>
      <c r="AI1" s="254" t="s">
        <v>103</v>
      </c>
      <c r="AJ1" s="255"/>
      <c r="AK1" s="256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7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30</v>
      </c>
      <c r="M3" s="7" t="str">
        <f t="shared" ref="M3:M27" si="1">IF($G3&gt;3,"Max","")</f>
        <v>Max</v>
      </c>
      <c r="N3" s="19">
        <f t="shared" ref="N3:N27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RANK($AA3,$AA$3:$AA$47)+COUNTIF($AA$3:$AA3,AA3)-1</f>
        <v>1</v>
      </c>
      <c r="AC3" s="61" cm="1">
        <f t="array" ref="AC3">IFERROR(_xlfn.IFS($AB3&lt;8,1,$AB3&lt;15,2,$AB3&lt;21,3),"")</f>
        <v>1</v>
      </c>
      <c r="AE3" s="170" t="str">
        <f>AF23</f>
        <v>https://encrypted-tbn0.gstatic.com/images?q=tbn:ANd9GcRXczs_Bjhslhr7Mf2HENU6MTyGpz0RJEMjNA&amp;s</v>
      </c>
      <c r="AF3" s="166" t="str">
        <f t="shared" ref="AF3:AF47" si="3">" "</f>
        <v xml:space="preserve"> </v>
      </c>
      <c r="AG3" s="167" t="str">
        <f>" "</f>
        <v xml:space="preserve"> </v>
      </c>
      <c r="AI3" s="170"/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195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7" si="4">F4</f>
        <v/>
      </c>
      <c r="AA4" s="110">
        <f t="shared" ref="AA4:AA47" si="5">$H4*1000+$E4</f>
        <v>5270</v>
      </c>
      <c r="AB4" s="63">
        <f>RANK($AA4,$AA$3:$AA$47)+COUNTIF($AA$3:$AA4,AA4)-1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7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270</v>
      </c>
      <c r="F5" s="125" t="str" cm="1">
        <f t="array" ref="F5">IsUpgradable(E5)</f>
        <v/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135120000</v>
      </c>
      <c r="Y5" s="61" t="str">
        <f t="shared" si="4"/>
        <v/>
      </c>
      <c r="AA5" s="110">
        <f t="shared" si="5"/>
        <v>4270</v>
      </c>
      <c r="AB5" s="63">
        <f>RANK($AA5,$AA$3:$AA$47)+COUNTIF($AA$3:$AA5,AA5)-1</f>
        <v>10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211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RANK($AA6,$AA$3:$AA$47)+COUNTIF($AA$3:$AA6,AA6)-1</f>
        <v>9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cm="1">
        <f t="array" ref="A7">GetMutationLevel(B7)</f>
        <v>1</v>
      </c>
      <c r="B7" s="31" t="s">
        <v>205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ref="G7" si="7">INT(H7)</f>
        <v>5</v>
      </c>
      <c r="H7" s="198">
        <v>5</v>
      </c>
      <c r="I7" s="123">
        <v>0</v>
      </c>
      <c r="J7" s="63">
        <v>15</v>
      </c>
      <c r="K7" s="7">
        <v>20</v>
      </c>
      <c r="L7" s="7">
        <v>30</v>
      </c>
      <c r="M7" s="7" t="str">
        <f t="shared" si="1"/>
        <v>Max</v>
      </c>
      <c r="N7" s="19">
        <f t="shared" ref="N7" si="8">IF(H7=5,10,"")</f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ref="Y7" si="9">F7</f>
        <v/>
      </c>
      <c r="AA7" s="110">
        <f t="shared" si="5"/>
        <v>5270</v>
      </c>
      <c r="AB7" s="63">
        <f>RANK($AA7,$AA$3:$AA$47)+COUNTIF($AA$3:$AA7,AA7)-1</f>
        <v>3</v>
      </c>
      <c r="AC7" s="61" cm="1">
        <f t="array" ref="AC7">IFERROR(_xlfn.IFS($AB7&lt;8,1,$AB7&lt;15,2,$AB7&lt;21,3),"")</f>
        <v>1</v>
      </c>
      <c r="AE7" s="63" t="s">
        <v>192</v>
      </c>
      <c r="AF7" s="7" t="str">
        <f t="shared" si="3"/>
        <v xml:space="preserve"> </v>
      </c>
      <c r="AG7" s="19" t="str">
        <f t="shared" si="6"/>
        <v xml:space="preserve"> </v>
      </c>
      <c r="AI7" s="63"/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51</v>
      </c>
      <c r="C8" s="19" t="s">
        <v>53</v>
      </c>
      <c r="D8" s="71" t="s">
        <v>98</v>
      </c>
      <c r="E8" s="63">
        <v>1</v>
      </c>
      <c r="F8" s="125" cm="1">
        <f t="array" ref="F8">IsUpgradable(E8)</f>
        <v>1</v>
      </c>
      <c r="G8" s="127">
        <f t="shared" si="0"/>
        <v>1</v>
      </c>
      <c r="H8" s="198">
        <v>1</v>
      </c>
      <c r="I8" s="123">
        <v>0</v>
      </c>
      <c r="J8" s="63">
        <v>1</v>
      </c>
      <c r="K8" s="7">
        <v>1</v>
      </c>
      <c r="L8" s="7">
        <v>1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0</v>
      </c>
      <c r="R8" s="9">
        <f>IFERROR(CHOOSE(IF($H8&gt;=Details!$B$6,1,2),Details!$D$6,IF($H8&gt;Details!$B$6-1,IF($H8&lt;1,Details!$G$5,MOD($H8,Details!$B$6-1))*10*Details!$C$6,""))/Details!$D$6,0)</f>
        <v>0</v>
      </c>
      <c r="S8" s="9">
        <f>IFERROR(CHOOSE(IF($H8&gt;=Details!$B$7,1,2),Details!$D$7,IF($H8&gt;Details!$B$7-1,IF($H8&lt;1,Details!$G$5,MOD($H8,Details!$B$7-1))*10*Details!$C$7,""))/Details!$D$7,0)</f>
        <v>0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2.564102564102564E-2</v>
      </c>
      <c r="V8" s="13" cm="1">
        <f t="array" ref="V8">Details!$D$9-SUMPRODUCT(TRANSPOSE(Details!$D$4:$D$8),$P8:$T8)-$I8</f>
        <v>950</v>
      </c>
      <c r="X8" s="13" cm="1">
        <f t="array" ref="X8">LevelUpgradeCost($E8)</f>
        <v>5044093700</v>
      </c>
      <c r="Y8" s="61">
        <f t="shared" si="4"/>
        <v>1</v>
      </c>
      <c r="AA8" s="110">
        <f t="shared" si="5"/>
        <v>1001</v>
      </c>
      <c r="AB8" s="63">
        <f>RANK($AA8,$AA$3:$AA$47)+COUNTIF($AA$3:$AA8,AA8)-1</f>
        <v>32</v>
      </c>
      <c r="AC8" s="61" t="str" cm="1">
        <f t="array" ref="AC8">IFERROR(_xlfn.IFS($AB8&lt;8,1,$AB8&lt;15,2,$AB8&lt;21,3),"")</f>
        <v/>
      </c>
      <c r="AE8" s="63" t="s">
        <v>155</v>
      </c>
      <c r="AF8" s="7" t="s">
        <v>192</v>
      </c>
      <c r="AG8" s="19" t="str">
        <f t="shared" si="6"/>
        <v xml:space="preserve"> </v>
      </c>
      <c r="AI8" s="63" t="s">
        <v>205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56</v>
      </c>
      <c r="C9" s="19" t="s">
        <v>50</v>
      </c>
      <c r="D9" s="71" t="s">
        <v>98</v>
      </c>
      <c r="E9" s="63">
        <v>240</v>
      </c>
      <c r="F9" s="125" cm="1">
        <f t="array" ref="F9">IsUpgradable(E9)</f>
        <v>1</v>
      </c>
      <c r="G9" s="128">
        <f t="shared" si="0"/>
        <v>3</v>
      </c>
      <c r="H9" s="198">
        <v>3.1</v>
      </c>
      <c r="I9" s="123">
        <v>61</v>
      </c>
      <c r="J9" s="63">
        <v>10</v>
      </c>
      <c r="K9" s="7">
        <v>5</v>
      </c>
      <c r="L9" s="7">
        <v>15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1</v>
      </c>
      <c r="S9" s="9">
        <f>IFERROR(CHOOSE(IF($H9&gt;=Details!$B$7,1,2),Details!$D$7,IF($H9&gt;Details!$B$7-1,IF($H9&lt;1,Details!$G$5,MOD($H9,Details!$B$7-1))*10*Details!$C$7,""))/Details!$D$7,0)</f>
        <v>0.20000000000000018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0.24102564102564109</v>
      </c>
      <c r="V9" s="13" cm="1">
        <f t="array" ref="V9">Details!$D$9-SUMPRODUCT(TRANSPOSE(Details!$D$4:$D$8),$P9:$T9)-$I9</f>
        <v>679</v>
      </c>
      <c r="X9" s="13" cm="1">
        <f t="array" ref="X9">LevelUpgradeCost($E9)</f>
        <v>2831420000</v>
      </c>
      <c r="Y9" s="61">
        <f t="shared" si="4"/>
        <v>1</v>
      </c>
      <c r="AA9" s="110">
        <f t="shared" si="5"/>
        <v>3340</v>
      </c>
      <c r="AB9" s="63">
        <f>RANK($AA9,$AA$3:$AA$47)+COUNTIF($AA$3:$AA9,AA9)-1</f>
        <v>15</v>
      </c>
      <c r="AC9" s="61" cm="1">
        <f t="array" ref="AC9">IFERROR(_xlfn.IFS($AB9&lt;8,1,$AB9&lt;15,2,$AB9&lt;21,3),"")</f>
        <v>3</v>
      </c>
      <c r="AE9" s="63" t="s">
        <v>178</v>
      </c>
      <c r="AF9" s="7" t="str">
        <f t="shared" si="3"/>
        <v xml:space="preserve"> </v>
      </c>
      <c r="AG9" s="19" t="str">
        <f t="shared" si="6"/>
        <v xml:space="preserve"> </v>
      </c>
      <c r="AI9" s="63" t="s">
        <v>216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60</v>
      </c>
      <c r="C10" s="19" t="s">
        <v>61</v>
      </c>
      <c r="D10" s="71" t="s">
        <v>97</v>
      </c>
      <c r="E10" s="63">
        <v>230</v>
      </c>
      <c r="F10" s="125" cm="1">
        <f t="array" ref="F10">IsUpgradable(E10)</f>
        <v>1</v>
      </c>
      <c r="G10" s="127">
        <f t="shared" si="0"/>
        <v>2</v>
      </c>
      <c r="H10" s="198">
        <v>2.2000000000000002</v>
      </c>
      <c r="I10" s="123">
        <v>4</v>
      </c>
      <c r="J10" s="63">
        <v>1</v>
      </c>
      <c r="K10" s="7">
        <v>1</v>
      </c>
      <c r="L10" s="7">
        <v>5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0.40000000000000036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0.11794871794871797</v>
      </c>
      <c r="V10" s="13" cm="1">
        <f t="array" ref="V10">Details!$D$9-SUMPRODUCT(TRANSPOSE(Details!$D$4:$D$8),$P10:$T10)-$I10</f>
        <v>856</v>
      </c>
      <c r="X10" s="13" cm="1">
        <f t="array" ref="X10">LevelUpgradeCost($E10)</f>
        <v>3390620000</v>
      </c>
      <c r="Y10" s="61">
        <f t="shared" si="4"/>
        <v>1</v>
      </c>
      <c r="AA10" s="110">
        <f t="shared" si="5"/>
        <v>2430</v>
      </c>
      <c r="AB10" s="63">
        <f>RANK($AA10,$AA$3:$AA$47)+COUNTIF($AA$3:$AA10,AA10)-1</f>
        <v>24</v>
      </c>
      <c r="AC10" s="61" t="str" cm="1">
        <f t="array" ref="AC10">IFERROR(_xlfn.IFS($AB10&lt;8,1,$AB10&lt;15,2,$AB10&lt;21,3),"")</f>
        <v/>
      </c>
      <c r="AE10" s="63" t="s">
        <v>177</v>
      </c>
      <c r="AF10" s="7" t="s">
        <v>174</v>
      </c>
      <c r="AG10" s="19" t="str">
        <f t="shared" si="6"/>
        <v xml:space="preserve"> </v>
      </c>
      <c r="AI10" s="63" t="s">
        <v>210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63</v>
      </c>
      <c r="C11" s="19" t="s">
        <v>61</v>
      </c>
      <c r="D11" s="71" t="s">
        <v>98</v>
      </c>
      <c r="E11" s="63">
        <v>250</v>
      </c>
      <c r="F11" s="125" cm="1">
        <f t="array" ref="F11">IsUpgradable(E11)</f>
        <v>1</v>
      </c>
      <c r="G11" s="127">
        <f t="shared" si="0"/>
        <v>3</v>
      </c>
      <c r="H11" s="198">
        <v>3</v>
      </c>
      <c r="I11" s="123">
        <v>0</v>
      </c>
      <c r="J11" s="63">
        <v>14</v>
      </c>
      <c r="K11" s="7">
        <v>5</v>
      </c>
      <c r="L11" s="7">
        <v>10</v>
      </c>
      <c r="M11" s="7" t="str">
        <f t="shared" si="1"/>
        <v/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1</v>
      </c>
      <c r="S11" s="9">
        <f>IFERROR(CHOOSE(IF($H11&gt;=Details!$B$7,1,2),Details!$D$7,IF($H11&gt;Details!$B$7-1,IF($H11&lt;1,Details!$G$5,MOD($H11,Details!$B$7-1))*10*Details!$C$7,""))/Details!$D$7,0)</f>
        <v>0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0.17948717948717949</v>
      </c>
      <c r="V11" s="13" cm="1">
        <f t="array" ref="V11">Details!$D$9-SUMPRODUCT(TRANSPOSE(Details!$D$4:$D$8),$P11:$T11)-$I11</f>
        <v>800</v>
      </c>
      <c r="X11" s="13" cm="1">
        <f t="array" ref="X11">LevelUpgradeCost($E11)</f>
        <v>2123020000</v>
      </c>
      <c r="Y11" s="61">
        <f t="shared" si="4"/>
        <v>1</v>
      </c>
      <c r="AA11" s="110">
        <f t="shared" si="5"/>
        <v>3250</v>
      </c>
      <c r="AB11" s="63">
        <f>RANK($AA11,$AA$3:$AA$47)+COUNTIF($AA$3:$AA11,AA11)-1</f>
        <v>16</v>
      </c>
      <c r="AC11" s="61" cm="1">
        <f t="array" ref="AC11">IFERROR(_xlfn.IFS($AB11&lt;8,1,$AB11&lt;15,2,$AB11&lt;21,3),"")</f>
        <v>3</v>
      </c>
      <c r="AE11" s="63" t="s">
        <v>190</v>
      </c>
      <c r="AF11" s="7" t="s">
        <v>169</v>
      </c>
      <c r="AG11" s="19" t="str">
        <f t="shared" si="6"/>
        <v xml:space="preserve"> </v>
      </c>
      <c r="AI11" s="63" t="s">
        <v>222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67</v>
      </c>
      <c r="C12" s="19" t="s">
        <v>61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4</v>
      </c>
      <c r="H12" s="198">
        <v>4</v>
      </c>
      <c r="I12" s="123">
        <v>14</v>
      </c>
      <c r="J12" s="63">
        <v>1</v>
      </c>
      <c r="K12" s="7">
        <v>1</v>
      </c>
      <c r="L12" s="7">
        <v>1</v>
      </c>
      <c r="M12" s="7" t="str">
        <f t="shared" si="1"/>
        <v>Max</v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1</v>
      </c>
      <c r="S12" s="9">
        <f>IFERROR(CHOOSE(IF($H12&gt;=Details!$B$7,1,2),Details!$D$7,IF($H12&gt;Details!$B$7-1,IF($H12&lt;1,Details!$G$5,MOD($H12,Details!$B$7-1))*10*Details!$C$7,""))/Details!$D$7,0)</f>
        <v>1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0.48717948717948717</v>
      </c>
      <c r="V12" s="13" cm="1">
        <f t="array" ref="V12">Details!$D$9-SUMPRODUCT(TRANSPOSE(Details!$D$4:$D$8),$P12:$T12)-$I12</f>
        <v>486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4230</v>
      </c>
      <c r="AB12" s="63">
        <f>RANK($AA12,$AA$3:$AA$47)+COUNTIF($AA$3:$AA12,AA12)-1</f>
        <v>12</v>
      </c>
      <c r="AC12" s="61" cm="1">
        <f t="array" ref="AC12">IFERROR(_xlfn.IFS($AB12&lt;8,1,$AB12&lt;15,2,$AB12&lt;21,3),"")</f>
        <v>2</v>
      </c>
      <c r="AE12" s="63" t="s">
        <v>170</v>
      </c>
      <c r="AF12" s="7" t="s">
        <v>147</v>
      </c>
      <c r="AG12" s="19" t="str">
        <f t="shared" si="6"/>
        <v xml:space="preserve"> </v>
      </c>
      <c r="AI12" s="63" t="s">
        <v>220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62</v>
      </c>
      <c r="C13" s="19" t="s">
        <v>50</v>
      </c>
      <c r="D13" s="71" t="s">
        <v>98</v>
      </c>
      <c r="E13" s="63">
        <v>230</v>
      </c>
      <c r="F13" s="125" cm="1">
        <f t="array" ref="F13">IsUpgradable(E13)</f>
        <v>1</v>
      </c>
      <c r="G13" s="127">
        <f t="shared" si="0"/>
        <v>2</v>
      </c>
      <c r="H13" s="198">
        <v>2.2999999999999998</v>
      </c>
      <c r="I13" s="123">
        <v>8</v>
      </c>
      <c r="J13" s="63">
        <v>5</v>
      </c>
      <c r="K13" s="7">
        <v>5</v>
      </c>
      <c r="L13" s="7">
        <v>5</v>
      </c>
      <c r="M13" s="7" t="str">
        <f t="shared" si="1"/>
        <v/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0.59999999999999964</v>
      </c>
      <c r="S13" s="9">
        <f>IFERROR(CHOOSE(IF($H13&gt;=Details!$B$7,1,2),Details!$D$7,IF($H13&gt;Details!$B$7-1,IF($H13&lt;1,Details!$G$5,MOD($H13,Details!$B$7-1))*10*Details!$C$7,""))/Details!$D$7,0)</f>
        <v>0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0.13846153846153844</v>
      </c>
      <c r="V13" s="13" cm="1">
        <f t="array" ref="V13">Details!$D$9-SUMPRODUCT(TRANSPOSE(Details!$D$4:$D$8),$P13:$T13)-$I13</f>
        <v>832</v>
      </c>
      <c r="X13" s="13" cm="1">
        <f t="array" ref="X13">LevelUpgradeCost($E13)</f>
        <v>3390620000</v>
      </c>
      <c r="Y13" s="61">
        <f t="shared" si="4"/>
        <v>1</v>
      </c>
      <c r="AA13" s="110">
        <f t="shared" si="5"/>
        <v>2530</v>
      </c>
      <c r="AB13" s="63">
        <f>RANK($AA13,$AA$3:$AA$47)+COUNTIF($AA$3:$AA13,AA13)-1</f>
        <v>20</v>
      </c>
      <c r="AC13" s="61" cm="1">
        <f t="array" ref="AC13">IFERROR(_xlfn.IFS($AB13&lt;8,1,$AB13&lt;15,2,$AB13&lt;21,3),"")</f>
        <v>3</v>
      </c>
      <c r="AE13" s="63" t="s">
        <v>160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207</v>
      </c>
      <c r="AJ13" s="7"/>
      <c r="AK13" s="19"/>
    </row>
    <row r="14" spans="1:37" ht="12" customHeight="1" x14ac:dyDescent="0.2">
      <c r="A14" s="1" t="str" cm="1">
        <f t="array" ref="A14">GetMutationLevel(B14)</f>
        <v/>
      </c>
      <c r="B14" s="31" t="s">
        <v>57</v>
      </c>
      <c r="C14" s="19" t="s">
        <v>53</v>
      </c>
      <c r="D14" s="71" t="s">
        <v>97</v>
      </c>
      <c r="E14" s="63">
        <v>270</v>
      </c>
      <c r="F14" s="125" t="str" cm="1">
        <f t="array" ref="F14">IsUpgradable(E14)</f>
        <v/>
      </c>
      <c r="G14" s="127">
        <f t="shared" si="0"/>
        <v>4</v>
      </c>
      <c r="H14" s="198">
        <v>4</v>
      </c>
      <c r="I14" s="123">
        <v>0</v>
      </c>
      <c r="J14" s="63">
        <v>5</v>
      </c>
      <c r="K14" s="7">
        <v>5</v>
      </c>
      <c r="L14" s="7">
        <v>15</v>
      </c>
      <c r="M14" s="7" t="str">
        <f t="shared" si="1"/>
        <v>Max</v>
      </c>
      <c r="N14" s="19" t="str">
        <f t="shared" si="2"/>
        <v/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0</v>
      </c>
      <c r="U14" s="9" cm="1">
        <f t="array" ref="U14">SUMPRODUCT(TRANSPOSE(Details!$D$4:$D$8),$P14:$T14)/Details!$D$9</f>
        <v>0.48717948717948717</v>
      </c>
      <c r="V14" s="13" cm="1">
        <f t="array" ref="V14">Details!$D$9-SUMPRODUCT(TRANSPOSE(Details!$D$4:$D$8),$P14:$T14)-$I14</f>
        <v>500</v>
      </c>
      <c r="X14" s="13" cm="1">
        <f t="array" ref="X14">LevelUpgradeCost($E14)</f>
        <v>135120000</v>
      </c>
      <c r="Y14" s="61" t="str">
        <f t="shared" si="4"/>
        <v/>
      </c>
      <c r="AA14" s="110">
        <f t="shared" si="5"/>
        <v>4270</v>
      </c>
      <c r="AB14" s="63">
        <f>RANK($AA14,$AA$3:$AA$47)+COUNTIF($AA$3:$AA14,AA14)-1</f>
        <v>11</v>
      </c>
      <c r="AC14" s="61" cm="1">
        <f t="array" ref="AC14">IFERROR(_xlfn.IFS($AB14&lt;8,1,$AB14&lt;15,2,$AB14&lt;21,3),"")</f>
        <v>2</v>
      </c>
      <c r="AE14" s="63" t="s">
        <v>142</v>
      </c>
      <c r="AF14" s="7" t="str">
        <f t="shared" si="3"/>
        <v xml:space="preserve"> </v>
      </c>
      <c r="AG14" s="19" t="str">
        <f t="shared" si="6"/>
        <v xml:space="preserve"> </v>
      </c>
      <c r="AI14" s="63" t="s">
        <v>141</v>
      </c>
      <c r="AJ14" s="7"/>
      <c r="AK14" s="19"/>
    </row>
    <row r="15" spans="1:37" ht="12" customHeight="1" x14ac:dyDescent="0.2">
      <c r="A15" s="1" cm="1">
        <f t="array" ref="A15">GetMutationLevel(B15)</f>
        <v>1</v>
      </c>
      <c r="B15" s="31" t="s">
        <v>214</v>
      </c>
      <c r="C15" s="19" t="s">
        <v>55</v>
      </c>
      <c r="D15" s="71" t="s">
        <v>97</v>
      </c>
      <c r="E15" s="63">
        <v>260</v>
      </c>
      <c r="F15" s="125" cm="1">
        <f t="array" ref="F15">IsUpgradable(E15)</f>
        <v>1</v>
      </c>
      <c r="G15" s="127">
        <f t="shared" si="0"/>
        <v>5</v>
      </c>
      <c r="H15" s="198">
        <v>5</v>
      </c>
      <c r="I15" s="123">
        <v>0</v>
      </c>
      <c r="J15" s="63">
        <v>1</v>
      </c>
      <c r="K15" s="7">
        <v>1</v>
      </c>
      <c r="L15" s="7">
        <v>1</v>
      </c>
      <c r="M15" s="7" t="str">
        <f t="shared" si="1"/>
        <v>Max</v>
      </c>
      <c r="N15" s="19">
        <f t="shared" si="2"/>
        <v>10</v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1</v>
      </c>
      <c r="S15" s="9">
        <f>IFERROR(CHOOSE(IF($H15&gt;=Details!$B$7,1,2),Details!$D$7,IF($H15&gt;Details!$B$7-1,IF($H15&lt;1,Details!$G$5,MOD($H15,Details!$B$7-1))*10*Details!$C$7,""))/Details!$D$7,0)</f>
        <v>1</v>
      </c>
      <c r="T15" s="9">
        <f>IFERROR(CHOOSE(IF($H15&gt;=Details!$B$8,1,2),Details!$D$8,IF($H15&gt;Details!$B$8-1,IF($H15&lt;1,Details!$G$5,MOD($H15,Details!$B$8-1))*10*Details!$C$8,""))/Details!$D$8,0)</f>
        <v>1</v>
      </c>
      <c r="U15" s="9" cm="1">
        <f t="array" ref="U15">SUMPRODUCT(TRANSPOSE(Details!$D$4:$D$8),$P15:$T15)/Details!$D$9</f>
        <v>1</v>
      </c>
      <c r="V15" s="13" cm="1">
        <f t="array" ref="V15">Details!$D$9-SUMPRODUCT(TRANSPOSE(Details!$D$4:$D$8),$P15:$T15)-$I15</f>
        <v>0</v>
      </c>
      <c r="X15" s="13" cm="1">
        <f t="array" ref="X15">LevelUpgradeCost($E15)</f>
        <v>1235520000</v>
      </c>
      <c r="Y15" s="61">
        <f t="shared" si="4"/>
        <v>1</v>
      </c>
      <c r="AA15" s="110">
        <f t="shared" si="5"/>
        <v>5260</v>
      </c>
      <c r="AB15" s="63">
        <f>RANK($AA15,$AA$3:$AA$47)+COUNTIF($AA$3:$AA15,AA15)-1</f>
        <v>5</v>
      </c>
      <c r="AC15" s="61" cm="1">
        <f t="array" ref="AC15">IFERROR(_xlfn.IFS($AB15&lt;8,1,$AB15&lt;15,2,$AB15&lt;21,3),"")</f>
        <v>1</v>
      </c>
      <c r="AE15" s="63" t="s">
        <v>184</v>
      </c>
      <c r="AF15" s="7" t="str">
        <f t="shared" si="3"/>
        <v xml:space="preserve"> </v>
      </c>
      <c r="AG15" s="19" t="str">
        <f t="shared" si="6"/>
        <v xml:space="preserve"> </v>
      </c>
      <c r="AI15" s="63"/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65</v>
      </c>
      <c r="C16" s="19" t="s">
        <v>55</v>
      </c>
      <c r="D16" s="71" t="s">
        <v>98</v>
      </c>
      <c r="E16" s="63">
        <v>240</v>
      </c>
      <c r="F16" s="125" cm="1">
        <f t="array" ref="F16">IsUpgradable(E16)</f>
        <v>1</v>
      </c>
      <c r="G16" s="127">
        <f t="shared" si="0"/>
        <v>2</v>
      </c>
      <c r="H16" s="198">
        <v>2.2000000000000002</v>
      </c>
      <c r="I16" s="123">
        <v>10</v>
      </c>
      <c r="J16" s="63">
        <v>15</v>
      </c>
      <c r="K16" s="7">
        <v>5</v>
      </c>
      <c r="L16" s="7">
        <v>9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0.40000000000000036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0.11794871794871797</v>
      </c>
      <c r="V16" s="13" cm="1">
        <f t="array" ref="V16">Details!$D$9-SUMPRODUCT(TRANSPOSE(Details!$D$4:$D$8),$P16:$T16)-$I16</f>
        <v>850</v>
      </c>
      <c r="X16" s="13" cm="1">
        <f t="array" ref="X16">LevelUpgradeCost($E16)</f>
        <v>2831420000</v>
      </c>
      <c r="Y16" s="61">
        <f t="shared" si="4"/>
        <v>1</v>
      </c>
      <c r="AA16" s="110">
        <f t="shared" si="5"/>
        <v>2440</v>
      </c>
      <c r="AB16" s="63">
        <f>RANK($AA16,$AA$3:$AA$47)+COUNTIF($AA$3:$AA16,AA16)-1</f>
        <v>23</v>
      </c>
      <c r="AC16" s="61" t="str" cm="1">
        <f t="array" ref="AC16">IFERROR(_xlfn.IFS($AB16&lt;8,1,$AB16&lt;15,2,$AB16&lt;21,3),"")</f>
        <v/>
      </c>
      <c r="AE16" s="63" t="s">
        <v>159</v>
      </c>
      <c r="AF16" s="7" t="str">
        <f t="shared" si="3"/>
        <v xml:space="preserve"> </v>
      </c>
      <c r="AG16" s="19" t="str">
        <f t="shared" si="6"/>
        <v xml:space="preserve"> </v>
      </c>
      <c r="AI16" s="63" t="s">
        <v>219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70</v>
      </c>
      <c r="C17" s="19" t="s">
        <v>61</v>
      </c>
      <c r="D17" s="71" t="s">
        <v>97</v>
      </c>
      <c r="E17" s="63">
        <v>210</v>
      </c>
      <c r="F17" s="125" cm="1">
        <f t="array" ref="F17">IsUpgradable(E17)</f>
        <v>1</v>
      </c>
      <c r="G17" s="127">
        <f t="shared" si="0"/>
        <v>3</v>
      </c>
      <c r="H17" s="198">
        <v>3</v>
      </c>
      <c r="I17" s="123">
        <v>0</v>
      </c>
      <c r="J17" s="63">
        <v>1</v>
      </c>
      <c r="K17" s="7">
        <v>1</v>
      </c>
      <c r="L17" s="7">
        <v>1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1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0.17948717948717949</v>
      </c>
      <c r="V17" s="13" cm="1">
        <f t="array" ref="V17">Details!$D$9-SUMPRODUCT(TRANSPOSE(Details!$D$4:$D$8),$P17:$T17)-$I17</f>
        <v>800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3210</v>
      </c>
      <c r="AB17" s="63">
        <f>RANK($AA17,$AA$3:$AA$47)+COUNTIF($AA$3:$AA17,AA17)-1</f>
        <v>18</v>
      </c>
      <c r="AC17" s="61" cm="1">
        <f t="array" ref="AC17">IFERROR(_xlfn.IFS($AB17&lt;8,1,$AB17&lt;15,2,$AB17&lt;21,3),"")</f>
        <v>3</v>
      </c>
      <c r="AE17" s="63" t="s">
        <v>171</v>
      </c>
      <c r="AF17" s="7" t="s">
        <v>163</v>
      </c>
      <c r="AG17" s="19" t="str">
        <f t="shared" si="6"/>
        <v xml:space="preserve"> </v>
      </c>
      <c r="AI17" s="63" t="s">
        <v>208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74</v>
      </c>
      <c r="C18" s="19" t="s">
        <v>61</v>
      </c>
      <c r="D18" s="71" t="s">
        <v>98</v>
      </c>
      <c r="E18" s="63">
        <v>210</v>
      </c>
      <c r="F18" s="125" cm="1">
        <f t="array" ref="F18">IsUpgradable(E18)</f>
        <v>1</v>
      </c>
      <c r="G18" s="127">
        <f t="shared" si="0"/>
        <v>2</v>
      </c>
      <c r="H18" s="198">
        <v>2.2000000000000002</v>
      </c>
      <c r="I18" s="123">
        <v>0</v>
      </c>
      <c r="J18" s="63">
        <v>5</v>
      </c>
      <c r="K18" s="7">
        <v>5</v>
      </c>
      <c r="L18" s="7">
        <v>10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0.40000000000000036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0.11794871794871797</v>
      </c>
      <c r="V18" s="13" cm="1">
        <f t="array" ref="V18">Details!$D$9-SUMPRODUCT(TRANSPOSE(Details!$D$4:$D$8),$P18:$T18)-$I18</f>
        <v>860</v>
      </c>
      <c r="X18" s="13" cm="1">
        <f t="array" ref="X18">LevelUpgradeCost($E18)</f>
        <v>4161420000</v>
      </c>
      <c r="Y18" s="61">
        <f t="shared" si="4"/>
        <v>1</v>
      </c>
      <c r="AA18" s="110">
        <f t="shared" si="5"/>
        <v>2410</v>
      </c>
      <c r="AB18" s="63">
        <f>RANK($AA18,$AA$3:$AA$47)+COUNTIF($AA$3:$AA18,AA18)-1</f>
        <v>25</v>
      </c>
      <c r="AC18" s="61" t="str" cm="1">
        <f t="array" ref="AC18">IFERROR(_xlfn.IFS($AB18&lt;8,1,$AB18&lt;15,2,$AB18&lt;21,3),"")</f>
        <v/>
      </c>
      <c r="AE18" s="63" t="s">
        <v>146</v>
      </c>
      <c r="AF18" s="7" t="s">
        <v>175</v>
      </c>
      <c r="AG18" s="19" t="str">
        <f t="shared" si="6"/>
        <v xml:space="preserve"> </v>
      </c>
      <c r="AI18" s="63" t="s">
        <v>212</v>
      </c>
      <c r="AJ18" s="7"/>
      <c r="AK18" s="19"/>
    </row>
    <row r="19" spans="1:43" ht="12" customHeight="1" x14ac:dyDescent="0.2">
      <c r="A19" s="1" t="str" cm="1">
        <f t="array" ref="A19">GetMutationLevel(B19)</f>
        <v/>
      </c>
      <c r="B19" s="31" t="s">
        <v>59</v>
      </c>
      <c r="C19" s="19" t="s">
        <v>50</v>
      </c>
      <c r="D19" s="71" t="s">
        <v>97</v>
      </c>
      <c r="E19" s="63">
        <v>250</v>
      </c>
      <c r="F19" s="125" cm="1">
        <f t="array" ref="F19">IsUpgradable(E19)</f>
        <v>1</v>
      </c>
      <c r="G19" s="127">
        <f t="shared" si="0"/>
        <v>3</v>
      </c>
      <c r="H19" s="198">
        <v>3</v>
      </c>
      <c r="I19" s="123">
        <v>10</v>
      </c>
      <c r="J19" s="63">
        <v>15</v>
      </c>
      <c r="K19" s="7">
        <v>10</v>
      </c>
      <c r="L19" s="7">
        <v>15</v>
      </c>
      <c r="M19" s="7" t="str">
        <f t="shared" si="1"/>
        <v/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0</v>
      </c>
      <c r="T19" s="9">
        <f>IFERROR(CHOOSE(IF($H19&gt;=Details!$B$8,1,2),Details!$D$8,IF($H19&gt;Details!$B$8-1,IF($H19&lt;1,Details!$G$5,MOD($H19,Details!$B$8-1))*10*Details!$C$8,""))/Details!$D$8,0)</f>
        <v>0</v>
      </c>
      <c r="U19" s="9" cm="1">
        <f t="array" ref="U19">SUMPRODUCT(TRANSPOSE(Details!$D$4:$D$8),$P19:$T19)/Details!$D$9</f>
        <v>0.17948717948717949</v>
      </c>
      <c r="V19" s="13" cm="1">
        <f t="array" ref="V19">Details!$D$9-SUMPRODUCT(TRANSPOSE(Details!$D$4:$D$8),$P19:$T19)-$I19</f>
        <v>790</v>
      </c>
      <c r="X19" s="13" cm="1">
        <f t="array" ref="X19">LevelUpgradeCost($E19)</f>
        <v>2123020000</v>
      </c>
      <c r="Y19" s="61">
        <f t="shared" si="4"/>
        <v>1</v>
      </c>
      <c r="AA19" s="110">
        <f t="shared" si="5"/>
        <v>3250</v>
      </c>
      <c r="AB19" s="63">
        <f>RANK($AA19,$AA$3:$AA$47)+COUNTIF($AA$3:$AA19,AA19)-1</f>
        <v>17</v>
      </c>
      <c r="AC19" s="61" cm="1">
        <f t="array" ref="AC19">IFERROR(_xlfn.IFS($AB19&lt;8,1,$AB19&lt;15,2,$AB19&lt;21,3),"")</f>
        <v>3</v>
      </c>
      <c r="AE19" s="63" t="s">
        <v>157</v>
      </c>
      <c r="AF19" s="7" t="s">
        <v>167</v>
      </c>
      <c r="AG19" s="19" t="str">
        <f t="shared" si="6"/>
        <v xml:space="preserve"> </v>
      </c>
      <c r="AI19" s="63" t="s">
        <v>218</v>
      </c>
      <c r="AJ19" s="7"/>
      <c r="AK19" s="19"/>
    </row>
    <row r="20" spans="1:43" s="17" customFormat="1" ht="12" customHeight="1" x14ac:dyDescent="0.2">
      <c r="A20" s="17" t="str" cm="1">
        <f t="array" ref="A20">GetMutationLevel(B20)</f>
        <v/>
      </c>
      <c r="B20" s="31" t="s">
        <v>75</v>
      </c>
      <c r="C20" s="19" t="s">
        <v>50</v>
      </c>
      <c r="D20" s="71" t="s">
        <v>97</v>
      </c>
      <c r="E20" s="63">
        <v>270</v>
      </c>
      <c r="F20" s="125" t="str" cm="1">
        <f t="array" ref="F20">IsUpgradable(E20)</f>
        <v/>
      </c>
      <c r="G20" s="127">
        <f t="shared" si="0"/>
        <v>4</v>
      </c>
      <c r="H20" s="198">
        <v>4.0999999999999996</v>
      </c>
      <c r="I20" s="123">
        <v>13</v>
      </c>
      <c r="J20" s="121">
        <v>15</v>
      </c>
      <c r="K20" s="117">
        <v>15</v>
      </c>
      <c r="L20" s="7">
        <v>15</v>
      </c>
      <c r="M20" s="117" t="str">
        <f t="shared" si="1"/>
        <v>Max</v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1</v>
      </c>
      <c r="S20" s="9">
        <f>IFERROR(CHOOSE(IF($H20&gt;=Details!$B$7,1,2),Details!$D$7,IF($H20&gt;Details!$B$7-1,IF($H20&lt;1,Details!$G$5,MOD($H20,Details!$B$7-1))*10*Details!$C$7,""))/Details!$D$7,0)</f>
        <v>1</v>
      </c>
      <c r="T20" s="9">
        <f>IFERROR(CHOOSE(IF($H20&gt;=Details!$B$8,1,2),Details!$D$8,IF($H20&gt;Details!$B$8-1,IF($H20&lt;1,Details!$G$5,MOD($H20,Details!$B$8-1))*10*Details!$C$8,""))/Details!$D$8,0)</f>
        <v>0.19999999999999929</v>
      </c>
      <c r="U20" s="9" cm="1">
        <f t="array" ref="U20">SUMPRODUCT(TRANSPOSE(Details!$D$4:$D$8),$P20:$T20)/Details!$D$9</f>
        <v>0.58974358974358942</v>
      </c>
      <c r="V20" s="13" cm="1">
        <f t="array" ref="V20">Details!$D$9-SUMPRODUCT(TRANSPOSE(Details!$D$4:$D$8),$P20:$T20)-$I20</f>
        <v>387.00000000000034</v>
      </c>
      <c r="X20" s="13" cm="1">
        <f t="array" ref="X20">LevelUpgradeCost($E20)</f>
        <v>135120000</v>
      </c>
      <c r="Y20" s="61" t="str">
        <f t="shared" si="4"/>
        <v/>
      </c>
      <c r="AA20" s="110">
        <f t="shared" si="5"/>
        <v>4370</v>
      </c>
      <c r="AB20" s="63">
        <f>RANK($AA20,$AA$3:$AA$47)+COUNTIF($AA$3:$AA20,AA20)-1</f>
        <v>8</v>
      </c>
      <c r="AC20" s="61" cm="1">
        <f t="array" ref="AC20">IFERROR(_xlfn.IFS($AB20&lt;8,1,$AB20&lt;15,2,$AB20&lt;21,3),"")</f>
        <v>2</v>
      </c>
      <c r="AD20" s="1"/>
      <c r="AE20" s="121" t="s">
        <v>172</v>
      </c>
      <c r="AF20" s="117" t="str">
        <f t="shared" si="3"/>
        <v xml:space="preserve"> </v>
      </c>
      <c r="AG20" s="212" t="str">
        <f t="shared" si="6"/>
        <v xml:space="preserve"> </v>
      </c>
      <c r="AI20" s="121" t="s">
        <v>206</v>
      </c>
      <c r="AJ20" s="117"/>
      <c r="AK20" s="212"/>
      <c r="AL20" s="1"/>
      <c r="AM20" s="1"/>
      <c r="AN20" s="1"/>
      <c r="AO20" s="1"/>
      <c r="AP20" s="1"/>
      <c r="AQ20" s="1"/>
    </row>
    <row r="21" spans="1:43" ht="12" customHeight="1" x14ac:dyDescent="0.2">
      <c r="A21" s="1" t="str" cm="1">
        <f t="array" ref="A21">GetMutationLevel(B21)</f>
        <v/>
      </c>
      <c r="B21" s="31" t="s">
        <v>66</v>
      </c>
      <c r="C21" s="19" t="s">
        <v>53</v>
      </c>
      <c r="D21" s="71" t="s">
        <v>97</v>
      </c>
      <c r="E21" s="63">
        <v>200</v>
      </c>
      <c r="F21" s="125" cm="1">
        <f t="array" ref="F21">IsUpgradable(E21)</f>
        <v>1</v>
      </c>
      <c r="G21" s="127">
        <f t="shared" si="0"/>
        <v>2</v>
      </c>
      <c r="H21" s="198">
        <v>2</v>
      </c>
      <c r="I21" s="123">
        <v>13</v>
      </c>
      <c r="J21" s="63">
        <v>5</v>
      </c>
      <c r="K21" s="7">
        <v>1</v>
      </c>
      <c r="L21" s="7">
        <v>5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7.6923076923076927E-2</v>
      </c>
      <c r="V21" s="13" cm="1">
        <f t="array" ref="V21">Details!$D$9-SUMPRODUCT(TRANSPOSE(Details!$D$4:$D$8),$P21:$T21)-$I21</f>
        <v>887</v>
      </c>
      <c r="X21" s="13" cm="1">
        <f t="array" ref="X21">LevelUpgradeCost($E21)</f>
        <v>4415720000</v>
      </c>
      <c r="Y21" s="61">
        <f t="shared" si="4"/>
        <v>1</v>
      </c>
      <c r="AA21" s="110">
        <f t="shared" si="5"/>
        <v>2200</v>
      </c>
      <c r="AB21" s="63">
        <f>RANK($AA21,$AA$3:$AA$47)+COUNTIF($AA$3:$AA21,AA21)-1</f>
        <v>30</v>
      </c>
      <c r="AC21" s="61" t="str" cm="1">
        <f t="array" ref="AC21">IFERROR(_xlfn.IFS($AB21&lt;8,1,$AB21&lt;15,2,$AB21&lt;21,3),"")</f>
        <v/>
      </c>
      <c r="AE21" s="63" t="s">
        <v>145</v>
      </c>
      <c r="AF21" s="7" t="s">
        <v>168</v>
      </c>
      <c r="AG21" s="19" t="str">
        <f t="shared" si="6"/>
        <v xml:space="preserve"> </v>
      </c>
      <c r="AI21" s="63" t="s">
        <v>215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68</v>
      </c>
      <c r="C22" s="19" t="s">
        <v>53</v>
      </c>
      <c r="D22" s="71" t="s">
        <v>98</v>
      </c>
      <c r="E22" s="63">
        <v>210</v>
      </c>
      <c r="F22" s="125" cm="1">
        <f t="array" ref="F22">IsUpgradable(E22)</f>
        <v>1</v>
      </c>
      <c r="G22" s="127">
        <f t="shared" si="0"/>
        <v>2</v>
      </c>
      <c r="H22" s="198">
        <v>2.2000000000000002</v>
      </c>
      <c r="I22" s="123">
        <v>1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0.40000000000000036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0.11794871794871797</v>
      </c>
      <c r="V22" s="13" cm="1">
        <f t="array" ref="V22">Details!$D$9-SUMPRODUCT(TRANSPOSE(Details!$D$4:$D$8),$P22:$T22)-$I22</f>
        <v>859</v>
      </c>
      <c r="X22" s="13" cm="1">
        <f t="array" ref="X22">LevelUpgradeCost($E22)</f>
        <v>4161420000</v>
      </c>
      <c r="Y22" s="61">
        <f t="shared" si="4"/>
        <v>1</v>
      </c>
      <c r="AA22" s="110">
        <f t="shared" si="5"/>
        <v>2410</v>
      </c>
      <c r="AB22" s="63">
        <f>RANK($AA22,$AA$3:$AA$47)+COUNTIF($AA$3:$AA22,AA22)-1</f>
        <v>26</v>
      </c>
      <c r="AC22" s="61" t="str" cm="1">
        <f t="array" ref="AC22">IFERROR(_xlfn.IFS($AB22&lt;8,1,$AB22&lt;15,2,$AB22&lt;21,3),"")</f>
        <v/>
      </c>
      <c r="AE22" s="63" t="s">
        <v>162</v>
      </c>
      <c r="AF22" s="7" t="s">
        <v>185</v>
      </c>
      <c r="AG22" s="19" t="str">
        <f t="shared" si="6"/>
        <v xml:space="preserve"> </v>
      </c>
      <c r="AI22" s="63" t="s">
        <v>183</v>
      </c>
      <c r="AJ22" s="7"/>
      <c r="AK22" s="19"/>
    </row>
    <row r="23" spans="1:43" ht="12" customHeight="1" x14ac:dyDescent="0.2">
      <c r="A23" s="1" t="str" cm="1">
        <f t="array" ref="A23">GetMutationLevel(B23)</f>
        <v/>
      </c>
      <c r="B23" s="31" t="s">
        <v>76</v>
      </c>
      <c r="C23" s="19" t="s">
        <v>53</v>
      </c>
      <c r="D23" s="71" t="s">
        <v>97</v>
      </c>
      <c r="E23" s="63">
        <v>160</v>
      </c>
      <c r="F23" s="125" cm="1">
        <f t="array" ref="F23">IsUpgradable(E23)</f>
        <v>1</v>
      </c>
      <c r="G23" s="127">
        <f t="shared" si="0"/>
        <v>2</v>
      </c>
      <c r="H23" s="198">
        <v>2.2999999999999998</v>
      </c>
      <c r="I23" s="123">
        <v>10</v>
      </c>
      <c r="J23" s="63">
        <v>1</v>
      </c>
      <c r="K23" s="7">
        <v>1</v>
      </c>
      <c r="L23" s="7">
        <v>1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0.59999999999999964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0.13846153846153844</v>
      </c>
      <c r="V23" s="13" cm="1">
        <f t="array" ref="V23">Details!$D$9-SUMPRODUCT(TRANSPOSE(Details!$D$4:$D$8),$P23:$T23)-$I23</f>
        <v>830</v>
      </c>
      <c r="X23" s="13" cm="1">
        <f t="array" ref="X23">LevelUpgradeCost($E23)</f>
        <v>4919220000</v>
      </c>
      <c r="Y23" s="61">
        <f t="shared" si="4"/>
        <v>1</v>
      </c>
      <c r="AA23" s="110">
        <f t="shared" si="5"/>
        <v>2460</v>
      </c>
      <c r="AB23" s="63">
        <f>RANK($AA23,$AA$3:$AA$47)+COUNTIF($AA$3:$AA23,AA23)-1</f>
        <v>21</v>
      </c>
      <c r="AC23" s="61" t="str" cm="1">
        <f t="array" ref="AC23">IFERROR(_xlfn.IFS($AB23&lt;8,1,$AB23&lt;15,2,$AB23&lt;21,3),"")</f>
        <v/>
      </c>
      <c r="AE23" s="63" t="s">
        <v>152</v>
      </c>
      <c r="AF23" s="7" t="s">
        <v>188</v>
      </c>
      <c r="AG23" s="19" t="str">
        <f t="shared" si="6"/>
        <v xml:space="preserve"> </v>
      </c>
      <c r="AI23" s="63" t="s">
        <v>82</v>
      </c>
      <c r="AJ23" s="7" t="s">
        <v>112</v>
      </c>
      <c r="AK23" s="19"/>
    </row>
    <row r="24" spans="1:43" ht="12" customHeight="1" x14ac:dyDescent="0.2">
      <c r="A24" s="1" t="str" cm="1">
        <f t="array" ref="A24">GetMutationLevel(B24)</f>
        <v/>
      </c>
      <c r="B24" s="31" t="s">
        <v>64</v>
      </c>
      <c r="C24" s="19" t="s">
        <v>55</v>
      </c>
      <c r="D24" s="71" t="s">
        <v>97</v>
      </c>
      <c r="E24" s="63">
        <v>220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10</v>
      </c>
      <c r="K24" s="7">
        <v>10</v>
      </c>
      <c r="L24" s="7">
        <v>10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3826220000</v>
      </c>
      <c r="Y24" s="61">
        <f t="shared" si="4"/>
        <v>1</v>
      </c>
      <c r="AA24" s="110">
        <f t="shared" si="5"/>
        <v>2220</v>
      </c>
      <c r="AB24" s="63">
        <f>RANK($AA24,$AA$3:$AA$47)+COUNTIF($AA$3:$AA24,AA24)-1</f>
        <v>29</v>
      </c>
      <c r="AC24" s="61" t="str" cm="1">
        <f t="array" ref="AC24">IFERROR(_xlfn.IFS($AB24&lt;8,1,$AB24&lt;15,2,$AB24&lt;21,3),"")</f>
        <v/>
      </c>
      <c r="AE24" s="63" t="s">
        <v>156</v>
      </c>
      <c r="AF24" s="7" t="s">
        <v>173</v>
      </c>
      <c r="AG24" s="19" t="str">
        <f t="shared" si="6"/>
        <v xml:space="preserve"> </v>
      </c>
      <c r="AI24" s="63" t="s">
        <v>187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71</v>
      </c>
      <c r="C25" s="19" t="s">
        <v>55</v>
      </c>
      <c r="D25" s="71" t="s">
        <v>97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</v>
      </c>
      <c r="I25" s="123">
        <v>0</v>
      </c>
      <c r="J25" s="63">
        <v>1</v>
      </c>
      <c r="K25" s="7">
        <v>1</v>
      </c>
      <c r="L25" s="7">
        <v>1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2200</v>
      </c>
      <c r="AB25" s="63">
        <f>RANK($AA25,$AA$3:$AA$47)+COUNTIF($AA$3:$AA25,AA25)-1</f>
        <v>31</v>
      </c>
      <c r="AC25" s="61" t="str" cm="1">
        <f t="array" ref="AC25">IFERROR(_xlfn.IFS($AB25&lt;8,1,$AB25&lt;15,2,$AB25&lt;21,3),"")</f>
        <v/>
      </c>
      <c r="AE25" s="63" t="s">
        <v>191</v>
      </c>
      <c r="AF25" s="7"/>
      <c r="AG25" s="19" t="str">
        <f t="shared" si="6"/>
        <v xml:space="preserve"> </v>
      </c>
      <c r="AI25" s="63" t="s">
        <v>213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69</v>
      </c>
      <c r="C26" s="19" t="s">
        <v>53</v>
      </c>
      <c r="D26" s="71" t="s">
        <v>98</v>
      </c>
      <c r="E26" s="63">
        <v>200</v>
      </c>
      <c r="F26" s="125" cm="1">
        <f t="array" ref="F26">IsUpgradable(E26)</f>
        <v>1</v>
      </c>
      <c r="G26" s="127">
        <f t="shared" si="0"/>
        <v>2</v>
      </c>
      <c r="H26" s="198">
        <v>2.1</v>
      </c>
      <c r="I26" s="123">
        <v>11</v>
      </c>
      <c r="J26" s="63">
        <v>10</v>
      </c>
      <c r="K26" s="7">
        <v>10</v>
      </c>
      <c r="L26" s="7">
        <v>10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0.20000000000000018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9.7435897435897451E-2</v>
      </c>
      <c r="V26" s="13" cm="1">
        <f t="array" ref="V26">Details!$D$9-SUMPRODUCT(TRANSPOSE(Details!$D$4:$D$8),$P26:$T26)-$I26</f>
        <v>869</v>
      </c>
      <c r="X26" s="13" cm="1">
        <f t="array" ref="X26">LevelUpgradeCost($E26)</f>
        <v>4415720000</v>
      </c>
      <c r="Y26" s="61">
        <f t="shared" si="4"/>
        <v>1</v>
      </c>
      <c r="AA26" s="110">
        <f t="shared" si="5"/>
        <v>2300</v>
      </c>
      <c r="AB26" s="63">
        <f>RANK($AA26,$AA$3:$AA$47)+COUNTIF($AA$3:$AA26,AA26)-1</f>
        <v>28</v>
      </c>
      <c r="AC26" s="61" t="str" cm="1">
        <f t="array" ref="AC26">IFERROR(_xlfn.IFS($AB26&lt;8,1,$AB26&lt;15,2,$AB26&lt;21,3),"")</f>
        <v/>
      </c>
      <c r="AE26" s="63" t="s">
        <v>149</v>
      </c>
      <c r="AF26" s="7" t="s">
        <v>150</v>
      </c>
      <c r="AG26" s="19" t="str">
        <f t="shared" si="6"/>
        <v xml:space="preserve"> </v>
      </c>
      <c r="AI26" s="63" t="s">
        <v>209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31" t="s">
        <v>72</v>
      </c>
      <c r="C27" s="19" t="s">
        <v>61</v>
      </c>
      <c r="D27" s="71" t="s">
        <v>97</v>
      </c>
      <c r="E27" s="63">
        <v>210</v>
      </c>
      <c r="F27" s="125" cm="1">
        <f t="array" ref="F27">IsUpgradable(E27)</f>
        <v>1</v>
      </c>
      <c r="G27" s="127">
        <f t="shared" si="0"/>
        <v>2</v>
      </c>
      <c r="H27" s="198">
        <v>2.4</v>
      </c>
      <c r="I27" s="123">
        <v>3</v>
      </c>
      <c r="J27" s="63">
        <v>4</v>
      </c>
      <c r="K27" s="7">
        <v>1</v>
      </c>
      <c r="L27" s="7">
        <v>1</v>
      </c>
      <c r="M27" s="7" t="str">
        <f t="shared" si="1"/>
        <v/>
      </c>
      <c r="N27" s="19" t="str">
        <f t="shared" si="2"/>
        <v/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0.79999999999999982</v>
      </c>
      <c r="S27" s="9">
        <f>IFERROR(CHOOSE(IF($H27&gt;=Details!$B$7,1,2),Details!$D$7,IF($H27&gt;Details!$B$7-1,IF($H27&lt;1,Details!$G$5,MOD($H27,Details!$B$7-1))*10*Details!$C$7,""))/Details!$D$7,0)</f>
        <v>0</v>
      </c>
      <c r="T27" s="9">
        <f>IFERROR(CHOOSE(IF($H27&gt;=Details!$B$8,1,2),Details!$D$8,IF($H27&gt;Details!$B$8-1,IF($H27&lt;1,Details!$G$5,MOD($H27,Details!$B$8-1))*10*Details!$C$8,""))/Details!$D$8,0)</f>
        <v>0</v>
      </c>
      <c r="U27" s="9" cm="1">
        <f t="array" ref="U27">SUMPRODUCT(TRANSPOSE(Details!$D$4:$D$8),$P27:$T27)/Details!$D$9</f>
        <v>0.15897435897435896</v>
      </c>
      <c r="V27" s="13" cm="1">
        <f t="array" ref="V27">Details!$D$9-SUMPRODUCT(TRANSPOSE(Details!$D$4:$D$8),$P27:$T27)-$I27</f>
        <v>817</v>
      </c>
      <c r="X27" s="13" cm="1">
        <f t="array" ref="X27">LevelUpgradeCost($E27)</f>
        <v>4161420000</v>
      </c>
      <c r="Y27" s="61">
        <f t="shared" si="4"/>
        <v>1</v>
      </c>
      <c r="AA27" s="110">
        <f t="shared" si="5"/>
        <v>2610</v>
      </c>
      <c r="AB27" s="63">
        <f>RANK($AA27,$AA$3:$AA$47)+COUNTIF($AA$3:$AA27,AA27)-1</f>
        <v>19</v>
      </c>
      <c r="AC27" s="61" cm="1">
        <f t="array" ref="AC27">IFERROR(_xlfn.IFS($AB27&lt;8,1,$AB27&lt;15,2,$AB27&lt;21,3),"")</f>
        <v>3</v>
      </c>
      <c r="AE27" s="63" t="s">
        <v>148</v>
      </c>
      <c r="AF27" s="7" t="str">
        <f t="shared" si="3"/>
        <v xml:space="preserve"> </v>
      </c>
      <c r="AG27" s="19" t="str">
        <f t="shared" si="6"/>
        <v xml:space="preserve"> </v>
      </c>
      <c r="AI27" s="63" t="s">
        <v>221</v>
      </c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120</v>
      </c>
      <c r="C28" s="151" t="s">
        <v>55</v>
      </c>
      <c r="D28" s="152" t="s">
        <v>97</v>
      </c>
      <c r="E28" s="153">
        <v>260</v>
      </c>
      <c r="F28" s="125" cm="1">
        <f t="array" ref="F28">IsUpgradable(E28)</f>
        <v>1</v>
      </c>
      <c r="G28" s="127">
        <f>INT(H28)</f>
        <v>5</v>
      </c>
      <c r="H28" s="199">
        <v>5</v>
      </c>
      <c r="I28" s="156">
        <v>128</v>
      </c>
      <c r="J28" s="153">
        <v>1</v>
      </c>
      <c r="K28" s="157">
        <v>1</v>
      </c>
      <c r="L28" s="157">
        <v>1</v>
      </c>
      <c r="M28" s="7" t="str">
        <f t="shared" ref="M28:M34" si="10">IF($G28&gt;3,"Max","")</f>
        <v>Max</v>
      </c>
      <c r="N28" s="19">
        <f t="shared" ref="N28:N34" si="11">IF(H28=5,10,"")</f>
        <v>10</v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1</v>
      </c>
      <c r="T28" s="9">
        <f>IFERROR(CHOOSE(IF($H28&gt;=Details!$B$8,1,2),Details!$D$8,IF($H28&gt;Details!$B$8-1,IF($H28&lt;1,Details!$G$5,MOD($H28,Details!$B$8-1))*10*Details!$C$8,""))/Details!$D$8,0)</f>
        <v>1</v>
      </c>
      <c r="U28" s="9" cm="1">
        <f t="array" ref="U28">SUMPRODUCT(TRANSPOSE(Details!$D$4:$D$8),$P28:$T28)/Details!$D$9</f>
        <v>1</v>
      </c>
      <c r="V28" s="13" cm="1">
        <f t="array" ref="V28">Details!$D$9-SUMPRODUCT(TRANSPOSE(Details!$D$4:$D$8),$P28:$T28)-$I28</f>
        <v>-128</v>
      </c>
      <c r="X28" s="13" cm="1">
        <f t="array" ref="X28">LevelUpgradeCost($E28)</f>
        <v>1235520000</v>
      </c>
      <c r="Y28" s="61">
        <f t="shared" si="4"/>
        <v>1</v>
      </c>
      <c r="AA28" s="110">
        <f t="shared" si="5"/>
        <v>5260</v>
      </c>
      <c r="AB28" s="63">
        <f>RANK($AA28,$AA$3:$AA$47)+COUNTIF($AA$3:$AA28,AA28)-1</f>
        <v>6</v>
      </c>
      <c r="AC28" s="61" cm="1">
        <f t="array" ref="AC28">IFERROR(_xlfn.IFS($AB28&lt;8,1,$AB28&lt;15,2,$AB28&lt;21,3),"")</f>
        <v>1</v>
      </c>
      <c r="AE28" s="63" t="s">
        <v>189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150" t="s">
        <v>121</v>
      </c>
      <c r="C29" s="151" t="s">
        <v>50</v>
      </c>
      <c r="D29" s="152" t="s">
        <v>97</v>
      </c>
      <c r="E29" s="153">
        <v>210</v>
      </c>
      <c r="F29" s="125" cm="1">
        <f t="array" ref="F29">IsUpgradable(E29)</f>
        <v>1</v>
      </c>
      <c r="G29" s="127">
        <f>INT(H29)</f>
        <v>3</v>
      </c>
      <c r="H29" s="199">
        <v>3.2</v>
      </c>
      <c r="I29" s="156">
        <v>10</v>
      </c>
      <c r="J29" s="153">
        <v>1</v>
      </c>
      <c r="K29" s="157">
        <v>1</v>
      </c>
      <c r="L29" s="157">
        <v>20</v>
      </c>
      <c r="M29" s="7" t="str">
        <f t="shared" si="10"/>
        <v/>
      </c>
      <c r="N29" s="19" t="str">
        <f t="shared" si="11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0.40000000000000036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0.30256410256410265</v>
      </c>
      <c r="V29" s="13" cm="1">
        <f t="array" ref="V29">Details!$D$9-SUMPRODUCT(TRANSPOSE(Details!$D$4:$D$8),$P29:$T29)-$I29</f>
        <v>669.99999999999989</v>
      </c>
      <c r="X29" s="13" cm="1">
        <f t="array" ref="X29">LevelUpgradeCost($E29)</f>
        <v>4161420000</v>
      </c>
      <c r="Y29" s="61">
        <f t="shared" si="4"/>
        <v>1</v>
      </c>
      <c r="AA29" s="110">
        <f t="shared" si="5"/>
        <v>3410</v>
      </c>
      <c r="AB29" s="63">
        <f>RANK($AA29,$AA$3:$AA$47)+COUNTIF($AA$3:$AA29,AA29)-1</f>
        <v>14</v>
      </c>
      <c r="AC29" s="61" cm="1">
        <f t="array" ref="AC29">IFERROR(_xlfn.IFS($AB29&lt;8,1,$AB29&lt;15,2,$AB29&lt;21,3),"")</f>
        <v>2</v>
      </c>
      <c r="AE29" s="63" t="s">
        <v>180</v>
      </c>
      <c r="AF29" s="7" t="str">
        <f t="shared" si="3"/>
        <v xml:space="preserve"> </v>
      </c>
      <c r="AG29" s="19" t="str">
        <f t="shared" si="6"/>
        <v xml:space="preserve"> </v>
      </c>
      <c r="AI29" s="63"/>
      <c r="AJ29" s="7"/>
      <c r="AK29" s="19"/>
    </row>
    <row r="30" spans="1:43" ht="12" customHeight="1" x14ac:dyDescent="0.2">
      <c r="A30" s="1" t="str" cm="1">
        <f t="array" ref="A30">GetMutationLevel(B30)</f>
        <v/>
      </c>
      <c r="B30" s="31" t="s">
        <v>236</v>
      </c>
      <c r="C30" s="19" t="s">
        <v>53</v>
      </c>
      <c r="D30" s="71" t="s">
        <v>98</v>
      </c>
      <c r="E30" s="63">
        <v>190</v>
      </c>
      <c r="F30" s="125" cm="1">
        <f t="array" ref="F30">IsUpgradable(E30)</f>
        <v>1</v>
      </c>
      <c r="G30" s="127">
        <f t="shared" ref="G30" si="12">INT(H30)</f>
        <v>4</v>
      </c>
      <c r="H30" s="198">
        <v>4</v>
      </c>
      <c r="I30" s="123">
        <v>30</v>
      </c>
      <c r="J30" s="153">
        <v>1</v>
      </c>
      <c r="K30" s="157">
        <v>1</v>
      </c>
      <c r="L30" s="157">
        <v>1</v>
      </c>
      <c r="M30" s="7" t="str">
        <f t="shared" si="10"/>
        <v>Max</v>
      </c>
      <c r="N30" s="19" t="str">
        <f t="shared" si="11"/>
        <v/>
      </c>
      <c r="P30" s="9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9">
        <f>IFERROR(CHOOSE(IF($H30&gt;=Details!$B$6,1,2),Details!$D$6,IF($H30&gt;Details!$B$6-1,IF($H30&lt;1,Details!$G$5,MOD($H30,Details!$B$6-1))*10*Details!$C$6,""))/Details!$D$6,0)</f>
        <v>1</v>
      </c>
      <c r="S30" s="9">
        <f>IFERROR(CHOOSE(IF($H30&gt;=Details!$B$7,1,2),Details!$D$7,IF($H30&gt;Details!$B$7-1,IF($H30&lt;1,Details!$G$5,MOD($H30,Details!$B$7-1))*10*Details!$C$7,""))/Details!$D$7,0)</f>
        <v>1</v>
      </c>
      <c r="T30" s="9">
        <f>IFERROR(CHOOSE(IF($H30&gt;=Details!$B$8,1,2),Details!$D$8,IF($H30&gt;Details!$B$8-1,IF($H30&lt;1,Details!$G$5,MOD($H30,Details!$B$8-1))*10*Details!$C$8,""))/Details!$D$8,0)</f>
        <v>0</v>
      </c>
      <c r="U30" s="9" cm="1">
        <f t="array" ref="U30">SUMPRODUCT(TRANSPOSE(Details!$D$4:$D$8),$P30:$T30)/Details!$D$9</f>
        <v>0.48717948717948717</v>
      </c>
      <c r="V30" s="13" cm="1">
        <f t="array" ref="V30">Details!$D$9-SUMPRODUCT(TRANSPOSE(Details!$D$4:$D$8),$P30:$T30)-$I30</f>
        <v>470</v>
      </c>
      <c r="X30" s="13" cm="1">
        <f t="array" ref="X30">LevelUpgradeCost($E30)</f>
        <v>4605720000</v>
      </c>
      <c r="Y30" s="61">
        <f t="shared" ref="Y30" si="13">F30</f>
        <v>1</v>
      </c>
      <c r="AA30" s="110">
        <f t="shared" si="5"/>
        <v>4190</v>
      </c>
      <c r="AB30" s="63">
        <f>RANK($AA30,$AA$3:$AA$47)+COUNTIF($AA$3:$AA30,AA30)-1</f>
        <v>13</v>
      </c>
      <c r="AC30" s="61" cm="1">
        <f t="array" ref="AC30">IFERROR(_xlfn.IFS($AB30&lt;8,1,$AB30&lt;15,2,$AB30&lt;21,3),"")</f>
        <v>2</v>
      </c>
      <c r="AE30" s="63" t="s">
        <v>239</v>
      </c>
      <c r="AF30" s="7"/>
      <c r="AG30" s="19" t="str">
        <f t="shared" si="6"/>
        <v xml:space="preserve"> </v>
      </c>
      <c r="AI30" s="63"/>
      <c r="AJ30" s="7"/>
      <c r="AK30" s="19"/>
    </row>
    <row r="31" spans="1:43" ht="12" customHeight="1" thickBot="1" x14ac:dyDescent="0.25">
      <c r="A31" s="1" t="str" cm="1">
        <f t="array" ref="A31">GetMutationLevel(B31)</f>
        <v/>
      </c>
      <c r="B31" s="150" t="s">
        <v>73</v>
      </c>
      <c r="C31" s="151" t="s">
        <v>55</v>
      </c>
      <c r="D31" s="152" t="s">
        <v>97</v>
      </c>
      <c r="E31" s="153">
        <v>210</v>
      </c>
      <c r="F31" s="154" cm="1">
        <f t="array" ref="F31">IsUpgradable(E31)</f>
        <v>1</v>
      </c>
      <c r="G31" s="155">
        <f>INT(H31)</f>
        <v>2</v>
      </c>
      <c r="H31" s="199">
        <v>2.1</v>
      </c>
      <c r="I31" s="156">
        <v>10</v>
      </c>
      <c r="J31" s="153">
        <v>5</v>
      </c>
      <c r="K31" s="157">
        <v>1</v>
      </c>
      <c r="L31" s="157">
        <v>1</v>
      </c>
      <c r="M31" s="157" t="str">
        <f t="shared" si="10"/>
        <v/>
      </c>
      <c r="N31" s="151" t="str">
        <f t="shared" si="11"/>
        <v/>
      </c>
      <c r="P31" s="158">
        <f>IFERROR(CHOOSE(IF($H31&gt;=Details!$B$4,1,2),Details!$D$4,IF($H31&gt;Details!$B$4-1,IF($H31&lt;1,$H31,MOD($H31,Details!$B$4-1))*10*Details!$C$4,""))/Details!$D$4,0)</f>
        <v>1</v>
      </c>
      <c r="Q31" s="9">
        <f>IFERROR(CHOOSE(IF($H31&gt;=Details!$B$5,1,2),Details!$D$5,IF($H31&gt;Details!$B$5-1,IF($H31&lt;1,Details!$G$4,MOD($H31,Details!$B$5-1))*10*Details!$C$5,""))/Details!$D$5,0)</f>
        <v>1</v>
      </c>
      <c r="R31" s="158">
        <f>IFERROR(CHOOSE(IF($H31&gt;=Details!$B$6,1,2),Details!$D$6,IF($H31&gt;Details!$B$6-1,IF($H31&lt;1,Details!$G$5,MOD($H31,Details!$B$6-1))*10*Details!$C$6,""))/Details!$D$6,0)</f>
        <v>0.20000000000000018</v>
      </c>
      <c r="S31" s="158">
        <f>IFERROR(CHOOSE(IF($H31&gt;=Details!$B$7,1,2),Details!$D$7,IF($H31&gt;Details!$B$7-1,IF($H31&lt;1,Details!$G$5,MOD($H31,Details!$B$7-1))*10*Details!$C$7,""))/Details!$D$7,0)</f>
        <v>0</v>
      </c>
      <c r="T31" s="158">
        <f>IFERROR(CHOOSE(IF($H31&gt;=Details!$B$8,1,2),Details!$D$8,IF($H31&gt;Details!$B$8-1,IF($H31&lt;1,Details!$G$5,MOD($H31,Details!$B$8-1))*10*Details!$C$8,""))/Details!$D$8,0)</f>
        <v>0</v>
      </c>
      <c r="U31" s="158" cm="1">
        <f t="array" ref="U31">SUMPRODUCT(TRANSPOSE(Details!$D$4:$D$8),$P31:$T31)/Details!$D$9</f>
        <v>9.7435897435897451E-2</v>
      </c>
      <c r="V31" s="159" cm="1">
        <f t="array" ref="V31">Details!$D$9-SUMPRODUCT(TRANSPOSE(Details!$D$4:$D$8),$P31:$T31)-$I31</f>
        <v>870</v>
      </c>
      <c r="X31" s="159" cm="1">
        <f t="array" ref="X31">LevelUpgradeCost($E31)</f>
        <v>4161420000</v>
      </c>
      <c r="Y31" s="160">
        <f t="shared" si="4"/>
        <v>1</v>
      </c>
      <c r="AA31" s="202">
        <f t="shared" si="5"/>
        <v>2310</v>
      </c>
      <c r="AB31" s="153">
        <f>RANK($AA31,$AA$3:$AA$47)+COUNTIF($AA$3:$AA31,AA31)-1</f>
        <v>27</v>
      </c>
      <c r="AC31" s="160" t="str" cm="1">
        <f t="array" ref="AC31">IFERROR(_xlfn.IFS($AB31&lt;8,1,$AB31&lt;15,2,$AB31&lt;21,3),"")</f>
        <v/>
      </c>
      <c r="AE31" s="64" t="s">
        <v>153</v>
      </c>
      <c r="AF31" s="70" t="s">
        <v>166</v>
      </c>
      <c r="AG31" s="20" t="str">
        <f t="shared" si="6"/>
        <v xml:space="preserve"> </v>
      </c>
      <c r="AI31" s="64" t="s">
        <v>217</v>
      </c>
      <c r="AJ31" s="70"/>
      <c r="AK31" s="20"/>
    </row>
    <row r="32" spans="1:43" ht="12" customHeight="1" x14ac:dyDescent="0.2">
      <c r="A32" s="1" t="str" cm="1">
        <f t="array" ref="A32">GetMutationLevel(B32)</f>
        <v/>
      </c>
      <c r="B32" s="171" t="s">
        <v>84</v>
      </c>
      <c r="C32" s="172" t="s">
        <v>50</v>
      </c>
      <c r="D32" s="173" t="s">
        <v>98</v>
      </c>
      <c r="E32" s="174"/>
      <c r="F32" s="175" t="str" cm="1">
        <f t="array" ref="F32">IsUpgradable(E32)</f>
        <v/>
      </c>
      <c r="G32" s="176">
        <f t="shared" ref="G32:G46" si="14">INT(H32)</f>
        <v>0</v>
      </c>
      <c r="H32" s="200"/>
      <c r="I32" s="177"/>
      <c r="J32" s="174" t="str" cm="1">
        <f t="array" ref="J32">IF(E32="","",_xlfn.MAKEARRAY(1,3,_xlfn.LAMBDA(_xlpm.row,_xlpm.col,1)))</f>
        <v/>
      </c>
      <c r="K32" s="178"/>
      <c r="L32" s="178"/>
      <c r="M32" s="178" t="str">
        <f t="shared" si="10"/>
        <v/>
      </c>
      <c r="N32" s="172" t="str">
        <f t="shared" si="11"/>
        <v/>
      </c>
      <c r="O32" s="140"/>
      <c r="P32" s="17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179">
        <f>IFERROR(CHOOSE(IF($H32&gt;=Details!$B$6,1,2),Details!$D$6,IF($H32&gt;Details!$B$6-1,IF($H32&lt;1,Details!$G$5,MOD($H32,Details!$B$6-1))*10*Details!$C$6,""))/Details!$D$6,0)</f>
        <v>0</v>
      </c>
      <c r="S32" s="179">
        <f>IFERROR(CHOOSE(IF($H32&gt;=Details!$B$7,1,2),Details!$D$7,IF($H32&gt;Details!$B$7-1,IF($H32&lt;1,Details!$G$5,MOD($H32,Details!$B$7-1))*10*Details!$C$7,""))/Details!$D$7,0)</f>
        <v>0</v>
      </c>
      <c r="T32" s="179">
        <f>IFERROR(CHOOSE(IF($H32&gt;=Details!$B$8,1,2),Details!$D$8,IF($H32&gt;Details!$B$8-1,IF($H32&lt;1,Details!$G$5,MOD($H32,Details!$B$8-1))*10*Details!$C$8,""))/Details!$D$8,0)</f>
        <v>0</v>
      </c>
      <c r="U32" s="179" cm="1">
        <f t="array" ref="U32">SUMPRODUCT(TRANSPOSE(Details!$D$4:$D$8),$P32:$T32)/Details!$D$9</f>
        <v>0</v>
      </c>
      <c r="V32" s="60" cm="1">
        <f t="array" ref="V32">Details!$D$9-SUMPRODUCT(TRANSPOSE(Details!$D$4:$D$8),$P32:$T32)-$I32</f>
        <v>975</v>
      </c>
      <c r="W32" s="140"/>
      <c r="X32" s="60" cm="1">
        <f t="array" ref="X32">LevelUpgradeCost($E32)</f>
        <v>5044093700</v>
      </c>
      <c r="Y32" s="180" t="str">
        <f t="shared" si="4"/>
        <v/>
      </c>
      <c r="Z32" s="140"/>
      <c r="AA32" s="203">
        <f t="shared" si="5"/>
        <v>0</v>
      </c>
      <c r="AB32" s="174">
        <f>RANK($AA32,$AA$3:$AA$47)+COUNTIF($AA$3:$AA32,AA32)-1</f>
        <v>34</v>
      </c>
      <c r="AC32" s="180" t="str" cm="1">
        <f t="array" ref="AC32">IFERROR(_xlfn.IFS($AB32&lt;8,1,$AB32&lt;15,2,$AB32&lt;21,3),"")</f>
        <v/>
      </c>
      <c r="AE32" s="174" t="s">
        <v>164</v>
      </c>
      <c r="AF32" s="178" t="str">
        <f t="shared" si="3"/>
        <v xml:space="preserve"> </v>
      </c>
      <c r="AG32" s="172" t="str">
        <f t="shared" si="6"/>
        <v xml:space="preserve"> </v>
      </c>
      <c r="AI32" s="174" t="s">
        <v>223</v>
      </c>
      <c r="AJ32" s="178"/>
      <c r="AK32" s="172"/>
    </row>
    <row r="33" spans="1:37" ht="12" customHeight="1" x14ac:dyDescent="0.2">
      <c r="A33" s="1" t="str" cm="1">
        <f t="array" ref="A33">GetMutationLevel(B33)</f>
        <v/>
      </c>
      <c r="B33" s="31" t="s">
        <v>85</v>
      </c>
      <c r="C33" s="19" t="s">
        <v>61</v>
      </c>
      <c r="D33" s="71" t="s">
        <v>97</v>
      </c>
      <c r="E33" s="63">
        <v>140</v>
      </c>
      <c r="F33" s="125" cm="1">
        <f t="array" ref="F33">IsUpgradable(E33)</f>
        <v>1</v>
      </c>
      <c r="G33" s="127">
        <f t="shared" si="14"/>
        <v>5</v>
      </c>
      <c r="H33" s="198">
        <v>5</v>
      </c>
      <c r="I33" s="123">
        <v>0</v>
      </c>
      <c r="J33" s="63" cm="1">
        <f t="array" ref="J33:L33">IF(E33="","",_xlfn.MAKEARRAY(1,3,_xlfn.LAMBDA(_xlpm.row,_xlpm.col,1)))</f>
        <v>1</v>
      </c>
      <c r="K33" s="7">
        <v>1</v>
      </c>
      <c r="L33" s="7">
        <v>1</v>
      </c>
      <c r="M33" s="7" t="str">
        <f t="shared" si="10"/>
        <v>Max</v>
      </c>
      <c r="N33" s="19">
        <f t="shared" si="11"/>
        <v>10</v>
      </c>
      <c r="P33" s="9">
        <f>IFERROR(CHOOSE(IF($H33&gt;=Details!$B$4,1,2),Details!$D$4,IF($H33&gt;Details!$B$4-1,IF($H33&lt;1,$H33,MOD($H33,Details!$B$4-1))*10*Details!$C$4,""))/Details!$D$4,0)</f>
        <v>1</v>
      </c>
      <c r="Q33" s="9">
        <f>IFERROR(CHOOSE(IF($H33&gt;=Details!$B$5,1,2),Details!$D$5,IF($H33&gt;Details!$B$5-1,IF($H33&lt;1,Details!$G$4,MOD($H33,Details!$B$5-1))*10*Details!$C$5,""))/Details!$D$5,0)</f>
        <v>1</v>
      </c>
      <c r="R33" s="9">
        <f>IFERROR(CHOOSE(IF($H33&gt;=Details!$B$6,1,2),Details!$D$6,IF($H33&gt;Details!$B$6-1,IF($H33&lt;1,Details!$G$5,MOD($H33,Details!$B$6-1))*10*Details!$C$6,""))/Details!$D$6,0)</f>
        <v>1</v>
      </c>
      <c r="S33" s="9">
        <f>IFERROR(CHOOSE(IF($H33&gt;=Details!$B$7,1,2),Details!$D$7,IF($H33&gt;Details!$B$7-1,IF($H33&lt;1,Details!$G$5,MOD($H33,Details!$B$7-1))*10*Details!$C$7,""))/Details!$D$7,0)</f>
        <v>1</v>
      </c>
      <c r="T33" s="9">
        <f>IFERROR(CHOOSE(IF($H33&gt;=Details!$B$8,1,2),Details!$D$8,IF($H33&gt;Details!$B$8-1,IF($H33&lt;1,Details!$G$5,MOD($H33,Details!$B$8-1))*10*Details!$C$8,""))/Details!$D$8,0)</f>
        <v>1</v>
      </c>
      <c r="U33" s="9" cm="1">
        <f t="array" ref="U33">SUMPRODUCT(TRANSPOSE(Details!$D$4:$D$8),$P33:$T33)/Details!$D$9</f>
        <v>1</v>
      </c>
      <c r="V33" s="13" cm="1">
        <f t="array" ref="V33">Details!$D$9-SUMPRODUCT(TRANSPOSE(Details!$D$4:$D$8),$P33:$T33)-$I33</f>
        <v>0</v>
      </c>
      <c r="X33" s="13" cm="1">
        <f t="array" ref="X33">LevelUpgradeCost($E33)</f>
        <v>4999220000</v>
      </c>
      <c r="Y33" s="61">
        <f t="shared" si="4"/>
        <v>1</v>
      </c>
      <c r="AA33" s="110">
        <f t="shared" si="5"/>
        <v>5140</v>
      </c>
      <c r="AB33" s="63">
        <f>RANK($AA33,$AA$3:$AA$47)+COUNTIF($AA$3:$AA33,AA33)-1</f>
        <v>7</v>
      </c>
      <c r="AC33" s="61" cm="1">
        <f t="array" ref="AC33">IFERROR(_xlfn.IFS($AB33&lt;8,1,$AB33&lt;15,2,$AB33&lt;21,3),"")</f>
        <v>1</v>
      </c>
      <c r="AE33" s="63" t="s">
        <v>165</v>
      </c>
      <c r="AF33" s="7" t="s">
        <v>181</v>
      </c>
      <c r="AG33" s="19" t="str">
        <f t="shared" si="6"/>
        <v xml:space="preserve"> </v>
      </c>
      <c r="AI33" s="63" t="s">
        <v>224</v>
      </c>
      <c r="AJ33" s="7"/>
      <c r="AK33" s="19"/>
    </row>
    <row r="34" spans="1:37" ht="12" customHeight="1" x14ac:dyDescent="0.2">
      <c r="A34" s="1" t="str" cm="1">
        <f t="array" ref="A34">GetMutationLevel(B34)</f>
        <v/>
      </c>
      <c r="B34" s="31" t="s">
        <v>225</v>
      </c>
      <c r="C34" s="19" t="s">
        <v>55</v>
      </c>
      <c r="D34" s="71" t="s">
        <v>98</v>
      </c>
      <c r="E34" s="63"/>
      <c r="F34" s="125" t="str" cm="1">
        <f t="array" ref="F34">IsUpgradable(E34)</f>
        <v/>
      </c>
      <c r="G34" s="127">
        <f t="shared" si="14"/>
        <v>0</v>
      </c>
      <c r="H34" s="198"/>
      <c r="I34" s="123"/>
      <c r="J34" s="63" t="str" cm="1">
        <f t="array" ref="J34">IF(E34="","",_xlfn.MAKEARRAY(1,3,_xlfn.LAMBDA(_xlpm.row,_xlpm.col,1)))</f>
        <v/>
      </c>
      <c r="K34" s="7"/>
      <c r="L34" s="7"/>
      <c r="M34" s="7" t="str">
        <f t="shared" si="10"/>
        <v/>
      </c>
      <c r="N34" s="19" t="str">
        <f t="shared" si="11"/>
        <v/>
      </c>
      <c r="P34" s="9">
        <f>IFERROR(CHOOSE(IF($H34&gt;=Details!$B$4,1,2),Details!$D$4,IF($H34&gt;Details!$B$4-1,IF($H34&lt;1,$H34,MOD($H34,Details!$B$4-1))*10*Details!$C$4,""))/Details!$D$4,0)</f>
        <v>0</v>
      </c>
      <c r="Q34" s="9">
        <f>IFERROR(CHOOSE(IF($H34&gt;=Details!$B$5,1,2),Details!$D$5,IF($H34&gt;Details!$B$5-1,IF($H34&lt;1,Details!$G$4,MOD($H34,Details!$B$5-1))*10*Details!$C$5,""))/Details!$D$5,0)</f>
        <v>0</v>
      </c>
      <c r="R34" s="9">
        <f>IFERROR(CHOOSE(IF($H34&gt;=Details!$B$6,1,2),Details!$D$6,IF($H34&gt;Details!$B$6-1,IF($H34&lt;1,Details!$G$5,MOD($H34,Details!$B$6-1))*10*Details!$C$6,""))/Details!$D$6,0)</f>
        <v>0</v>
      </c>
      <c r="S34" s="9">
        <f>IFERROR(CHOOSE(IF($H34&gt;=Details!$B$7,1,2),Details!$D$7,IF($H34&gt;Details!$B$7-1,IF($H34&lt;1,Details!$G$5,MOD($H34,Details!$B$7-1))*10*Details!$C$7,""))/Details!$D$7,0)</f>
        <v>0</v>
      </c>
      <c r="T34" s="9">
        <f>IFERROR(CHOOSE(IF($H34&gt;=Details!$B$8,1,2),Details!$D$8,IF($H34&gt;Details!$B$8-1,IF($H34&lt;1,Details!$G$5,MOD($H34,Details!$B$8-1))*10*Details!$C$8,""))/Details!$D$8,0)</f>
        <v>0</v>
      </c>
      <c r="U34" s="9" cm="1">
        <f t="array" ref="U34">SUMPRODUCT(TRANSPOSE(Details!$D$4:$D$8),$P34:$T34)/Details!$D$9</f>
        <v>0</v>
      </c>
      <c r="V34" s="13" cm="1">
        <f t="array" ref="V34">Details!$D$9-SUMPRODUCT(TRANSPOSE(Details!$D$4:$D$8),$P34:$T34)-$I34</f>
        <v>975</v>
      </c>
      <c r="X34" s="13" cm="1">
        <f t="array" ref="X34">LevelUpgradeCost($E34)</f>
        <v>5044093700</v>
      </c>
      <c r="Y34" s="61" t="str">
        <f t="shared" si="4"/>
        <v/>
      </c>
      <c r="AA34" s="110">
        <f t="shared" si="5"/>
        <v>0</v>
      </c>
      <c r="AB34" s="63">
        <f>RANK($AA34,$AA$3:$AA$47)+COUNTIF($AA$3:$AA34,AA34)-1</f>
        <v>35</v>
      </c>
      <c r="AC34" s="61" t="str" cm="1">
        <f t="array" ref="AC34">IFERROR(_xlfn.IFS($AB34&lt;8,1,$AB34&lt;15,2,$AB34&lt;21,3),"")</f>
        <v/>
      </c>
      <c r="AE34" s="63" t="s">
        <v>176</v>
      </c>
      <c r="AF34" s="7" t="str">
        <f t="shared" si="3"/>
        <v xml:space="preserve"> </v>
      </c>
      <c r="AG34" s="19" t="str">
        <f t="shared" si="6"/>
        <v xml:space="preserve"> </v>
      </c>
      <c r="AI34" s="63" t="s">
        <v>86</v>
      </c>
      <c r="AJ34" s="7"/>
      <c r="AK34" s="19"/>
    </row>
    <row r="35" spans="1:37" ht="12" customHeight="1" thickBot="1" x14ac:dyDescent="0.25">
      <c r="A35" s="1" t="str" cm="1">
        <f t="array" ref="A35">GetMutationLevel(B35)</f>
        <v/>
      </c>
      <c r="B35" s="14" t="s">
        <v>139</v>
      </c>
      <c r="C35" s="20" t="s">
        <v>53</v>
      </c>
      <c r="D35" s="72" t="s">
        <v>97</v>
      </c>
      <c r="E35" s="64">
        <v>270</v>
      </c>
      <c r="F35" s="126" t="str" cm="1">
        <f t="array" ref="F35">IsUpgradable(E35)</f>
        <v/>
      </c>
      <c r="G35" s="129">
        <f t="shared" si="14"/>
        <v>5</v>
      </c>
      <c r="H35" s="201">
        <v>5</v>
      </c>
      <c r="I35" s="124">
        <v>0</v>
      </c>
      <c r="J35" s="64">
        <v>30</v>
      </c>
      <c r="K35" s="70">
        <v>30</v>
      </c>
      <c r="L35" s="70">
        <v>30</v>
      </c>
      <c r="M35" s="70" t="str">
        <f t="shared" ref="M35:M46" si="15">IF($G35&gt;3,"Max","")</f>
        <v>Max</v>
      </c>
      <c r="N35" s="20">
        <f t="shared" ref="N35:N46" si="16">IF(H35=5,10,"")</f>
        <v>10</v>
      </c>
      <c r="O35" s="141"/>
      <c r="P35" s="21">
        <f>IFERROR(CHOOSE(IF($H35&gt;=Details!$B$4,1,2),Details!$D$4,IF($H35&gt;Details!$B$4-1,IF($H35&lt;1,$H35,MOD($H35,Details!$B$4-1))*10*Details!$C$4,""))/Details!$D$4,0)</f>
        <v>1</v>
      </c>
      <c r="Q35" s="9">
        <f>IFERROR(CHOOSE(IF($H35&gt;=Details!$B$5,1,2),Details!$D$5,IF($H35&gt;Details!$B$5-1,IF($H35&lt;1,Details!$G$4,MOD($H35,Details!$B$5-1))*10*Details!$C$5,""))/Details!$D$5,0)</f>
        <v>1</v>
      </c>
      <c r="R35" s="21">
        <f>IFERROR(CHOOSE(IF($H35&gt;=Details!$B$6,1,2),Details!$D$6,IF($H35&gt;Details!$B$6-1,IF($H35&lt;1,Details!$G$5,MOD($H35,Details!$B$6-1))*10*Details!$C$6,""))/Details!$D$6,0)</f>
        <v>1</v>
      </c>
      <c r="S35" s="21">
        <f>IFERROR(CHOOSE(IF($H35&gt;=Details!$B$7,1,2),Details!$D$7,IF($H35&gt;Details!$B$7-1,IF($H35&lt;1,Details!$G$5,MOD($H35,Details!$B$7-1))*10*Details!$C$7,""))/Details!$D$7,0)</f>
        <v>1</v>
      </c>
      <c r="T35" s="21">
        <f>IFERROR(CHOOSE(IF($H35&gt;=Details!$B$8,1,2),Details!$D$8,IF($H35&gt;Details!$B$8-1,IF($H35&lt;1,Details!$G$5,MOD($H35,Details!$B$8-1))*10*Details!$C$8,""))/Details!$D$8,0)</f>
        <v>1</v>
      </c>
      <c r="U35" s="21" cm="1">
        <f t="array" ref="U35">SUMPRODUCT(TRANSPOSE(Details!$D$4:$D$8),$P35:$T35)/Details!$D$9</f>
        <v>1</v>
      </c>
      <c r="V35" s="22" cm="1">
        <f t="array" ref="V35">Details!$D$9-SUMPRODUCT(TRANSPOSE(Details!$D$4:$D$8),$P35:$T35)-$I35</f>
        <v>0</v>
      </c>
      <c r="W35" s="141"/>
      <c r="X35" s="22" cm="1">
        <f t="array" ref="X35">LevelUpgradeCost($E35)</f>
        <v>135120000</v>
      </c>
      <c r="Y35" s="62" t="str">
        <f t="shared" si="4"/>
        <v/>
      </c>
      <c r="Z35" s="141"/>
      <c r="AA35" s="112">
        <f t="shared" si="5"/>
        <v>5270</v>
      </c>
      <c r="AB35" s="64">
        <f>RANK($AA35,$AA$3:$AA$47)+COUNTIF($AA$3:$AA35,AA35)-1</f>
        <v>4</v>
      </c>
      <c r="AC35" s="62" cm="1">
        <f t="array" ref="AC35">IFERROR(_xlfn.IFS($AB35&lt;8,1,$AB35&lt;15,2,$AB35&lt;21,3),"")</f>
        <v>1</v>
      </c>
      <c r="AE35" s="64" t="s">
        <v>154</v>
      </c>
      <c r="AF35" s="70" t="s">
        <v>182</v>
      </c>
      <c r="AG35" s="20" t="str">
        <f t="shared" si="6"/>
        <v xml:space="preserve"> </v>
      </c>
      <c r="AI35" s="64" t="s">
        <v>87</v>
      </c>
      <c r="AJ35" s="70"/>
      <c r="AK35" s="20"/>
    </row>
    <row r="36" spans="1:37" ht="12" customHeight="1" x14ac:dyDescent="0.2">
      <c r="A36" s="1" cm="1">
        <f t="array" ref="A36">GetMutationLevel(B36)</f>
        <v>2</v>
      </c>
      <c r="B36" s="161" t="s">
        <v>112</v>
      </c>
      <c r="C36" s="162" t="s">
        <v>53</v>
      </c>
      <c r="D36" s="163" t="s">
        <v>97</v>
      </c>
      <c r="E36" s="174"/>
      <c r="F36" s="164" t="str" cm="1">
        <f t="array" ref="F36">IsUpgradable(E36)</f>
        <v/>
      </c>
      <c r="G36" s="165">
        <f t="shared" si="14"/>
        <v>0</v>
      </c>
      <c r="H36" s="200"/>
      <c r="I36" s="177"/>
      <c r="J36" s="174" t="str" cm="1">
        <f t="array" ref="J36">IF(E36="","",_xlfn.MAKEARRAY(1,3,_xlfn.LAMBDA(_xlpm.row,_xlpm.col,1)))</f>
        <v/>
      </c>
      <c r="K36" s="178"/>
      <c r="L36" s="178"/>
      <c r="M36" s="166" t="str">
        <f t="shared" si="15"/>
        <v/>
      </c>
      <c r="N36" s="167" t="str">
        <f t="shared" si="16"/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975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RANK($AA36,$AA$3:$AA$47)+COUNTIF($AA$3:$AA36,AA36)-1</f>
        <v>36</v>
      </c>
      <c r="AC36" s="169" t="str" cm="1">
        <f t="array" ref="AC36">IFERROR(_xlfn.IFS($AB36&lt;8,1,$AB36&lt;15,2,$AB36&lt;21,3),"")</f>
        <v/>
      </c>
      <c r="AE36" s="170"/>
      <c r="AF36" s="166" t="str">
        <f t="shared" si="3"/>
        <v xml:space="preserve"> </v>
      </c>
      <c r="AG36" s="167" t="str">
        <f t="shared" si="6"/>
        <v xml:space="preserve"> </v>
      </c>
      <c r="AI36" s="170"/>
      <c r="AJ36" s="166"/>
      <c r="AK36" s="167"/>
    </row>
    <row r="37" spans="1:37" ht="12" customHeight="1" x14ac:dyDescent="0.2">
      <c r="B37" s="161" t="s">
        <v>264</v>
      </c>
      <c r="C37" s="162" t="s">
        <v>53</v>
      </c>
      <c r="D37" s="152" t="s">
        <v>97</v>
      </c>
      <c r="E37" s="63"/>
      <c r="F37" s="164" t="str" cm="1">
        <f t="array" ref="F37">IsUpgradable(E37)</f>
        <v/>
      </c>
      <c r="G37" s="165">
        <f t="shared" si="14"/>
        <v>0</v>
      </c>
      <c r="H37" s="198"/>
      <c r="I37" s="123">
        <v>2</v>
      </c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5"/>
        <v/>
      </c>
      <c r="N37" s="167" t="str">
        <f t="shared" ref="N37" si="17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973</v>
      </c>
      <c r="X37" s="168" cm="1">
        <f t="array" ref="X37">LevelUpgradeCost($E37)</f>
        <v>5044093700</v>
      </c>
      <c r="Y37" s="169" t="str">
        <f t="shared" si="4"/>
        <v/>
      </c>
      <c r="AA37" s="108">
        <f t="shared" si="5"/>
        <v>0</v>
      </c>
      <c r="AB37" s="170">
        <f>RANK($AA37,$AA$3:$AA$47)+COUNTIF($AA$3:$AA37,AA37)-1</f>
        <v>37</v>
      </c>
      <c r="AC37" s="169" t="str" cm="1">
        <f t="array" ref="AC37">IFERROR(_xlfn.IFS($AB37&lt;8,1,$AB37&lt;15,2,$AB37&lt;21,3),"")</f>
        <v/>
      </c>
      <c r="AE37" s="170" t="s">
        <v>265</v>
      </c>
      <c r="AF37" s="166" t="str">
        <f t="shared" si="3"/>
        <v xml:space="preserve"> </v>
      </c>
      <c r="AG37" s="167"/>
      <c r="AI37" s="170"/>
      <c r="AJ37" s="166"/>
      <c r="AK37" s="167"/>
    </row>
    <row r="38" spans="1:37" ht="12" customHeight="1" x14ac:dyDescent="0.2">
      <c r="B38" s="161" t="s">
        <v>263</v>
      </c>
      <c r="C38" s="162" t="s">
        <v>53</v>
      </c>
      <c r="D38" s="152" t="s">
        <v>97</v>
      </c>
      <c r="E38" s="63"/>
      <c r="F38" s="164" t="str" cm="1">
        <f t="array" ref="F38">IsUpgradable(E38)</f>
        <v/>
      </c>
      <c r="G38" s="165">
        <f t="shared" ref="G38" si="18">INT(H38)</f>
        <v>0</v>
      </c>
      <c r="H38" s="198"/>
      <c r="I38" s="123"/>
      <c r="J38" s="63" t="str" cm="1">
        <f t="array" ref="J38">IF(E38="","",_xlfn.MAKEARRAY(1,3,_xlfn.LAMBDA(_xlpm.row,_xlpm.col,1)))</f>
        <v/>
      </c>
      <c r="K38" s="7"/>
      <c r="L38" s="7"/>
      <c r="M38" s="166" t="str">
        <f t="shared" si="15"/>
        <v/>
      </c>
      <c r="N38" s="167" t="str">
        <f t="shared" ref="N38" si="19">IF(H38=5,10,"")</f>
        <v/>
      </c>
      <c r="P38" s="57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57">
        <f>IFERROR(CHOOSE(IF($H38&gt;=Details!$B$6,1,2),Details!$D$6,IF($H38&gt;Details!$B$6-1,IF($H38&lt;1,Details!$G$5,MOD($H38,Details!$B$6-1))*10*Details!$C$6,""))/Details!$D$6,0)</f>
        <v>0</v>
      </c>
      <c r="S38" s="57">
        <f>IFERROR(CHOOSE(IF($H38&gt;=Details!$B$7,1,2),Details!$D$7,IF($H38&gt;Details!$B$7-1,IF($H38&lt;1,Details!$G$5,MOD($H38,Details!$B$7-1))*10*Details!$C$7,""))/Details!$D$7,0)</f>
        <v>0</v>
      </c>
      <c r="T38" s="57">
        <f>IFERROR(CHOOSE(IF($H38&gt;=Details!$B$8,1,2),Details!$D$8,IF($H38&gt;Details!$B$8-1,IF($H38&lt;1,Details!$G$5,MOD($H38,Details!$B$8-1))*10*Details!$C$8,""))/Details!$D$8,0)</f>
        <v>0</v>
      </c>
      <c r="U38" s="57" cm="1">
        <f t="array" ref="U38">SUMPRODUCT(TRANSPOSE(Details!$D$4:$D$8),$P38:$T38)/Details!$D$9</f>
        <v>0</v>
      </c>
      <c r="V38" s="168" cm="1">
        <f t="array" ref="V38">Details!$D$9-SUMPRODUCT(TRANSPOSE(Details!$D$4:$D$8),$P38:$T38)-$I38</f>
        <v>975</v>
      </c>
      <c r="X38" s="168" cm="1">
        <f t="array" ref="X38">LevelUpgradeCost($E38)</f>
        <v>5044093700</v>
      </c>
      <c r="Y38" s="169" t="str">
        <f t="shared" ref="Y38" si="20">F38</f>
        <v/>
      </c>
      <c r="AA38" s="108">
        <f t="shared" si="5"/>
        <v>0</v>
      </c>
      <c r="AB38" s="170">
        <f>RANK($AA38,$AA$3:$AA$47)+COUNTIF($AA$3:$AA38,AA38)-1</f>
        <v>38</v>
      </c>
      <c r="AC38" s="169" t="str" cm="1">
        <f t="array" ref="AC38">IFERROR(_xlfn.IFS($AB38&lt;8,1,$AB38&lt;15,2,$AB38&lt;21,3),"")</f>
        <v/>
      </c>
      <c r="AE38" s="170" t="s">
        <v>265</v>
      </c>
      <c r="AF38" s="166" t="str">
        <f t="shared" si="3"/>
        <v xml:space="preserve"> </v>
      </c>
      <c r="AG38" s="167"/>
      <c r="AI38" s="170" t="s">
        <v>263</v>
      </c>
      <c r="AJ38" s="166"/>
      <c r="AK38" s="167"/>
    </row>
    <row r="39" spans="1:37" ht="12" customHeight="1" x14ac:dyDescent="0.2">
      <c r="B39" s="150" t="s">
        <v>58</v>
      </c>
      <c r="C39" s="151" t="s">
        <v>55</v>
      </c>
      <c r="D39" s="152" t="s">
        <v>97</v>
      </c>
      <c r="E39" s="153">
        <v>1</v>
      </c>
      <c r="F39" s="125" cm="1">
        <f t="array" ref="F39">IsUpgradable(E39)</f>
        <v>1</v>
      </c>
      <c r="G39" s="127">
        <f t="shared" ref="G39" si="21">INT(H39)</f>
        <v>0</v>
      </c>
      <c r="H39" s="199">
        <v>0</v>
      </c>
      <c r="I39" s="156">
        <v>0</v>
      </c>
      <c r="J39" s="153" cm="1">
        <f t="array" ref="J39:L39">IF(E39="","",_xlfn.MAKEARRAY(1,3,_xlfn.LAMBDA(_xlpm.row,_xlpm.col,1)))</f>
        <v>1</v>
      </c>
      <c r="K39" s="157">
        <v>1</v>
      </c>
      <c r="L39" s="157">
        <v>1</v>
      </c>
      <c r="M39" s="7" t="str">
        <f t="shared" si="15"/>
        <v/>
      </c>
      <c r="N39" s="19" t="str">
        <f t="shared" ref="N39" si="22">IF(H39=5,10,"")</f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>
        <f t="shared" ref="Y39" si="23">F39</f>
        <v>1</v>
      </c>
      <c r="AA39" s="110">
        <f t="shared" si="5"/>
        <v>1</v>
      </c>
      <c r="AB39" s="63">
        <f>RANK($AA39,$AA$3:$AA$47)+COUNTIF($AA$3:$AA39,AA39)-1</f>
        <v>33</v>
      </c>
      <c r="AC39" s="61" t="str" cm="1">
        <f t="array" ref="AC39">IFERROR(_xlfn.IFS($AB39&lt;8,1,$AB39&lt;15,2,$AB39&lt;21,3),"")</f>
        <v/>
      </c>
      <c r="AE39" s="63" t="s">
        <v>184</v>
      </c>
      <c r="AF39" s="7" t="str">
        <f t="shared" si="3"/>
        <v xml:space="preserve"> </v>
      </c>
      <c r="AG39" s="19" t="str">
        <f t="shared" si="6"/>
        <v xml:space="preserve"> </v>
      </c>
      <c r="AI39" s="63" t="s">
        <v>214</v>
      </c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113</v>
      </c>
      <c r="C40" s="151" t="s">
        <v>61</v>
      </c>
      <c r="D40" s="152" t="s">
        <v>97</v>
      </c>
      <c r="E40" s="153"/>
      <c r="F40" s="125" t="str" cm="1">
        <f t="array" ref="F40">IsUpgradable(E40)</f>
        <v/>
      </c>
      <c r="G40" s="127">
        <f t="shared" si="14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5"/>
        <v/>
      </c>
      <c r="N40" s="19" t="str">
        <f t="shared" si="16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RANK($AA40,$AA$3:$AA$47)+COUNTIF($AA$3:$AA40,AA40)-1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114</v>
      </c>
      <c r="C41" s="151" t="s">
        <v>55</v>
      </c>
      <c r="D41" s="152" t="s">
        <v>97</v>
      </c>
      <c r="E41" s="153"/>
      <c r="F41" s="125" t="str" cm="1">
        <f t="array" ref="F41">IsUpgradable(E41)</f>
        <v/>
      </c>
      <c r="G41" s="127">
        <f t="shared" si="14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5"/>
        <v/>
      </c>
      <c r="N41" s="19" t="str">
        <f t="shared" si="16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RANK($AA41,$AA$3:$AA$47)+COUNTIF($AA$3:$AA41,AA41)-1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115</v>
      </c>
      <c r="C42" s="151" t="s">
        <v>50</v>
      </c>
      <c r="D42" s="152" t="s">
        <v>97</v>
      </c>
      <c r="E42" s="153"/>
      <c r="F42" s="125" t="str" cm="1">
        <f t="array" ref="F42">IsUpgradable(E42)</f>
        <v/>
      </c>
      <c r="G42" s="127">
        <f t="shared" si="14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5"/>
        <v/>
      </c>
      <c r="N42" s="19" t="str">
        <f t="shared" si="16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RANK($AA42,$AA$3:$AA$47)+COUNTIF($AA$3:$AA42,AA42)-1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116</v>
      </c>
      <c r="C43" s="151" t="s">
        <v>53</v>
      </c>
      <c r="D43" s="152" t="s">
        <v>97</v>
      </c>
      <c r="E43" s="153"/>
      <c r="F43" s="125" t="str" cm="1">
        <f t="array" ref="F43">IsUpgradable(E43)</f>
        <v/>
      </c>
      <c r="G43" s="127">
        <f t="shared" si="14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5"/>
        <v/>
      </c>
      <c r="N43" s="19" t="str">
        <f t="shared" si="16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RANK($AA43,$AA$3:$AA$47)+COUNTIF($AA$3:$AA43,AA43)-1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117</v>
      </c>
      <c r="C44" s="151" t="s">
        <v>61</v>
      </c>
      <c r="D44" s="152" t="s">
        <v>97</v>
      </c>
      <c r="E44" s="153"/>
      <c r="F44" s="125" t="str" cm="1">
        <f t="array" ref="F44">IsUpgradable(E44)</f>
        <v/>
      </c>
      <c r="G44" s="127">
        <f t="shared" si="14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5"/>
        <v/>
      </c>
      <c r="N44" s="19" t="str">
        <f t="shared" si="16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RANK($AA44,$AA$3:$AA$47)+COUNTIF($AA$3:$AA44,AA44)-1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118</v>
      </c>
      <c r="C45" s="151" t="s">
        <v>55</v>
      </c>
      <c r="D45" s="152" t="s">
        <v>97</v>
      </c>
      <c r="E45" s="153"/>
      <c r="F45" s="125" t="str" cm="1">
        <f t="array" ref="F45">IsUpgradable(E45)</f>
        <v/>
      </c>
      <c r="G45" s="127">
        <f t="shared" si="14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5"/>
        <v/>
      </c>
      <c r="N45" s="19" t="str">
        <f t="shared" si="16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RANK($AA45,$AA$3:$AA$47)+COUNTIF($AA$3:$AA45,AA45)-1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x14ac:dyDescent="0.2">
      <c r="A46" s="1" t="str" cm="1">
        <f t="array" ref="A46">GetMutationLevel(B46)</f>
        <v/>
      </c>
      <c r="B46" s="150" t="s">
        <v>119</v>
      </c>
      <c r="C46" s="151" t="s">
        <v>50</v>
      </c>
      <c r="D46" s="152" t="s">
        <v>97</v>
      </c>
      <c r="E46" s="153"/>
      <c r="F46" s="125" t="str" cm="1">
        <f t="array" ref="F46">IsUpgradable(E46)</f>
        <v/>
      </c>
      <c r="G46" s="127">
        <f t="shared" si="14"/>
        <v>0</v>
      </c>
      <c r="H46" s="199"/>
      <c r="I46" s="156"/>
      <c r="J46" s="153" t="str" cm="1">
        <f t="array" ref="J46">IF(E46="","",_xlfn.MAKEARRAY(1,3,_xlfn.LAMBDA(_xlpm.row,_xlpm.col,1)))</f>
        <v/>
      </c>
      <c r="K46" s="157"/>
      <c r="L46" s="157"/>
      <c r="M46" s="7" t="str">
        <f t="shared" si="15"/>
        <v/>
      </c>
      <c r="N46" s="19" t="str">
        <f t="shared" si="16"/>
        <v/>
      </c>
      <c r="P46" s="9">
        <f>IFERROR(CHOOSE(IF($H46&gt;=Details!$B$4,1,2),Details!$D$4,IF($H46&gt;Details!$B$4-1,IF($H46&lt;1,$H46,MOD($H46,Details!$B$4-1))*10*Details!$C$4,""))/Details!$D$4,0)</f>
        <v>0</v>
      </c>
      <c r="Q46" s="9">
        <f>IFERROR(CHOOSE(IF($H46&gt;=Details!$B$5,1,2),Details!$D$5,IF($H46&gt;Details!$B$5-1,IF($H46&lt;1,Details!$G$4,MOD($H46,Details!$B$5-1))*10*Details!$C$5,""))/Details!$D$5,0)</f>
        <v>0</v>
      </c>
      <c r="R46" s="9">
        <f>IFERROR(CHOOSE(IF($H46&gt;=Details!$B$6,1,2),Details!$D$6,IF($H46&gt;Details!$B$6-1,IF($H46&lt;1,Details!$G$5,MOD($H46,Details!$B$6-1))*10*Details!$C$6,""))/Details!$D$6,0)</f>
        <v>0</v>
      </c>
      <c r="S46" s="9">
        <f>IFERROR(CHOOSE(IF($H46&gt;=Details!$B$7,1,2),Details!$D$7,IF($H46&gt;Details!$B$7-1,IF($H46&lt;1,Details!$G$5,MOD($H46,Details!$B$7-1))*10*Details!$C$7,""))/Details!$D$7,0)</f>
        <v>0</v>
      </c>
      <c r="T46" s="9">
        <f>IFERROR(CHOOSE(IF($H46&gt;=Details!$B$8,1,2),Details!$D$8,IF($H46&gt;Details!$B$8-1,IF($H46&lt;1,Details!$G$5,MOD($H46,Details!$B$8-1))*10*Details!$C$8,""))/Details!$D$8,0)</f>
        <v>0</v>
      </c>
      <c r="U46" s="9" cm="1">
        <f t="array" ref="U46">SUMPRODUCT(TRANSPOSE(Details!$D$4:$D$8),$P46:$T46)/Details!$D$9</f>
        <v>0</v>
      </c>
      <c r="V46" s="13" cm="1">
        <f t="array" ref="V46">Details!$D$9-SUMPRODUCT(TRANSPOSE(Details!$D$4:$D$8),$P46:$T46)-$I46</f>
        <v>975</v>
      </c>
      <c r="X46" s="13" cm="1">
        <f t="array" ref="X46">LevelUpgradeCost($E46)</f>
        <v>5044093700</v>
      </c>
      <c r="Y46" s="61" t="str">
        <f t="shared" si="4"/>
        <v/>
      </c>
      <c r="AA46" s="110">
        <f t="shared" si="5"/>
        <v>0</v>
      </c>
      <c r="AB46" s="63">
        <f>RANK($AA46,$AA$3:$AA$47)+COUNTIF($AA$3:$AA46,AA46)-1</f>
        <v>45</v>
      </c>
      <c r="AC46" s="61" t="str" cm="1">
        <f t="array" ref="AC46">IFERROR(_xlfn.IFS($AB46&lt;8,1,$AB46&lt;15,2,$AB46&lt;21,3),"")</f>
        <v/>
      </c>
      <c r="AE46" s="63"/>
      <c r="AF46" s="7" t="str">
        <f t="shared" si="3"/>
        <v xml:space="preserve"> </v>
      </c>
      <c r="AG46" s="19" t="str">
        <f t="shared" si="6"/>
        <v xml:space="preserve"> </v>
      </c>
      <c r="AI46" s="63"/>
      <c r="AJ46" s="7"/>
      <c r="AK46" s="19"/>
    </row>
    <row r="47" spans="1:37" ht="12" customHeight="1" thickBot="1" x14ac:dyDescent="0.25">
      <c r="A47" s="1" t="str" cm="1">
        <f t="array" ref="A47">GetMutationLevel(B47)</f>
        <v/>
      </c>
      <c r="B47" s="14" t="s">
        <v>49</v>
      </c>
      <c r="C47" s="20" t="s">
        <v>50</v>
      </c>
      <c r="D47" s="72" t="s">
        <v>97</v>
      </c>
      <c r="E47" s="64">
        <v>160</v>
      </c>
      <c r="F47" s="126" cm="1">
        <f t="array" ref="F47">IsUpgradable(E47)</f>
        <v>1</v>
      </c>
      <c r="G47" s="129">
        <f>INT(H47)</f>
        <v>2</v>
      </c>
      <c r="H47" s="201">
        <v>2.2999999999999998</v>
      </c>
      <c r="I47" s="124">
        <v>0</v>
      </c>
      <c r="J47" s="64" cm="1">
        <f t="array" ref="J47:L47">IF(E47="","",_xlfn.MAKEARRAY(1,3,_xlfn.LAMBDA(_xlpm.row,_xlpm.col,1)))</f>
        <v>1</v>
      </c>
      <c r="K47" s="70">
        <v>1</v>
      </c>
      <c r="L47" s="70">
        <v>1</v>
      </c>
      <c r="M47" s="70" t="str">
        <f>IF($G47&gt;3,"Max","")</f>
        <v/>
      </c>
      <c r="N47" s="20" t="str">
        <f>IF(H47=5,10,"")</f>
        <v/>
      </c>
      <c r="P47" s="21">
        <f>IFERROR(CHOOSE(IF($H47&gt;=Details!$B$4,1,2),Details!$D$4,IF($H47&gt;Details!$B$4-1,IF($H47&lt;1,$H47,MOD($H47,Details!$B$4-1))*10*Details!$C$4,""))/Details!$D$4,0)</f>
        <v>1</v>
      </c>
      <c r="Q47" s="9">
        <f>IFERROR(CHOOSE(IF($H47&gt;=Details!$B$5,1,2),Details!$D$5,IF($H47&gt;Details!$B$5-1,IF($H47&lt;1,Details!$G$4,MOD($H47,Details!$B$5-1))*10*Details!$C$5,""))/Details!$D$5,0)</f>
        <v>1</v>
      </c>
      <c r="R47" s="21">
        <f>IFERROR(CHOOSE(IF($H47&gt;=Details!$B$6,1,2),Details!$D$6,IF($H47&gt;Details!$B$6-1,IF($H47&lt;1,Details!$G$5,MOD($H47,Details!$B$6-1))*10*Details!$C$6,""))/Details!$D$6,0)</f>
        <v>0.59999999999999964</v>
      </c>
      <c r="S47" s="21">
        <f>IFERROR(CHOOSE(IF($H47&gt;=Details!$B$7,1,2),Details!$D$7,IF($H47&gt;Details!$B$7-1,IF($H47&lt;1,Details!$G$5,MOD($H47,Details!$B$7-1))*10*Details!$C$7,""))/Details!$D$7,0)</f>
        <v>0</v>
      </c>
      <c r="T47" s="21">
        <f>IFERROR(CHOOSE(IF($H47&gt;=Details!$B$8,1,2),Details!$D$8,IF($H47&gt;Details!$B$8-1,IF($H47&lt;1,Details!$G$5,MOD($H47,Details!$B$8-1))*10*Details!$C$8,""))/Details!$D$8,0)</f>
        <v>0</v>
      </c>
      <c r="U47" s="21" cm="1">
        <f t="array" ref="U47">SUMPRODUCT(TRANSPOSE(Details!$D$4:$D$8),$P47:$T47)/Details!$D$9</f>
        <v>0.13846153846153844</v>
      </c>
      <c r="V47" s="22" cm="1">
        <f t="array" ref="V47">Details!$D$9-SUMPRODUCT(TRANSPOSE(Details!$D$4:$D$8),$P47:$T47)-$I47</f>
        <v>840</v>
      </c>
      <c r="X47" s="22" cm="1">
        <f t="array" ref="X47">LevelUpgradeCost($E47)</f>
        <v>4919220000</v>
      </c>
      <c r="Y47" s="62">
        <f t="shared" si="4"/>
        <v>1</v>
      </c>
      <c r="AA47" s="112">
        <f t="shared" si="5"/>
        <v>2460</v>
      </c>
      <c r="AB47" s="64">
        <f>RANK($AA47,$AA$3:$AA$47)+COUNTIF($AA$3:$AA47,AA47)-1</f>
        <v>22</v>
      </c>
      <c r="AC47" s="62" t="str" cm="1">
        <f t="array" ref="AC47">IFERROR(_xlfn.IFS($AB47&lt;8,1,$AB47&lt;15,2,$AB47&lt;21,3),"")</f>
        <v/>
      </c>
      <c r="AE47" s="64"/>
      <c r="AF47" s="70" t="str">
        <f t="shared" si="3"/>
        <v xml:space="preserve"> </v>
      </c>
      <c r="AG47" s="20" t="str">
        <f t="shared" si="6"/>
        <v xml:space="preserve"> </v>
      </c>
      <c r="AI47" s="64" t="s">
        <v>195</v>
      </c>
      <c r="AJ47" s="70"/>
      <c r="AK47" s="20"/>
    </row>
    <row r="48" spans="1:37" ht="12" customHeight="1" x14ac:dyDescent="0.2">
      <c r="B48" s="79">
        <f>COLUMN()-1</f>
        <v>1</v>
      </c>
      <c r="C48" s="1">
        <f t="shared" ref="C48:AK48" si="24">COLUMN()-1</f>
        <v>2</v>
      </c>
      <c r="D48" s="142">
        <f t="shared" si="24"/>
        <v>3</v>
      </c>
      <c r="E48" s="1">
        <f t="shared" si="24"/>
        <v>4</v>
      </c>
      <c r="F48" s="142">
        <f t="shared" si="24"/>
        <v>5</v>
      </c>
      <c r="G48" s="142">
        <f t="shared" si="24"/>
        <v>6</v>
      </c>
      <c r="H48" s="1">
        <f t="shared" si="24"/>
        <v>7</v>
      </c>
      <c r="I48" s="5">
        <f t="shared" si="24"/>
        <v>8</v>
      </c>
      <c r="J48" s="1">
        <f t="shared" si="24"/>
        <v>9</v>
      </c>
      <c r="K48" s="1">
        <f t="shared" si="24"/>
        <v>10</v>
      </c>
      <c r="L48" s="1">
        <f t="shared" si="24"/>
        <v>11</v>
      </c>
      <c r="M48" s="1">
        <f t="shared" si="24"/>
        <v>12</v>
      </c>
      <c r="N48" s="1">
        <f t="shared" si="24"/>
        <v>13</v>
      </c>
      <c r="O48" s="1">
        <f t="shared" si="24"/>
        <v>14</v>
      </c>
      <c r="P48" s="1">
        <f t="shared" si="24"/>
        <v>15</v>
      </c>
      <c r="Q48" s="1">
        <f t="shared" si="24"/>
        <v>16</v>
      </c>
      <c r="R48" s="1">
        <f t="shared" si="24"/>
        <v>17</v>
      </c>
      <c r="S48" s="1">
        <f t="shared" si="24"/>
        <v>18</v>
      </c>
      <c r="T48" s="1">
        <f t="shared" si="24"/>
        <v>19</v>
      </c>
      <c r="U48" s="1">
        <f t="shared" si="24"/>
        <v>20</v>
      </c>
      <c r="V48" s="1">
        <f t="shared" si="24"/>
        <v>21</v>
      </c>
      <c r="W48" s="1">
        <f t="shared" si="24"/>
        <v>22</v>
      </c>
      <c r="X48" s="1">
        <f t="shared" si="24"/>
        <v>23</v>
      </c>
      <c r="Y48" s="1">
        <f t="shared" si="24"/>
        <v>24</v>
      </c>
      <c r="Z48" s="1">
        <f t="shared" si="24"/>
        <v>25</v>
      </c>
      <c r="AA48" s="1">
        <f t="shared" si="24"/>
        <v>26</v>
      </c>
      <c r="AB48" s="1">
        <f t="shared" si="24"/>
        <v>27</v>
      </c>
      <c r="AC48" s="1">
        <f t="shared" si="24"/>
        <v>28</v>
      </c>
      <c r="AD48" s="1">
        <f t="shared" si="24"/>
        <v>29</v>
      </c>
      <c r="AE48" s="1">
        <f t="shared" si="24"/>
        <v>30</v>
      </c>
      <c r="AF48" s="1">
        <f t="shared" si="24"/>
        <v>31</v>
      </c>
      <c r="AG48" s="1">
        <f t="shared" si="24"/>
        <v>32</v>
      </c>
      <c r="AI48" s="1">
        <f t="shared" si="24"/>
        <v>34</v>
      </c>
      <c r="AJ48" s="1">
        <f t="shared" si="24"/>
        <v>35</v>
      </c>
      <c r="AK48" s="1">
        <f t="shared" si="24"/>
        <v>36</v>
      </c>
    </row>
    <row r="49" spans="2:24" ht="12" customHeight="1" x14ac:dyDescent="0.2">
      <c r="B49" s="79"/>
      <c r="D49" s="142"/>
      <c r="E49" s="1">
        <f>COUNTIF(E3:E47,"&gt;0")-COUNTIF(E3:E47,"="&amp;HallLevel*10)</f>
        <v>26</v>
      </c>
      <c r="F49" s="142"/>
      <c r="G49" s="142"/>
      <c r="I49" s="5"/>
      <c r="X49" s="5">
        <f>SUMPRODUCT(X3:X47,Y3:Y47)</f>
        <v>96248267400</v>
      </c>
    </row>
    <row r="50" spans="2:24" ht="12" customHeight="1" x14ac:dyDescent="0.2">
      <c r="B50" s="10" t="s">
        <v>80</v>
      </c>
      <c r="C50" s="25">
        <v>27</v>
      </c>
      <c r="D50" s="142"/>
    </row>
    <row r="51" spans="2:24" ht="12" customHeight="1" x14ac:dyDescent="0.2">
      <c r="B51" s="10" t="s">
        <v>99</v>
      </c>
      <c r="C51" s="25">
        <v>1005</v>
      </c>
      <c r="D51" s="142"/>
    </row>
    <row r="52" spans="2:24" ht="12" customHeight="1" thickBot="1" x14ac:dyDescent="0.25">
      <c r="B52" s="79"/>
      <c r="D52" s="142"/>
      <c r="I52" s="5"/>
    </row>
    <row r="53" spans="2:24" ht="12" customHeight="1" thickBot="1" x14ac:dyDescent="0.25">
      <c r="B53" s="259" t="s">
        <v>48</v>
      </c>
      <c r="C53" s="260"/>
      <c r="D53" s="142"/>
      <c r="I53" s="5"/>
    </row>
    <row r="54" spans="2:24" ht="12" customHeight="1" x14ac:dyDescent="0.2">
      <c r="B54" s="210" t="s">
        <v>9</v>
      </c>
      <c r="C54" s="211">
        <v>150</v>
      </c>
      <c r="D54" s="142"/>
      <c r="I54" s="5"/>
    </row>
    <row r="55" spans="2:24" ht="12" customHeight="1" x14ac:dyDescent="0.2">
      <c r="B55" s="204" t="s">
        <v>10</v>
      </c>
      <c r="C55" s="235">
        <f>IF(D55="",C50*10,D55)</f>
        <v>160</v>
      </c>
      <c r="D55" s="205">
        <v>160</v>
      </c>
      <c r="E55" s="204" t="str">
        <f>"Total to " &amp; C55</f>
        <v>Total to 160</v>
      </c>
      <c r="F55" s="204" t="s">
        <v>22</v>
      </c>
      <c r="I55" s="5"/>
    </row>
    <row r="56" spans="2:24" ht="12" customHeight="1" x14ac:dyDescent="0.2">
      <c r="B56" s="206" t="s">
        <v>11</v>
      </c>
      <c r="C56" s="207" cm="1">
        <f t="array" ref="C56">LevelUpgradeCost(C54)</f>
        <v>4968220000</v>
      </c>
      <c r="D56" s="234" t="str" cm="1">
        <f t="array" ref="D56">CostScreen(C56)</f>
        <v>4,97B</v>
      </c>
      <c r="E56" s="61">
        <f>SUMIF(Tableaux!$A$3:$A$302,"&lt;" &amp; Palmon!$C$55,Tableaux!$C$3:$C$302)</f>
        <v>124873700</v>
      </c>
      <c r="F56" s="242">
        <f>E56/E57</f>
        <v>1.2663665188738593E-2</v>
      </c>
      <c r="I56" s="5"/>
    </row>
    <row r="57" spans="2:24" ht="12" customHeight="1" thickBot="1" x14ac:dyDescent="0.25">
      <c r="B57" s="208" t="s">
        <v>23</v>
      </c>
      <c r="C57" s="209">
        <v>9985660300</v>
      </c>
      <c r="D57" s="208" t="s">
        <v>204</v>
      </c>
      <c r="E57" s="61">
        <f>C57-E56</f>
        <v>9860786600</v>
      </c>
      <c r="I57" s="5"/>
    </row>
    <row r="58" spans="2:24" ht="12" customHeight="1" thickBot="1" x14ac:dyDescent="0.3">
      <c r="B58" s="79"/>
      <c r="D58" s="142"/>
      <c r="I58" s="5"/>
      <c r="P58" s="1" t="s">
        <v>55</v>
      </c>
      <c r="Q58" s="1">
        <f>SUMIF($C$3:$C$47,"=" &amp; $P58,$E$3:$E$47)</f>
        <v>1641</v>
      </c>
      <c r="R58" s="1">
        <f>COUNTIFS($C$3:$C$47,"=" &amp; $P58,$E$3:$E$47,"&gt;0")</f>
        <v>8</v>
      </c>
      <c r="S58" s="1">
        <f>Q58/R58</f>
        <v>205.125</v>
      </c>
      <c r="X58"/>
    </row>
    <row r="59" spans="2:24" ht="12" customHeight="1" thickBot="1" x14ac:dyDescent="0.3">
      <c r="B59" s="257" t="s">
        <v>203</v>
      </c>
      <c r="C59" s="258"/>
      <c r="D59" s="142"/>
      <c r="I59" s="5"/>
      <c r="P59" s="1" t="s">
        <v>53</v>
      </c>
      <c r="Q59" s="1">
        <f t="shared" ref="Q59:Q61" si="25">SUMIF($C$3:$C$47,"=" &amp; $P59,$E$3:$E$47)</f>
        <v>2041</v>
      </c>
      <c r="R59" s="1">
        <f t="shared" ref="R59:R61" si="26">COUNTIFS($C$3:$C$47,"=" &amp; $P59,$E$3:$E$47,"&gt;0")</f>
        <v>10</v>
      </c>
      <c r="S59" s="1">
        <f t="shared" ref="S59:S61" si="27">Q59/R59</f>
        <v>204.1</v>
      </c>
      <c r="X59"/>
    </row>
    <row r="60" spans="2:24" ht="12" customHeight="1" x14ac:dyDescent="0.25">
      <c r="B60" s="240" t="s">
        <v>196</v>
      </c>
      <c r="C60" s="60">
        <v>400000</v>
      </c>
      <c r="D60" s="142"/>
      <c r="I60" s="5"/>
      <c r="P60" s="1" t="s">
        <v>50</v>
      </c>
      <c r="Q60" s="1">
        <f t="shared" si="25"/>
        <v>1900</v>
      </c>
      <c r="R60" s="1">
        <f t="shared" si="26"/>
        <v>8</v>
      </c>
      <c r="S60" s="1">
        <f t="shared" si="27"/>
        <v>237.5</v>
      </c>
      <c r="X60"/>
    </row>
    <row r="61" spans="2:24" ht="12" customHeight="1" x14ac:dyDescent="0.25">
      <c r="B61" s="204" t="s">
        <v>197</v>
      </c>
      <c r="C61" s="13">
        <v>300</v>
      </c>
      <c r="D61" s="142"/>
      <c r="I61" s="5"/>
      <c r="P61" s="1" t="s">
        <v>61</v>
      </c>
      <c r="Q61" s="1">
        <f t="shared" si="25"/>
        <v>1480</v>
      </c>
      <c r="R61" s="1">
        <f t="shared" si="26"/>
        <v>7</v>
      </c>
      <c r="S61" s="1">
        <f t="shared" si="27"/>
        <v>211.42857142857142</v>
      </c>
      <c r="X61"/>
    </row>
    <row r="62" spans="2:24" ht="12" customHeight="1" thickBot="1" x14ac:dyDescent="0.3">
      <c r="B62" s="241" t="s">
        <v>198</v>
      </c>
      <c r="C62" s="22">
        <v>975</v>
      </c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5">
      <c r="B65" s="79"/>
      <c r="D65" s="142"/>
      <c r="I65" s="5"/>
      <c r="X65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  <c r="AH68" s="142"/>
      <c r="AI68" s="142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</row>
    <row r="77" spans="2:39" ht="12" customHeight="1" x14ac:dyDescent="0.2">
      <c r="B77" s="79"/>
      <c r="D77" s="142"/>
      <c r="I77" s="5"/>
      <c r="AM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">
      <c r="B81" s="79"/>
      <c r="D81" s="142"/>
      <c r="I81" s="5"/>
    </row>
    <row r="82" spans="2:19" ht="12" customHeight="1" x14ac:dyDescent="0.25">
      <c r="B82" s="79"/>
      <c r="D82" s="142"/>
      <c r="I82" s="5"/>
      <c r="Q82"/>
      <c r="S82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92" spans="2:19" ht="12" customHeight="1" x14ac:dyDescent="0.2">
      <c r="I92" s="5"/>
    </row>
    <row r="148" spans="6:6" ht="12" customHeight="1" x14ac:dyDescent="0.2">
      <c r="F148" s="1" t="str" cm="1">
        <f t="array" ref="F148">INDEX(PalmonNamesSorted,F149)</f>
        <v>Fleurizard</v>
      </c>
    </row>
    <row r="149" spans="6:6" ht="12" customHeight="1" x14ac:dyDescent="0.2">
      <c r="F149" s="1">
        <v>10</v>
      </c>
    </row>
  </sheetData>
  <autoFilter ref="B2:G51" xr:uid="{BCDDB74B-9FF0-4207-9899-68A047ECE06D}"/>
  <sortState xmlns:xlrd2="http://schemas.microsoft.com/office/spreadsheetml/2017/richdata2" ref="B53:O81">
    <sortCondition descending="1" ref="L53:L81"/>
    <sortCondition descending="1" ref="E53:E81"/>
  </sortState>
  <mergeCells count="9">
    <mergeCell ref="AI1:AK1"/>
    <mergeCell ref="B59:C59"/>
    <mergeCell ref="B53:C53"/>
    <mergeCell ref="AA1:AC1"/>
    <mergeCell ref="AE1:AG1"/>
    <mergeCell ref="J1:N1"/>
    <mergeCell ref="B1:I1"/>
    <mergeCell ref="X1:Y1"/>
    <mergeCell ref="P1:V1"/>
  </mergeCells>
  <conditionalFormatting sqref="B3:C49 B52:C52 B58:C58 C60:C62 B63:C82">
    <cfRule type="expression" dxfId="77" priority="108">
      <formula>$C3="Fire"</formula>
    </cfRule>
    <cfRule type="expression" dxfId="76" priority="109">
      <formula>$C3="Water"</formula>
    </cfRule>
    <cfRule type="expression" dxfId="75" priority="110">
      <formula>$C3="Electricity"</formula>
    </cfRule>
    <cfRule type="expression" dxfId="74" priority="111">
      <formula>$C3="Wood"</formula>
    </cfRule>
  </conditionalFormatting>
  <conditionalFormatting sqref="D3:D54 D58:D82">
    <cfRule type="cellIs" dxfId="73" priority="76" operator="equal">
      <formula>"Attack"</formula>
    </cfRule>
    <cfRule type="cellIs" dxfId="72" priority="77" operator="equal">
      <formula>"Defend"</formula>
    </cfRule>
  </conditionalFormatting>
  <conditionalFormatting sqref="M3:M47">
    <cfRule type="expression" dxfId="71" priority="181">
      <formula>$G3&lt;4</formula>
    </cfRule>
  </conditionalFormatting>
  <conditionalFormatting sqref="N3:N47">
    <cfRule type="expression" dxfId="70" priority="182">
      <formula>$G3&lt;&gt;5</formula>
    </cfRule>
  </conditionalFormatting>
  <conditionalFormatting sqref="P3:T47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7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8">
    <cfRule type="expression" dxfId="69" priority="190">
      <formula>VLOOKUP(#REF!,PalmonList,3,FALSE)="Attack"</formula>
    </cfRule>
    <cfRule type="expression" dxfId="68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9:AB30">
    <cfRule type="expression" dxfId="67" priority="251">
      <formula>VLOOKUP($B58,PalmonList,3,FALSE)="Attack"</formula>
    </cfRule>
    <cfRule type="expression" dxfId="66" priority="252">
      <formula>VLOOKUP($B58,PalmonList,3,FALSE)&lt;&gt;"Attack"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1:AB38">
    <cfRule type="expression" dxfId="65" priority="254">
      <formula>VLOOKUP($B77,PalmonList,3,FALSE)="Attack"</formula>
    </cfRule>
    <cfRule type="expression" dxfId="64" priority="255">
      <formula>VLOOKUP($B77,PalmonList,3,FALSE)&lt;&gt;"Attack"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9:AB46">
    <cfRule type="expression" dxfId="63" priority="242">
      <formula>VLOOKUP($B82,PalmonList,3,FALSE)="Attack"</formula>
    </cfRule>
    <cfRule type="expression" dxfId="62" priority="243">
      <formula>VLOOKUP($B82,PalmonList,3,FALSE)&lt;&gt;"Attack"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7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9 C53 C3:C47" xr:uid="{D035E7CB-578D-4DCA-A578-6CE81A056734}">
      <formula1>"Water,Fire,Wood,Electricity"</formula1>
    </dataValidation>
    <dataValidation type="list" allowBlank="1" showInputMessage="1" showErrorMessage="1" sqref="D3:D47" xr:uid="{D255B30B-61CA-4796-BCCE-BF88FB33EF4C}">
      <formula1>"Attack,Defend"</formula1>
    </dataValidation>
    <dataValidation type="whole" operator="greaterThan" allowBlank="1" showInputMessage="1" showErrorMessage="1" sqref="C50:C51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146</xdr:row>
                    <xdr:rowOff>114300</xdr:rowOff>
                  </from>
                  <to>
                    <xdr:col>10</xdr:col>
                    <xdr:colOff>323850</xdr:colOff>
                    <xdr:row>149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48</xdr:row>
                    <xdr:rowOff>66675</xdr:rowOff>
                  </from>
                  <to>
                    <xdr:col>3</xdr:col>
                    <xdr:colOff>190500</xdr:colOff>
                    <xdr:row>50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A3:A47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P3:T47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6"/>
  <sheetViews>
    <sheetView topLeftCell="A18" workbookViewId="0">
      <selection activeCell="A5" sqref="A5:AJ46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30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IF(Palmon!AE3="","",Palmon!AE3)</f>
        <v>https://encrypted-tbn0.gstatic.com/images?q=tbn:ANd9GcRXczs_Bjhslhr7Mf2HENU6MTyGpz0RJEMjNA&amp;s</v>
      </c>
      <c r="AE2" t="str">
        <f>IF(Palmon!AF3="","",Palmon!AF3)</f>
        <v xml:space="preserve"> </v>
      </c>
      <c r="AF2" t="str">
        <f>Palmon!AG3</f>
        <v xml:space="preserve"> </v>
      </c>
      <c r="AG2">
        <f>Palmon!AH3</f>
        <v>0</v>
      </c>
      <c r="AH2" t="str">
        <f>IF(Palmon!AI3=0,"Non",Palmon!AI3)</f>
        <v>Non</v>
      </c>
      <c r="AI2" t="str">
        <f>IF(Palmon!AJ3=0,"Non",Palmon!AJ3)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IF(Palmon!AE4="","",Palmon!AE4)</f>
        <v>https://encrypted-tbn0.gstatic.com/images?q=tbn:ANd9GcSDZWuq2tiKYc0zKRxpHXrLSMZ1GsY_6wEIYw&amp;s</v>
      </c>
      <c r="AE3" t="str">
        <f>IF(Palmon!AF4="","",Palmon!AF4)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 t="str">
        <f>IF(Palmon!AI4=0,"Non",Palmon!AI4)</f>
        <v>Non</v>
      </c>
      <c r="AI3" t="str">
        <f>IF(Palmon!AJ4=0,"Non",Palmon!AJ4)</f>
        <v>Non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270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135120000</v>
      </c>
      <c r="X4" t="str">
        <f>Palmon!Y5</f>
        <v/>
      </c>
      <c r="Y4">
        <f>Palmon!Z5</f>
        <v>0</v>
      </c>
      <c r="Z4">
        <f>Palmon!AA5</f>
        <v>4270</v>
      </c>
      <c r="AA4">
        <f>Palmon!AB5</f>
        <v>10</v>
      </c>
      <c r="AB4">
        <f>Palmon!AC5</f>
        <v>2</v>
      </c>
      <c r="AC4">
        <f>Palmon!AD5</f>
        <v>0</v>
      </c>
      <c r="AD4" t="str">
        <f>IF(Palmon!AE5="","",Palmon!AE5)</f>
        <v>https://encrypted-tbn0.gstatic.com/images?q=tbn:ANd9GcRwfHFWjB1bN67FJNyjjWvBJwviWJ3Tada0Yg&amp;s</v>
      </c>
      <c r="AE4" t="str">
        <f>IF(Palmon!AF5="","",Palmon!AF5)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IF(Palmon!AI5=0,"Non",Palmon!AI5)</f>
        <v>Flaries</v>
      </c>
      <c r="AI4" t="str">
        <f>IF(Palmon!AJ5=0,"Non",Palmon!AJ5)</f>
        <v>Non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9</v>
      </c>
      <c r="AB5">
        <f>Palmon!AC6</f>
        <v>2</v>
      </c>
      <c r="AC5">
        <f>Palmon!AD6</f>
        <v>0</v>
      </c>
      <c r="AD5" t="str">
        <f>IF(Palmon!AE6="","",Palmon!AE6)</f>
        <v>https://encrypted-tbn0.gstatic.com/images?q=tbn:ANd9GcQOwDXppnwkCtCXXAqUiiNMhf6T-lane54jPg&amp;s</v>
      </c>
      <c r="AE5" t="str">
        <f>IF(Palmon!AF6="","",Palmon!AF6)</f>
        <v xml:space="preserve"> </v>
      </c>
      <c r="AF5" t="str">
        <f>Palmon!AG6</f>
        <v xml:space="preserve"> </v>
      </c>
      <c r="AG5">
        <f>Palmon!AH6</f>
        <v>0</v>
      </c>
      <c r="AH5" t="str">
        <f>IF(Palmon!AI6=0,"Non",Palmon!AI6)</f>
        <v>Chefeuillier</v>
      </c>
      <c r="AI5" t="str">
        <f>IF(Palmon!AJ6=0,"Non",Palmon!AJ6)</f>
        <v>Non</v>
      </c>
      <c r="AJ5">
        <f>Palmon!AK6</f>
        <v>0</v>
      </c>
    </row>
    <row r="6" spans="1:36" x14ac:dyDescent="0.25">
      <c r="A6" t="str">
        <f>Palmon!B7</f>
        <v>Gnashfin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20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IF(Palmon!AE7="","",Palmon!AE7)</f>
        <v>https://encrypted-tbn0.gstatic.com/images?q=tbn:ANd9GcTII6bAUVzdPfr_45Db3bGwDuIVxhe-n4dSSgHRGJaEpg&amp;s</v>
      </c>
      <c r="AE6" t="str">
        <f>IF(Palmon!AF7="","",Palmon!AF7)</f>
        <v xml:space="preserve"> </v>
      </c>
      <c r="AF6" t="str">
        <f>Palmon!AG7</f>
        <v xml:space="preserve"> </v>
      </c>
      <c r="AG6">
        <f>Palmon!AH7</f>
        <v>0</v>
      </c>
      <c r="AH6" t="str">
        <f>IF(Palmon!AI7=0,"Non",Palmon!AI7)</f>
        <v>Non</v>
      </c>
      <c r="AI6" t="str">
        <f>IF(Palmon!AJ7=0,"Non",Palmon!AJ7)</f>
        <v>Non</v>
      </c>
      <c r="AJ6">
        <f>Palmon!AK7</f>
        <v>0</v>
      </c>
    </row>
    <row r="7" spans="1:36" x14ac:dyDescent="0.25">
      <c r="A7" t="str">
        <f>Palmon!B8</f>
        <v>Gnashley</v>
      </c>
      <c r="B7" t="str">
        <f>Palmon!C8</f>
        <v>Water</v>
      </c>
      <c r="C7" t="str">
        <f>Palmon!D8</f>
        <v>Defend</v>
      </c>
      <c r="D7">
        <f>Palmon!E8</f>
        <v>1</v>
      </c>
      <c r="E7">
        <f>Palmon!F8</f>
        <v>1</v>
      </c>
      <c r="F7">
        <f>Palmon!G8</f>
        <v>1</v>
      </c>
      <c r="G7">
        <f>Palmon!H8</f>
        <v>1</v>
      </c>
      <c r="H7">
        <f>Palmon!I8</f>
        <v>0</v>
      </c>
      <c r="I7">
        <f>Palmon!J8</f>
        <v>1</v>
      </c>
      <c r="J7">
        <f>Palmon!K8</f>
        <v>1</v>
      </c>
      <c r="K7">
        <f>Palmon!L8</f>
        <v>1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0</v>
      </c>
      <c r="Q7">
        <f>Palmon!R8</f>
        <v>0</v>
      </c>
      <c r="R7">
        <f>Palmon!S8</f>
        <v>0</v>
      </c>
      <c r="S7">
        <f>Palmon!T8</f>
        <v>0</v>
      </c>
      <c r="T7">
        <f>Palmon!U8</f>
        <v>2.564102564102564E-2</v>
      </c>
      <c r="U7">
        <f>Palmon!V8</f>
        <v>950</v>
      </c>
      <c r="V7">
        <f>Palmon!W8</f>
        <v>0</v>
      </c>
      <c r="W7">
        <f>Palmon!X8</f>
        <v>5044093700</v>
      </c>
      <c r="X7">
        <f>Palmon!Y8</f>
        <v>1</v>
      </c>
      <c r="Y7">
        <f>Palmon!Z8</f>
        <v>0</v>
      </c>
      <c r="Z7">
        <f>Palmon!AA8</f>
        <v>1001</v>
      </c>
      <c r="AA7">
        <f>Palmon!AB8</f>
        <v>32</v>
      </c>
      <c r="AB7" t="str">
        <f>Palmon!AC8</f>
        <v/>
      </c>
      <c r="AC7">
        <f>Palmon!AD8</f>
        <v>0</v>
      </c>
      <c r="AD7" t="str">
        <f>IF(Palmon!AE8="","",Palmon!AE8)</f>
        <v>https://encrypted-tbn0.gstatic.com/images?q=tbn:ANd9GcQtrOr7ePo-_tg085QaHk6NorM32ywE44672A&amp;s</v>
      </c>
      <c r="AE7" t="str">
        <f>IF(Palmon!AF8="","",Palmon!AF8)</f>
        <v>https://encrypted-tbn0.gstatic.com/images?q=tbn:ANd9GcTII6bAUVzdPfr_45Db3bGwDuIVxhe-n4dSSgHRGJaEpg&amp;s</v>
      </c>
      <c r="AF7" t="str">
        <f>Palmon!AG8</f>
        <v xml:space="preserve"> </v>
      </c>
      <c r="AG7">
        <f>Palmon!AH8</f>
        <v>0</v>
      </c>
      <c r="AH7" t="str">
        <f>IF(Palmon!AI8=0,"Non",Palmon!AI8)</f>
        <v>Gnashfin</v>
      </c>
      <c r="AI7" t="str">
        <f>IF(Palmon!AJ8=0,"Non",Palmon!AJ8)</f>
        <v>Non</v>
      </c>
      <c r="AJ7">
        <f>Palmon!AK8</f>
        <v>0</v>
      </c>
    </row>
    <row r="8" spans="1:36" x14ac:dyDescent="0.25">
      <c r="A8" t="str">
        <f>Palmon!B9</f>
        <v>Magmolin</v>
      </c>
      <c r="B8" t="str">
        <f>Palmon!C9</f>
        <v>Fire</v>
      </c>
      <c r="C8" t="str">
        <f>Palmon!D9</f>
        <v>Defend</v>
      </c>
      <c r="D8">
        <f>Palmon!E9</f>
        <v>240</v>
      </c>
      <c r="E8">
        <f>Palmon!F9</f>
        <v>1</v>
      </c>
      <c r="F8">
        <f>Palmon!G9</f>
        <v>3</v>
      </c>
      <c r="G8">
        <f>Palmon!H9</f>
        <v>3.1</v>
      </c>
      <c r="H8">
        <f>Palmon!I9</f>
        <v>61</v>
      </c>
      <c r="I8">
        <f>Palmon!J9</f>
        <v>10</v>
      </c>
      <c r="J8">
        <f>Palmon!K9</f>
        <v>5</v>
      </c>
      <c r="K8">
        <f>Palmon!L9</f>
        <v>15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1</v>
      </c>
      <c r="R8">
        <f>Palmon!S9</f>
        <v>0.20000000000000018</v>
      </c>
      <c r="S8">
        <f>Palmon!T9</f>
        <v>0</v>
      </c>
      <c r="T8">
        <f>Palmon!U9</f>
        <v>0.24102564102564109</v>
      </c>
      <c r="U8">
        <f>Palmon!V9</f>
        <v>679</v>
      </c>
      <c r="V8">
        <f>Palmon!W9</f>
        <v>0</v>
      </c>
      <c r="W8">
        <f>Palmon!X9</f>
        <v>2831420000</v>
      </c>
      <c r="X8">
        <f>Palmon!Y9</f>
        <v>1</v>
      </c>
      <c r="Y8">
        <f>Palmon!Z9</f>
        <v>0</v>
      </c>
      <c r="Z8">
        <f>Palmon!AA9</f>
        <v>3340</v>
      </c>
      <c r="AA8">
        <f>Palmon!AB9</f>
        <v>15</v>
      </c>
      <c r="AB8">
        <f>Palmon!AC9</f>
        <v>3</v>
      </c>
      <c r="AC8">
        <f>Palmon!AD9</f>
        <v>0</v>
      </c>
      <c r="AD8" t="str">
        <f>IF(Palmon!AE9="","",Palmon!AE9)</f>
        <v>https://encrypted-tbn0.gstatic.com/images?q=tbn:ANd9GcRebc6KbOAxblleg_L3rr2K13bt-Yyzq1bAaw&amp;s</v>
      </c>
      <c r="AE8" t="str">
        <f>IF(Palmon!AF9="","",Palmon!AF9)</f>
        <v xml:space="preserve"> </v>
      </c>
      <c r="AF8" t="str">
        <f>Palmon!AG9</f>
        <v xml:space="preserve"> </v>
      </c>
      <c r="AG8">
        <f>Palmon!AH9</f>
        <v>0</v>
      </c>
      <c r="AH8" t="str">
        <f>IF(Palmon!AI9=0,"Non",Palmon!AI9)</f>
        <v>Obsidrake</v>
      </c>
      <c r="AI8" t="str">
        <f>IF(Palmon!AJ9=0,"Non",Palmon!AJ9)</f>
        <v>Non</v>
      </c>
      <c r="AJ8">
        <f>Palmon!AK9</f>
        <v>0</v>
      </c>
    </row>
    <row r="9" spans="1:36" x14ac:dyDescent="0.25">
      <c r="A9" t="str">
        <f>Palmon!B10</f>
        <v>Limudroid</v>
      </c>
      <c r="B9" t="str">
        <f>Palmon!C10</f>
        <v>Electricity</v>
      </c>
      <c r="C9" t="str">
        <f>Palmon!D10</f>
        <v>Attack</v>
      </c>
      <c r="D9">
        <f>Palmon!E10</f>
        <v>230</v>
      </c>
      <c r="E9">
        <f>Palmon!F10</f>
        <v>1</v>
      </c>
      <c r="F9">
        <f>Palmon!G10</f>
        <v>2</v>
      </c>
      <c r="G9">
        <f>Palmon!H10</f>
        <v>2.2000000000000002</v>
      </c>
      <c r="H9">
        <f>Palmon!I10</f>
        <v>4</v>
      </c>
      <c r="I9">
        <f>Palmon!J10</f>
        <v>1</v>
      </c>
      <c r="J9">
        <f>Palmon!K10</f>
        <v>1</v>
      </c>
      <c r="K9">
        <f>Palmon!L10</f>
        <v>5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0.40000000000000036</v>
      </c>
      <c r="R9">
        <f>Palmon!S10</f>
        <v>0</v>
      </c>
      <c r="S9">
        <f>Palmon!T10</f>
        <v>0</v>
      </c>
      <c r="T9">
        <f>Palmon!U10</f>
        <v>0.11794871794871797</v>
      </c>
      <c r="U9">
        <f>Palmon!V10</f>
        <v>856</v>
      </c>
      <c r="V9">
        <f>Palmon!W10</f>
        <v>0</v>
      </c>
      <c r="W9">
        <f>Palmon!X10</f>
        <v>3390620000</v>
      </c>
      <c r="X9">
        <f>Palmon!Y10</f>
        <v>1</v>
      </c>
      <c r="Y9">
        <f>Palmon!Z10</f>
        <v>0</v>
      </c>
      <c r="Z9">
        <f>Palmon!AA10</f>
        <v>2430</v>
      </c>
      <c r="AA9">
        <f>Palmon!AB10</f>
        <v>24</v>
      </c>
      <c r="AB9" t="str">
        <f>Palmon!AC10</f>
        <v/>
      </c>
      <c r="AC9">
        <f>Palmon!AD10</f>
        <v>0</v>
      </c>
      <c r="AD9" t="str">
        <f>IF(Palmon!AE10="","",Palmon!AE10)</f>
        <v>https://encrypted-tbn0.gstatic.com/images?q=tbn:ANd9GcQzaI21taP2V17MKjiPAeulm4V9qfST4umPdg&amp;s</v>
      </c>
      <c r="AE9" t="str">
        <f>IF(Palmon!AF10="","",Palmon!AF10)</f>
        <v>https://encrypted-tbn0.gstatic.com/images?q=tbn:ANd9GcRMlruQNUenhVk-fAEq9d3Wi8zw--0GbkLGJrX1CuQ1&amp;s</v>
      </c>
      <c r="AF9" t="str">
        <f>Palmon!AG10</f>
        <v xml:space="preserve"> </v>
      </c>
      <c r="AG9">
        <f>Palmon!AH10</f>
        <v>0</v>
      </c>
      <c r="AH9" t="str">
        <f>IF(Palmon!AI10=0,"Non",Palmon!AI10)</f>
        <v>Bunodroid</v>
      </c>
      <c r="AI9" t="str">
        <f>IF(Palmon!AJ10=0,"Non",Palmon!AJ10)</f>
        <v>Non</v>
      </c>
      <c r="AJ9">
        <f>Palmon!AK10</f>
        <v>0</v>
      </c>
    </row>
    <row r="10" spans="1:36" x14ac:dyDescent="0.25">
      <c r="A10" t="str">
        <f>Palmon!B11</f>
        <v>Barkplug</v>
      </c>
      <c r="B10" t="str">
        <f>Palmon!C11</f>
        <v>Electricity</v>
      </c>
      <c r="C10" t="str">
        <f>Palmon!D11</f>
        <v>Defend</v>
      </c>
      <c r="D10">
        <f>Palmon!E11</f>
        <v>250</v>
      </c>
      <c r="E10">
        <f>Palmon!F11</f>
        <v>1</v>
      </c>
      <c r="F10">
        <f>Palmon!G11</f>
        <v>3</v>
      </c>
      <c r="G10">
        <f>Palmon!H11</f>
        <v>3</v>
      </c>
      <c r="H10">
        <f>Palmon!I11</f>
        <v>0</v>
      </c>
      <c r="I10">
        <f>Palmon!J11</f>
        <v>14</v>
      </c>
      <c r="J10">
        <f>Palmon!K11</f>
        <v>5</v>
      </c>
      <c r="K10">
        <f>Palmon!L11</f>
        <v>10</v>
      </c>
      <c r="L10" t="str">
        <f>Palmon!M11</f>
        <v/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1</v>
      </c>
      <c r="R10">
        <f>Palmon!S11</f>
        <v>0</v>
      </c>
      <c r="S10">
        <f>Palmon!T11</f>
        <v>0</v>
      </c>
      <c r="T10">
        <f>Palmon!U11</f>
        <v>0.17948717948717949</v>
      </c>
      <c r="U10">
        <f>Palmon!V11</f>
        <v>800</v>
      </c>
      <c r="V10">
        <f>Palmon!W11</f>
        <v>0</v>
      </c>
      <c r="W10">
        <f>Palmon!X11</f>
        <v>2123020000</v>
      </c>
      <c r="X10">
        <f>Palmon!Y11</f>
        <v>1</v>
      </c>
      <c r="Y10">
        <f>Palmon!Z11</f>
        <v>0</v>
      </c>
      <c r="Z10">
        <f>Palmon!AA11</f>
        <v>3250</v>
      </c>
      <c r="AA10">
        <f>Palmon!AB11</f>
        <v>16</v>
      </c>
      <c r="AB10">
        <f>Palmon!AC11</f>
        <v>3</v>
      </c>
      <c r="AC10">
        <f>Palmon!AD11</f>
        <v>0</v>
      </c>
      <c r="AD10" t="str">
        <f>IF(Palmon!AE11="","",Palmon!AE11)</f>
        <v>https://encrypted-tbn0.gstatic.com/images?q=tbn:ANd9GcSf59xsunrPEuFvdtBi-IRVMcrdBfW_vNshLA&amp;s</v>
      </c>
      <c r="AE10" t="str">
        <f>IF(Palmon!AF11="","",Palmon!AF11)</f>
        <v>https://encrypted-tbn0.gstatic.com/images?q=tbn:ANd9GcRUDpuK5BvjXDFqgMZvlxYadsaFFQDKOQrNCAHymiAy_w&amp;s</v>
      </c>
      <c r="AF10" t="str">
        <f>Palmon!AG11</f>
        <v xml:space="preserve"> </v>
      </c>
      <c r="AG10">
        <f>Palmon!AH11</f>
        <v>0</v>
      </c>
      <c r="AH10" t="str">
        <f>IF(Palmon!AI11=0,"Non",Palmon!AI11)</f>
        <v>Wattweiler</v>
      </c>
      <c r="AI10" t="str">
        <f>IF(Palmon!AJ11=0,"Non",Palmon!AJ11)</f>
        <v>Non</v>
      </c>
      <c r="AJ10">
        <f>Palmon!AK11</f>
        <v>0</v>
      </c>
    </row>
    <row r="11" spans="1:36" x14ac:dyDescent="0.25">
      <c r="A11" t="str">
        <f>Palmon!B12</f>
        <v>Abuzzinian</v>
      </c>
      <c r="B11" t="str">
        <f>Palmon!C12</f>
        <v>Electricity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4</v>
      </c>
      <c r="G11">
        <f>Palmon!H12</f>
        <v>4</v>
      </c>
      <c r="H11">
        <f>Palmon!I12</f>
        <v>14</v>
      </c>
      <c r="I11">
        <f>Palmon!J12</f>
        <v>1</v>
      </c>
      <c r="J11">
        <f>Palmon!K12</f>
        <v>1</v>
      </c>
      <c r="K11">
        <f>Palmon!L12</f>
        <v>1</v>
      </c>
      <c r="L11" t="str">
        <f>Palmon!M12</f>
        <v>Max</v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1</v>
      </c>
      <c r="R11">
        <f>Palmon!S12</f>
        <v>1</v>
      </c>
      <c r="S11">
        <f>Palmon!T12</f>
        <v>0</v>
      </c>
      <c r="T11">
        <f>Palmon!U12</f>
        <v>0.48717948717948717</v>
      </c>
      <c r="U11">
        <f>Palmon!V12</f>
        <v>486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4230</v>
      </c>
      <c r="AA11">
        <f>Palmon!AB12</f>
        <v>12</v>
      </c>
      <c r="AB11">
        <f>Palmon!AC12</f>
        <v>2</v>
      </c>
      <c r="AC11">
        <f>Palmon!AD12</f>
        <v>0</v>
      </c>
      <c r="AD11" t="str">
        <f>IF(Palmon!AE12="","",Palmon!AE12)</f>
        <v>https://encrypted-tbn0.gstatic.com/images?q=tbn:ANd9GcT-r6BZKxjf-kMlCmzHjhnUHjvmCaOn5DxiYw&amp;s</v>
      </c>
      <c r="AE11" t="str">
        <f>IF(Palmon!AF12="","",Palmon!AF12)</f>
        <v>https://encrypted-tbn0.gstatic.com/images?q=tbn:ANd9GcR23XO-FCNYoHOIhLnxge8AzFmdP8mD1D-mzQ&amp;s</v>
      </c>
      <c r="AF11" t="str">
        <f>Palmon!AG12</f>
        <v xml:space="preserve"> </v>
      </c>
      <c r="AG11">
        <f>Palmon!AH12</f>
        <v>0</v>
      </c>
      <c r="AH11" t="str">
        <f>IF(Palmon!AI12=0,"Non",Palmon!AI12)</f>
        <v>Servolt</v>
      </c>
      <c r="AI11" t="str">
        <f>IF(Palmon!AJ12=0,"Non",Palmon!AJ12)</f>
        <v>Non</v>
      </c>
      <c r="AJ11">
        <f>Palmon!AK12</f>
        <v>0</v>
      </c>
    </row>
    <row r="12" spans="1:36" x14ac:dyDescent="0.25">
      <c r="A12" t="str">
        <f>Palmon!B13</f>
        <v>Escarffier</v>
      </c>
      <c r="B12" t="str">
        <f>Palmon!C13</f>
        <v>Fire</v>
      </c>
      <c r="C12" t="str">
        <f>Palmon!D13</f>
        <v>Defend</v>
      </c>
      <c r="D12">
        <f>Palmon!E13</f>
        <v>230</v>
      </c>
      <c r="E12">
        <f>Palmon!F13</f>
        <v>1</v>
      </c>
      <c r="F12">
        <f>Palmon!G13</f>
        <v>2</v>
      </c>
      <c r="G12">
        <f>Palmon!H13</f>
        <v>2.2999999999999998</v>
      </c>
      <c r="H12">
        <f>Palmon!I13</f>
        <v>8</v>
      </c>
      <c r="I12">
        <f>Palmon!J13</f>
        <v>5</v>
      </c>
      <c r="J12">
        <f>Palmon!K13</f>
        <v>5</v>
      </c>
      <c r="K12">
        <f>Palmon!L13</f>
        <v>5</v>
      </c>
      <c r="L12" t="str">
        <f>Palmon!M13</f>
        <v/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0.59999999999999964</v>
      </c>
      <c r="R12">
        <f>Palmon!S13</f>
        <v>0</v>
      </c>
      <c r="S12">
        <f>Palmon!T13</f>
        <v>0</v>
      </c>
      <c r="T12">
        <f>Palmon!U13</f>
        <v>0.13846153846153844</v>
      </c>
      <c r="U12">
        <f>Palmon!V13</f>
        <v>832</v>
      </c>
      <c r="V12">
        <f>Palmon!W13</f>
        <v>0</v>
      </c>
      <c r="W12">
        <f>Palmon!X13</f>
        <v>3390620000</v>
      </c>
      <c r="X12">
        <f>Palmon!Y13</f>
        <v>1</v>
      </c>
      <c r="Y12">
        <f>Palmon!Z13</f>
        <v>0</v>
      </c>
      <c r="Z12">
        <f>Palmon!AA13</f>
        <v>2530</v>
      </c>
      <c r="AA12">
        <f>Palmon!AB13</f>
        <v>20</v>
      </c>
      <c r="AB12">
        <f>Palmon!AC13</f>
        <v>3</v>
      </c>
      <c r="AC12">
        <f>Palmon!AD13</f>
        <v>0</v>
      </c>
      <c r="AD12" t="str">
        <f>IF(Palmon!AE13="","",Palmon!AE13)</f>
        <v>https://encrypted-tbn0.gstatic.com/images?q=tbn:ANd9GcST2CrUIPAlFNBLPgZn0Tu93KelabHVVAbNLQ&amp;s</v>
      </c>
      <c r="AE12" t="str">
        <f>IF(Palmon!AF13="","",Palmon!AF13)</f>
        <v xml:space="preserve"> </v>
      </c>
      <c r="AF12" t="str">
        <f>Palmon!AG13</f>
        <v xml:space="preserve"> </v>
      </c>
      <c r="AG12">
        <f>Palmon!AH13</f>
        <v>0</v>
      </c>
      <c r="AH12" t="str">
        <f>IF(Palmon!AI13=0,"Non",Palmon!AI13)</f>
        <v>Essaucier</v>
      </c>
      <c r="AI12" t="str">
        <f>IF(Palmon!AJ13=0,"Non",Palmon!AJ13)</f>
        <v>Non</v>
      </c>
      <c r="AJ12">
        <f>Palmon!AK13</f>
        <v>0</v>
      </c>
    </row>
    <row r="13" spans="1:36" x14ac:dyDescent="0.25">
      <c r="A13" t="str">
        <f>Palmon!B14</f>
        <v>Lucidina</v>
      </c>
      <c r="B13" t="str">
        <f>Palmon!C14</f>
        <v>Water</v>
      </c>
      <c r="C13" t="str">
        <f>Palmon!D14</f>
        <v>Attack</v>
      </c>
      <c r="D13">
        <f>Palmon!E14</f>
        <v>270</v>
      </c>
      <c r="E13" t="str">
        <f>Palmon!F14</f>
        <v/>
      </c>
      <c r="F13">
        <f>Palmon!G14</f>
        <v>4</v>
      </c>
      <c r="G13">
        <f>Palmon!H14</f>
        <v>4</v>
      </c>
      <c r="H13">
        <f>Palmon!I14</f>
        <v>0</v>
      </c>
      <c r="I13">
        <f>Palmon!J14</f>
        <v>5</v>
      </c>
      <c r="J13">
        <f>Palmon!K14</f>
        <v>5</v>
      </c>
      <c r="K13">
        <f>Palmon!L14</f>
        <v>15</v>
      </c>
      <c r="L13" t="str">
        <f>Palmon!M14</f>
        <v>Max</v>
      </c>
      <c r="M13" t="str">
        <f>Palmon!N14</f>
        <v/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0</v>
      </c>
      <c r="T13">
        <f>Palmon!U14</f>
        <v>0.48717948717948717</v>
      </c>
      <c r="U13">
        <f>Palmon!V14</f>
        <v>500</v>
      </c>
      <c r="V13">
        <f>Palmon!W14</f>
        <v>0</v>
      </c>
      <c r="W13">
        <f>Palmon!X14</f>
        <v>135120000</v>
      </c>
      <c r="X13" t="str">
        <f>Palmon!Y14</f>
        <v/>
      </c>
      <c r="Y13">
        <f>Palmon!Z14</f>
        <v>0</v>
      </c>
      <c r="Z13">
        <f>Palmon!AA14</f>
        <v>4270</v>
      </c>
      <c r="AA13">
        <f>Palmon!AB14</f>
        <v>11</v>
      </c>
      <c r="AB13">
        <f>Palmon!AC14</f>
        <v>2</v>
      </c>
      <c r="AC13">
        <f>Palmon!AD14</f>
        <v>0</v>
      </c>
      <c r="AD13" t="str">
        <f>IF(Palmon!AE14="","",Palmon!AE14)</f>
        <v>https://encrypted-tbn0.gstatic.com/images?q=tbn:ANd9GcR9A_xtftnwTH1zCnLIOcgmJKNZtFnB-e8QOw&amp;s</v>
      </c>
      <c r="AE13" t="str">
        <f>IF(Palmon!AF14="","",Palmon!AF14)</f>
        <v xml:space="preserve"> </v>
      </c>
      <c r="AF13" t="str">
        <f>Palmon!AG14</f>
        <v xml:space="preserve"> </v>
      </c>
      <c r="AG13">
        <f>Palmon!AH14</f>
        <v>0</v>
      </c>
      <c r="AH13" t="str">
        <f>IF(Palmon!AI14=0,"Non",Palmon!AI14)</f>
        <v>Oneirina</v>
      </c>
      <c r="AI13" t="str">
        <f>IF(Palmon!AJ14=0,"Non",Palmon!AJ14)</f>
        <v>Non</v>
      </c>
      <c r="AJ13">
        <f>Palmon!AK14</f>
        <v>0</v>
      </c>
    </row>
    <row r="14" spans="1:36" x14ac:dyDescent="0.25">
      <c r="A14" t="str">
        <f>Palmon!B15</f>
        <v>Fleurizard</v>
      </c>
      <c r="B14" t="str">
        <f>Palmon!C15</f>
        <v>Wood</v>
      </c>
      <c r="C14" t="str">
        <f>Palmon!D15</f>
        <v>Attack</v>
      </c>
      <c r="D14">
        <f>Palmon!E15</f>
        <v>260</v>
      </c>
      <c r="E14">
        <f>Palmon!F15</f>
        <v>1</v>
      </c>
      <c r="F14">
        <f>Palmon!G15</f>
        <v>5</v>
      </c>
      <c r="G14">
        <f>Palmon!H15</f>
        <v>5</v>
      </c>
      <c r="H14">
        <f>Palmon!I15</f>
        <v>0</v>
      </c>
      <c r="I14">
        <f>Palmon!J15</f>
        <v>1</v>
      </c>
      <c r="J14">
        <f>Palmon!K15</f>
        <v>1</v>
      </c>
      <c r="K14">
        <f>Palmon!L15</f>
        <v>1</v>
      </c>
      <c r="L14" t="str">
        <f>Palmon!M15</f>
        <v>Max</v>
      </c>
      <c r="M14">
        <f>Palmon!N15</f>
        <v>10</v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1</v>
      </c>
      <c r="R14">
        <f>Palmon!S15</f>
        <v>1</v>
      </c>
      <c r="S14">
        <f>Palmon!T15</f>
        <v>1</v>
      </c>
      <c r="T14">
        <f>Palmon!U15</f>
        <v>1</v>
      </c>
      <c r="U14">
        <f>Palmon!V15</f>
        <v>0</v>
      </c>
      <c r="V14">
        <f>Palmon!W15</f>
        <v>0</v>
      </c>
      <c r="W14">
        <f>Palmon!X15</f>
        <v>1235520000</v>
      </c>
      <c r="X14">
        <f>Palmon!Y15</f>
        <v>1</v>
      </c>
      <c r="Y14">
        <f>Palmon!Z15</f>
        <v>0</v>
      </c>
      <c r="Z14">
        <f>Palmon!AA15</f>
        <v>5260</v>
      </c>
      <c r="AA14">
        <f>Palmon!AB15</f>
        <v>5</v>
      </c>
      <c r="AB14">
        <f>Palmon!AC15</f>
        <v>1</v>
      </c>
      <c r="AC14">
        <f>Palmon!AD15</f>
        <v>0</v>
      </c>
      <c r="AD14" t="str">
        <f>IF(Palmon!AE15="","",Palmon!AE15)</f>
        <v>https://encrypted-tbn0.gstatic.com/images?q=tbn:ANd9GcQCf63iS9oq-SMn3DO74UTS2j_zSrzNVTRMOQ&amp;s</v>
      </c>
      <c r="AE14" t="str">
        <f>IF(Palmon!AF15="","",Palmon!AF15)</f>
        <v xml:space="preserve"> </v>
      </c>
      <c r="AF14" t="str">
        <f>Palmon!AG15</f>
        <v xml:space="preserve"> </v>
      </c>
      <c r="AG14">
        <f>Palmon!AH15</f>
        <v>0</v>
      </c>
      <c r="AH14" t="str">
        <f>IF(Palmon!AI15=0,"Non",Palmon!AI15)</f>
        <v>Non</v>
      </c>
      <c r="AI14" t="str">
        <f>IF(Palmon!AJ15=0,"Non",Palmon!AJ15)</f>
        <v>Non</v>
      </c>
      <c r="AJ14">
        <f>Palmon!AK15</f>
        <v>0</v>
      </c>
    </row>
    <row r="15" spans="1:36" x14ac:dyDescent="0.25">
      <c r="A15" t="str">
        <f>Palmon!B16</f>
        <v>Statchew</v>
      </c>
      <c r="B15" t="str">
        <f>Palmon!C16</f>
        <v>Wood</v>
      </c>
      <c r="C15" t="str">
        <f>Palmon!D16</f>
        <v>Defend</v>
      </c>
      <c r="D15">
        <f>Palmon!E16</f>
        <v>240</v>
      </c>
      <c r="E15">
        <f>Palmon!F16</f>
        <v>1</v>
      </c>
      <c r="F15">
        <f>Palmon!G16</f>
        <v>2</v>
      </c>
      <c r="G15">
        <f>Palmon!H16</f>
        <v>2.2000000000000002</v>
      </c>
      <c r="H15">
        <f>Palmon!I16</f>
        <v>10</v>
      </c>
      <c r="I15">
        <f>Palmon!J16</f>
        <v>15</v>
      </c>
      <c r="J15">
        <f>Palmon!K16</f>
        <v>5</v>
      </c>
      <c r="K15">
        <f>Palmon!L16</f>
        <v>9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0.40000000000000036</v>
      </c>
      <c r="R15">
        <f>Palmon!S16</f>
        <v>0</v>
      </c>
      <c r="S15">
        <f>Palmon!T16</f>
        <v>0</v>
      </c>
      <c r="T15">
        <f>Palmon!U16</f>
        <v>0.11794871794871797</v>
      </c>
      <c r="U15">
        <f>Palmon!V16</f>
        <v>850</v>
      </c>
      <c r="V15">
        <f>Palmon!W16</f>
        <v>0</v>
      </c>
      <c r="W15">
        <f>Palmon!X16</f>
        <v>2831420000</v>
      </c>
      <c r="X15">
        <f>Palmon!Y16</f>
        <v>1</v>
      </c>
      <c r="Y15">
        <f>Palmon!Z16</f>
        <v>0</v>
      </c>
      <c r="Z15">
        <f>Palmon!AA16</f>
        <v>2440</v>
      </c>
      <c r="AA15">
        <f>Palmon!AB16</f>
        <v>23</v>
      </c>
      <c r="AB15" t="str">
        <f>Palmon!AC16</f>
        <v/>
      </c>
      <c r="AC15">
        <f>Palmon!AD16</f>
        <v>0</v>
      </c>
      <c r="AD15" t="str">
        <f>IF(Palmon!AE16="","",Palmon!AE16)</f>
        <v>https://encrypted-tbn0.gstatic.com/images?q=tbn:ANd9GcSC1rp-0lIuUyVvSi8kN_vJnr_Ln4mF4lh4zg&amp;s</v>
      </c>
      <c r="AE15" t="str">
        <f>IF(Palmon!AF16="","",Palmon!AF16)</f>
        <v xml:space="preserve"> </v>
      </c>
      <c r="AF15" t="str">
        <f>Palmon!AG16</f>
        <v xml:space="preserve"> </v>
      </c>
      <c r="AG15">
        <f>Palmon!AH16</f>
        <v>0</v>
      </c>
      <c r="AH15" t="str">
        <f>IF(Palmon!AI16=0,"Non",Palmon!AI16)</f>
        <v>Anubeast</v>
      </c>
      <c r="AI15" t="str">
        <f>IF(Palmon!AJ16=0,"Non",Palmon!AJ16)</f>
        <v>Non</v>
      </c>
      <c r="AJ15">
        <f>Palmon!AK16</f>
        <v>0</v>
      </c>
    </row>
    <row r="16" spans="1:36" x14ac:dyDescent="0.25">
      <c r="A16" t="str">
        <f>Palmon!B17</f>
        <v>Battereina</v>
      </c>
      <c r="B16" t="str">
        <f>Palmon!C17</f>
        <v>Electricity</v>
      </c>
      <c r="C16" t="str">
        <f>Palmon!D17</f>
        <v>Attack</v>
      </c>
      <c r="D16">
        <f>Palmon!E17</f>
        <v>210</v>
      </c>
      <c r="E16">
        <f>Palmon!F17</f>
        <v>1</v>
      </c>
      <c r="F16">
        <f>Palmon!G17</f>
        <v>3</v>
      </c>
      <c r="G16">
        <f>Palmon!H17</f>
        <v>3</v>
      </c>
      <c r="H16">
        <f>Palmon!I17</f>
        <v>0</v>
      </c>
      <c r="I16">
        <f>Palmon!J17</f>
        <v>1</v>
      </c>
      <c r="J16">
        <f>Palmon!K17</f>
        <v>1</v>
      </c>
      <c r="K16">
        <f>Palmon!L17</f>
        <v>1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1</v>
      </c>
      <c r="R16">
        <f>Palmon!S17</f>
        <v>0</v>
      </c>
      <c r="S16">
        <f>Palmon!T17</f>
        <v>0</v>
      </c>
      <c r="T16">
        <f>Palmon!U17</f>
        <v>0.17948717948717949</v>
      </c>
      <c r="U16">
        <f>Palmon!V17</f>
        <v>800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3210</v>
      </c>
      <c r="AA16">
        <f>Palmon!AB17</f>
        <v>18</v>
      </c>
      <c r="AB16">
        <f>Palmon!AC17</f>
        <v>3</v>
      </c>
      <c r="AC16">
        <f>Palmon!AD17</f>
        <v>0</v>
      </c>
      <c r="AD16" t="str">
        <f>IF(Palmon!AE17="","",Palmon!AE17)</f>
        <v>https://encrypted-tbn0.gstatic.com/images?q=tbn:ANd9GcQaumzt62POzCPWE5kNVnUA5j6pKVetbogSOJqvW2HU&amp;s</v>
      </c>
      <c r="AE16" t="str">
        <f>IF(Palmon!AF17="","",Palmon!AF17)</f>
        <v>https://encrypted-tbn0.gstatic.com/images?q=tbn:ANd9GcTun-SMpIMKagR2SMRlAysEcjxhO7sD6Nq3IQ&amp;s</v>
      </c>
      <c r="AF16" t="str">
        <f>Palmon!AG17</f>
        <v xml:space="preserve"> </v>
      </c>
      <c r="AG16">
        <f>Palmon!AH17</f>
        <v>0</v>
      </c>
      <c r="AH16" t="str">
        <f>IF(Palmon!AI17=0,"Non",Palmon!AI17)</f>
        <v>Ampereina</v>
      </c>
      <c r="AI16" t="str">
        <f>IF(Palmon!AJ17=0,"Non",Palmon!AJ17)</f>
        <v>Non</v>
      </c>
      <c r="AJ16">
        <f>Palmon!AK17</f>
        <v>0</v>
      </c>
    </row>
    <row r="17" spans="1:36" x14ac:dyDescent="0.25">
      <c r="A17" t="str">
        <f>Palmon!B18</f>
        <v>Fulgairy</v>
      </c>
      <c r="B17" t="str">
        <f>Palmon!C18</f>
        <v>Electricity</v>
      </c>
      <c r="C17" t="str">
        <f>Palmon!D18</f>
        <v>Defend</v>
      </c>
      <c r="D17">
        <f>Palmon!E18</f>
        <v>210</v>
      </c>
      <c r="E17">
        <f>Palmon!F18</f>
        <v>1</v>
      </c>
      <c r="F17">
        <f>Palmon!G18</f>
        <v>2</v>
      </c>
      <c r="G17">
        <f>Palmon!H18</f>
        <v>2.2000000000000002</v>
      </c>
      <c r="H17">
        <f>Palmon!I18</f>
        <v>0</v>
      </c>
      <c r="I17">
        <f>Palmon!J18</f>
        <v>5</v>
      </c>
      <c r="J17">
        <f>Palmon!K18</f>
        <v>5</v>
      </c>
      <c r="K17">
        <f>Palmon!L18</f>
        <v>10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0.40000000000000036</v>
      </c>
      <c r="R17">
        <f>Palmon!S18</f>
        <v>0</v>
      </c>
      <c r="S17">
        <f>Palmon!T18</f>
        <v>0</v>
      </c>
      <c r="T17">
        <f>Palmon!U18</f>
        <v>0.11794871794871797</v>
      </c>
      <c r="U17">
        <f>Palmon!V18</f>
        <v>860</v>
      </c>
      <c r="V17">
        <f>Palmon!W18</f>
        <v>0</v>
      </c>
      <c r="W17">
        <f>Palmon!X18</f>
        <v>4161420000</v>
      </c>
      <c r="X17">
        <f>Palmon!Y18</f>
        <v>1</v>
      </c>
      <c r="Y17">
        <f>Palmon!Z18</f>
        <v>0</v>
      </c>
      <c r="Z17">
        <f>Palmon!AA18</f>
        <v>2410</v>
      </c>
      <c r="AA17">
        <f>Palmon!AB18</f>
        <v>25</v>
      </c>
      <c r="AB17" t="str">
        <f>Palmon!AC18</f>
        <v/>
      </c>
      <c r="AC17">
        <f>Palmon!AD18</f>
        <v>0</v>
      </c>
      <c r="AD17" t="str">
        <f>IF(Palmon!AE18="","",Palmon!AE18)</f>
        <v>https://encrypted-tbn0.gstatic.com/images?q=tbn:ANd9GcRvhKm8Syu_29_yraif6I_ybijQhVUhvDmMNg&amp;s</v>
      </c>
      <c r="AE17" t="str">
        <f>IF(Palmon!AF18="","",Palmon!AF18)</f>
        <v>https://encrypted-tbn0.gstatic.com/images?q=tbn:ANd9GcSNLJe_mmX76tcOcm93Zzrq-x4btMmg4l1csw&amp;s</v>
      </c>
      <c r="AF17" t="str">
        <f>Palmon!AG18</f>
        <v xml:space="preserve"> </v>
      </c>
      <c r="AG17">
        <f>Palmon!AH18</f>
        <v>0</v>
      </c>
      <c r="AH17" t="str">
        <f>IF(Palmon!AI18=0,"Non",Palmon!AI18)</f>
        <v>Keraunosaur</v>
      </c>
      <c r="AI17" t="str">
        <f>IF(Palmon!AJ18=0,"Non",Palmon!AJ18)</f>
        <v>Non</v>
      </c>
      <c r="AJ17">
        <f>Palmon!AK18</f>
        <v>0</v>
      </c>
    </row>
    <row r="18" spans="1:36" x14ac:dyDescent="0.25">
      <c r="A18" t="str">
        <f>Palmon!B19</f>
        <v>Blazeal</v>
      </c>
      <c r="B18" t="str">
        <f>Palmon!C19</f>
        <v>Fire</v>
      </c>
      <c r="C18" t="str">
        <f>Palmon!D19</f>
        <v>Attack</v>
      </c>
      <c r="D18">
        <f>Palmon!E19</f>
        <v>250</v>
      </c>
      <c r="E18">
        <f>Palmon!F19</f>
        <v>1</v>
      </c>
      <c r="F18">
        <f>Palmon!G19</f>
        <v>3</v>
      </c>
      <c r="G18">
        <f>Palmon!H19</f>
        <v>3</v>
      </c>
      <c r="H18">
        <f>Palmon!I19</f>
        <v>10</v>
      </c>
      <c r="I18">
        <f>Palmon!J19</f>
        <v>15</v>
      </c>
      <c r="J18">
        <f>Palmon!K19</f>
        <v>10</v>
      </c>
      <c r="K18">
        <f>Palmon!L19</f>
        <v>15</v>
      </c>
      <c r="L18" t="str">
        <f>Palmon!M19</f>
        <v/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0</v>
      </c>
      <c r="S18">
        <f>Palmon!T19</f>
        <v>0</v>
      </c>
      <c r="T18">
        <f>Palmon!U19</f>
        <v>0.17948717948717949</v>
      </c>
      <c r="U18">
        <f>Palmon!V19</f>
        <v>790</v>
      </c>
      <c r="V18">
        <f>Palmon!W19</f>
        <v>0</v>
      </c>
      <c r="W18">
        <f>Palmon!X19</f>
        <v>2123020000</v>
      </c>
      <c r="X18">
        <f>Palmon!Y19</f>
        <v>1</v>
      </c>
      <c r="Y18">
        <f>Palmon!Z19</f>
        <v>0</v>
      </c>
      <c r="Z18">
        <f>Palmon!AA19</f>
        <v>3250</v>
      </c>
      <c r="AA18">
        <f>Palmon!AB19</f>
        <v>17</v>
      </c>
      <c r="AB18">
        <f>Palmon!AC19</f>
        <v>3</v>
      </c>
      <c r="AC18">
        <f>Palmon!AD19</f>
        <v>0</v>
      </c>
      <c r="AD18" t="str">
        <f>IF(Palmon!AE19="","",Palmon!AE19)</f>
        <v>https://encrypted-tbn0.gstatic.com/images?q=tbn:ANd9GcRsDMtJC3uCFkue3lLpIZqf7OpQgR7XoKOS8g&amp;s</v>
      </c>
      <c r="AE18" t="str">
        <f>IF(Palmon!AF19="","",Palmon!AF19)</f>
        <v>https://encrypted-tbn0.gstatic.com/images?q=tbn:ANd9GcTc2Arfa7L5NJadx_WdnWjGTYRLP6bgvNMsDUbraRNI&amp;s</v>
      </c>
      <c r="AF18" t="str">
        <f>Palmon!AG19</f>
        <v xml:space="preserve"> </v>
      </c>
      <c r="AG18">
        <f>Palmon!AH19</f>
        <v>0</v>
      </c>
      <c r="AH18" t="str">
        <f>IF(Palmon!AI19=0,"Non",Palmon!AI19)</f>
        <v>Wildfuror</v>
      </c>
      <c r="AI18" t="str">
        <f>IF(Palmon!AJ19=0,"Non",Palmon!AJ19)</f>
        <v>Non</v>
      </c>
      <c r="AJ18">
        <f>Palmon!AK19</f>
        <v>0</v>
      </c>
    </row>
    <row r="19" spans="1:36" x14ac:dyDescent="0.25">
      <c r="A19" t="str">
        <f>Palmon!B20</f>
        <v>Pipistrigoi</v>
      </c>
      <c r="B19" t="str">
        <f>Palmon!C20</f>
        <v>Fire</v>
      </c>
      <c r="C19" t="str">
        <f>Palmon!D20</f>
        <v>Attack</v>
      </c>
      <c r="D19">
        <f>Palmon!E20</f>
        <v>270</v>
      </c>
      <c r="E19" t="str">
        <f>Palmon!F20</f>
        <v/>
      </c>
      <c r="F19">
        <f>Palmon!G20</f>
        <v>4</v>
      </c>
      <c r="G19">
        <f>Palmon!H20</f>
        <v>4.0999999999999996</v>
      </c>
      <c r="H19">
        <f>Palmon!I20</f>
        <v>13</v>
      </c>
      <c r="I19">
        <f>Palmon!J20</f>
        <v>15</v>
      </c>
      <c r="J19">
        <f>Palmon!K20</f>
        <v>15</v>
      </c>
      <c r="K19">
        <f>Palmon!L20</f>
        <v>15</v>
      </c>
      <c r="L19" t="str">
        <f>Palmon!M20</f>
        <v>Max</v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1</v>
      </c>
      <c r="R19">
        <f>Palmon!S20</f>
        <v>1</v>
      </c>
      <c r="S19">
        <f>Palmon!T20</f>
        <v>0.19999999999999929</v>
      </c>
      <c r="T19">
        <f>Palmon!U20</f>
        <v>0.58974358974358942</v>
      </c>
      <c r="U19">
        <f>Palmon!V20</f>
        <v>387.00000000000034</v>
      </c>
      <c r="V19">
        <f>Palmon!W20</f>
        <v>0</v>
      </c>
      <c r="W19">
        <f>Palmon!X20</f>
        <v>135120000</v>
      </c>
      <c r="X19" t="str">
        <f>Palmon!Y20</f>
        <v/>
      </c>
      <c r="Y19">
        <f>Palmon!Z20</f>
        <v>0</v>
      </c>
      <c r="Z19">
        <f>Palmon!AA20</f>
        <v>4370</v>
      </c>
      <c r="AA19">
        <f>Palmon!AB20</f>
        <v>8</v>
      </c>
      <c r="AB19">
        <f>Palmon!AC20</f>
        <v>2</v>
      </c>
      <c r="AC19">
        <f>Palmon!AD20</f>
        <v>0</v>
      </c>
      <c r="AD19" t="str">
        <f>IF(Palmon!AE20="","",Palmon!AE20)</f>
        <v>https://encrypted-tbn0.gstatic.com/images?q=tbn:ANd9GcSSdARGNHB_mPJlsb0v4ULv5HaXw2movjzNTNSrkzsi&amp;s</v>
      </c>
      <c r="AE19" t="str">
        <f>IF(Palmon!AF20="","",Palmon!AF20)</f>
        <v xml:space="preserve"> </v>
      </c>
      <c r="AF19" t="str">
        <f>Palmon!AG20</f>
        <v xml:space="preserve"> </v>
      </c>
      <c r="AG19">
        <f>Palmon!AH20</f>
        <v>0</v>
      </c>
      <c r="AH19" t="str">
        <f>IF(Palmon!AI20=0,"Non",Palmon!AI20)</f>
        <v>Azurostrigoi</v>
      </c>
      <c r="AI19" t="str">
        <f>IF(Palmon!AJ20=0,"Non",Palmon!AJ20)</f>
        <v>Non</v>
      </c>
      <c r="AJ19">
        <f>Palmon!AK20</f>
        <v>0</v>
      </c>
    </row>
    <row r="20" spans="1:36" x14ac:dyDescent="0.25">
      <c r="A20" t="str">
        <f>Palmon!B21</f>
        <v>Fingenue</v>
      </c>
      <c r="B20" t="str">
        <f>Palmon!C21</f>
        <v>Water</v>
      </c>
      <c r="C20" t="str">
        <f>Palmon!D21</f>
        <v>Attack</v>
      </c>
      <c r="D20">
        <f>Palmon!E21</f>
        <v>200</v>
      </c>
      <c r="E20">
        <f>Palmon!F21</f>
        <v>1</v>
      </c>
      <c r="F20">
        <f>Palmon!G21</f>
        <v>2</v>
      </c>
      <c r="G20">
        <f>Palmon!H21</f>
        <v>2</v>
      </c>
      <c r="H20">
        <f>Palmon!I21</f>
        <v>13</v>
      </c>
      <c r="I20">
        <f>Palmon!J21</f>
        <v>5</v>
      </c>
      <c r="J20">
        <f>Palmon!K21</f>
        <v>1</v>
      </c>
      <c r="K20">
        <f>Palmon!L21</f>
        <v>5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</v>
      </c>
      <c r="R20">
        <f>Palmon!S21</f>
        <v>0</v>
      </c>
      <c r="S20">
        <f>Palmon!T21</f>
        <v>0</v>
      </c>
      <c r="T20">
        <f>Palmon!U21</f>
        <v>7.6923076923076927E-2</v>
      </c>
      <c r="U20">
        <f>Palmon!V21</f>
        <v>887</v>
      </c>
      <c r="V20">
        <f>Palmon!W21</f>
        <v>0</v>
      </c>
      <c r="W20">
        <f>Palmon!X21</f>
        <v>4415720000</v>
      </c>
      <c r="X20">
        <f>Palmon!Y21</f>
        <v>1</v>
      </c>
      <c r="Y20">
        <f>Palmon!Z21</f>
        <v>0</v>
      </c>
      <c r="Z20">
        <f>Palmon!AA21</f>
        <v>2200</v>
      </c>
      <c r="AA20">
        <f>Palmon!AB21</f>
        <v>30</v>
      </c>
      <c r="AB20" t="str">
        <f>Palmon!AC21</f>
        <v/>
      </c>
      <c r="AC20">
        <f>Palmon!AD21</f>
        <v>0</v>
      </c>
      <c r="AD20" t="str">
        <f>IF(Palmon!AE21="","",Palmon!AE21)</f>
        <v>https://encrypted-tbn0.gstatic.com/images?q=tbn:ANd9GcQMvgcplGCQCmIPq5ypILKf8v4mBVwxsMgKdg&amp;s</v>
      </c>
      <c r="AE20" t="str">
        <f>IF(Palmon!AF21="","",Palmon!AF21)</f>
        <v>https://encrypted-tbn0.gstatic.com/images?q=tbn:ANd9GcQK8ZtDU3nBBFFGN2vhlNn2ACJuBBoGsnFHZC7On4Gb&amp;s</v>
      </c>
      <c r="AF20" t="str">
        <f>Palmon!AG21</f>
        <v xml:space="preserve"> </v>
      </c>
      <c r="AG20">
        <f>Palmon!AH21</f>
        <v>0</v>
      </c>
      <c r="AH20" t="str">
        <f>IF(Palmon!AI21=0,"Non",Palmon!AI21)</f>
        <v>Finnabelle</v>
      </c>
      <c r="AI20" t="str">
        <f>IF(Palmon!AJ21=0,"Non",Palmon!AJ21)</f>
        <v>Non</v>
      </c>
      <c r="AJ20">
        <f>Palmon!AK21</f>
        <v>0</v>
      </c>
    </row>
    <row r="21" spans="1:36" x14ac:dyDescent="0.25">
      <c r="A21" t="str">
        <f>Palmon!B22</f>
        <v>Dolphriend</v>
      </c>
      <c r="B21" t="str">
        <f>Palmon!C22</f>
        <v>Water</v>
      </c>
      <c r="C21" t="str">
        <f>Palmon!D22</f>
        <v>Defend</v>
      </c>
      <c r="D21">
        <f>Palmon!E22</f>
        <v>210</v>
      </c>
      <c r="E21">
        <f>Palmon!F22</f>
        <v>1</v>
      </c>
      <c r="F21">
        <f>Palmon!G22</f>
        <v>2</v>
      </c>
      <c r="G21">
        <f>Palmon!H22</f>
        <v>2.2000000000000002</v>
      </c>
      <c r="H21">
        <f>Palmon!I22</f>
        <v>1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0.40000000000000036</v>
      </c>
      <c r="R21">
        <f>Palmon!S22</f>
        <v>0</v>
      </c>
      <c r="S21">
        <f>Palmon!T22</f>
        <v>0</v>
      </c>
      <c r="T21">
        <f>Palmon!U22</f>
        <v>0.11794871794871797</v>
      </c>
      <c r="U21">
        <f>Palmon!V22</f>
        <v>859</v>
      </c>
      <c r="V21">
        <f>Palmon!W22</f>
        <v>0</v>
      </c>
      <c r="W21">
        <f>Palmon!X22</f>
        <v>4161420000</v>
      </c>
      <c r="X21">
        <f>Palmon!Y22</f>
        <v>1</v>
      </c>
      <c r="Y21">
        <f>Palmon!Z22</f>
        <v>0</v>
      </c>
      <c r="Z21">
        <f>Palmon!AA22</f>
        <v>2410</v>
      </c>
      <c r="AA21">
        <f>Palmon!AB22</f>
        <v>26</v>
      </c>
      <c r="AB21" t="str">
        <f>Palmon!AC22</f>
        <v/>
      </c>
      <c r="AC21">
        <f>Palmon!AD22</f>
        <v>0</v>
      </c>
      <c r="AD21" t="str">
        <f>IF(Palmon!AE22="","",Palmon!AE22)</f>
        <v>https://encrypted-tbn0.gstatic.com/images?q=tbn:ANd9GcQ5ThIRML8-S9czd3JEMxpMlnMn9UAMwdeiBw&amp;s</v>
      </c>
      <c r="AE21" t="str">
        <f>IF(Palmon!AF22="","",Palmon!AF22)</f>
        <v>https://encrypted-tbn0.gstatic.com/images?q=tbn:ANd9GcTQp9fQrKVHd_zzyuSxM8QSOjlZsRbJ0lwxrg&amp;s</v>
      </c>
      <c r="AF21" t="str">
        <f>Palmon!AG22</f>
        <v xml:space="preserve"> </v>
      </c>
      <c r="AG21">
        <f>Palmon!AH22</f>
        <v>0</v>
      </c>
      <c r="AH21" t="str">
        <f>IF(Palmon!AI22=0,"Non",Palmon!AI22)</f>
        <v>Adolphonis</v>
      </c>
      <c r="AI21" t="str">
        <f>IF(Palmon!AJ22=0,"Non",Palmon!AJ22)</f>
        <v>Non</v>
      </c>
      <c r="AJ21">
        <f>Palmon!AK22</f>
        <v>0</v>
      </c>
    </row>
    <row r="22" spans="1:36" x14ac:dyDescent="0.25">
      <c r="A22" t="str">
        <f>Palmon!B23</f>
        <v>Ninjump</v>
      </c>
      <c r="B22" t="str">
        <f>Palmon!C23</f>
        <v>Water</v>
      </c>
      <c r="C22" t="str">
        <f>Palmon!D23</f>
        <v>Attack</v>
      </c>
      <c r="D22">
        <f>Palmon!E23</f>
        <v>160</v>
      </c>
      <c r="E22">
        <f>Palmon!F23</f>
        <v>1</v>
      </c>
      <c r="F22">
        <f>Palmon!G23</f>
        <v>2</v>
      </c>
      <c r="G22">
        <f>Palmon!H23</f>
        <v>2.2999999999999998</v>
      </c>
      <c r="H22">
        <f>Palmon!I23</f>
        <v>10</v>
      </c>
      <c r="I22">
        <f>Palmon!J23</f>
        <v>1</v>
      </c>
      <c r="J22">
        <f>Palmon!K23</f>
        <v>1</v>
      </c>
      <c r="K22">
        <f>Palmon!L23</f>
        <v>1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0.59999999999999964</v>
      </c>
      <c r="R22">
        <f>Palmon!S23</f>
        <v>0</v>
      </c>
      <c r="S22">
        <f>Palmon!T23</f>
        <v>0</v>
      </c>
      <c r="T22">
        <f>Palmon!U23</f>
        <v>0.13846153846153844</v>
      </c>
      <c r="U22">
        <f>Palmon!V23</f>
        <v>830</v>
      </c>
      <c r="V22">
        <f>Palmon!W23</f>
        <v>0</v>
      </c>
      <c r="W22">
        <f>Palmon!X23</f>
        <v>4919220000</v>
      </c>
      <c r="X22">
        <f>Palmon!Y23</f>
        <v>1</v>
      </c>
      <c r="Y22">
        <f>Palmon!Z23</f>
        <v>0</v>
      </c>
      <c r="Z22">
        <f>Palmon!AA23</f>
        <v>2460</v>
      </c>
      <c r="AA22">
        <f>Palmon!AB23</f>
        <v>21</v>
      </c>
      <c r="AB22" t="str">
        <f>Palmon!AC23</f>
        <v/>
      </c>
      <c r="AC22">
        <f>Palmon!AD23</f>
        <v>0</v>
      </c>
      <c r="AD22" t="str">
        <f>IF(Palmon!AE23="","",Palmon!AE23)</f>
        <v>https://encrypted-tbn0.gstatic.com/images?q=tbn:ANd9GcQlW5YoM4c6bArAuIb7UxI-VfUI9GmBp85Qig&amp;s</v>
      </c>
      <c r="AE22" t="str">
        <f>IF(Palmon!AF23="","",Palmon!AF23)</f>
        <v>https://encrypted-tbn0.gstatic.com/images?q=tbn:ANd9GcRXczs_Bjhslhr7Mf2HENU6MTyGpz0RJEMjNA&amp;s</v>
      </c>
      <c r="AF22" t="str">
        <f>Palmon!AG23</f>
        <v xml:space="preserve"> </v>
      </c>
      <c r="AG22">
        <f>Palmon!AH23</f>
        <v>0</v>
      </c>
      <c r="AH22" t="str">
        <f>IF(Palmon!AI23=0,"Non",Palmon!AI23)</f>
        <v>Bufonobi</v>
      </c>
      <c r="AI22" t="str">
        <f>IF(Palmon!AJ23=0,"Non",Palmon!AJ23)</f>
        <v>Shadowkaeru</v>
      </c>
      <c r="AJ22">
        <f>Palmon!AK23</f>
        <v>0</v>
      </c>
    </row>
    <row r="23" spans="1:36" x14ac:dyDescent="0.25">
      <c r="A23" t="str">
        <f>Palmon!B24</f>
        <v>Surveilynx</v>
      </c>
      <c r="B23" t="str">
        <f>Palmon!C24</f>
        <v>Wood</v>
      </c>
      <c r="C23" t="str">
        <f>Palmon!D24</f>
        <v>Attack</v>
      </c>
      <c r="D23">
        <f>Palmon!E24</f>
        <v>220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10</v>
      </c>
      <c r="J23">
        <f>Palmon!K24</f>
        <v>10</v>
      </c>
      <c r="K23">
        <f>Palmon!L24</f>
        <v>10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3826220000</v>
      </c>
      <c r="X23">
        <f>Palmon!Y24</f>
        <v>1</v>
      </c>
      <c r="Y23">
        <f>Palmon!Z24</f>
        <v>0</v>
      </c>
      <c r="Z23">
        <f>Palmon!AA24</f>
        <v>2220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IF(Palmon!AE24="","",Palmon!AE24)</f>
        <v>https://encrypted-tbn0.gstatic.com/images?q=tbn:ANd9GcS2Z4TkKenIldVD1AQ7o1ftBU6pG9zKRz-FKA&amp;s</v>
      </c>
      <c r="AE23" t="str">
        <f>IF(Palmon!AF24="","",Palmon!AF24)</f>
        <v>https://encrypted-tbn0.gstatic.com/images?q=tbn:ANd9GcQt6lIf0Em_f_DT0VurOVsujswJCEmGOpJk4N6txfed&amp;s</v>
      </c>
      <c r="AF23" t="str">
        <f>Palmon!AG24</f>
        <v xml:space="preserve"> </v>
      </c>
      <c r="AG23">
        <f>Palmon!AH24</f>
        <v>0</v>
      </c>
      <c r="AH23" t="str">
        <f>IF(Palmon!AI24=0,"Non",Palmon!AI24)</f>
        <v>Camouflynx</v>
      </c>
      <c r="AI23" t="str">
        <f>IF(Palmon!AJ24=0,"Non",Palmon!AJ24)</f>
        <v>Non</v>
      </c>
      <c r="AJ23">
        <f>Palmon!AK24</f>
        <v>0</v>
      </c>
    </row>
    <row r="24" spans="1:36" x14ac:dyDescent="0.25">
      <c r="A24" t="str">
        <f>Palmon!B25</f>
        <v>Salamantis</v>
      </c>
      <c r="B24" t="str">
        <f>Palmon!C25</f>
        <v>Wood</v>
      </c>
      <c r="C24" t="str">
        <f>Palmon!D25</f>
        <v>Attack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</v>
      </c>
      <c r="J24">
        <f>Palmon!K25</f>
        <v>1</v>
      </c>
      <c r="K24">
        <f>Palmon!L25</f>
        <v>1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31</v>
      </c>
      <c r="AB24" t="str">
        <f>Palmon!AC25</f>
        <v/>
      </c>
      <c r="AC24">
        <f>Palmon!AD25</f>
        <v>0</v>
      </c>
      <c r="AD24" t="str">
        <f>IF(Palmon!AE25="","",Palmon!AE25)</f>
        <v>https://encrypted-tbn0.gstatic.com/images?q=tbn:ANd9GcSPFSxpzP3XhhfdRhxvv_Oi86DkexX6yjZrRA&amp;s</v>
      </c>
      <c r="AE24" t="str">
        <f>IF(Palmon!AF25="","",Palmon!AF25)</f>
        <v/>
      </c>
      <c r="AF24" t="str">
        <f>Palmon!AG25</f>
        <v xml:space="preserve"> </v>
      </c>
      <c r="AG24">
        <f>Palmon!AH25</f>
        <v>0</v>
      </c>
      <c r="AH24" t="str">
        <f>IF(Palmon!AI25=0,"Non",Palmon!AI25)</f>
        <v>Silvaurus</v>
      </c>
      <c r="AI24" t="str">
        <f>IF(Palmon!AJ25=0,"Non",Palmon!AJ25)</f>
        <v>Non</v>
      </c>
      <c r="AJ24">
        <f>Palmon!AK25</f>
        <v>0</v>
      </c>
    </row>
    <row r="25" spans="1:36" x14ac:dyDescent="0.25">
      <c r="A25" t="str">
        <f>Palmon!B26</f>
        <v>Regalion</v>
      </c>
      <c r="B25" t="str">
        <f>Palmon!C26</f>
        <v>Water</v>
      </c>
      <c r="C25" t="str">
        <f>Palmon!D26</f>
        <v>Defend</v>
      </c>
      <c r="D25">
        <f>Palmon!E26</f>
        <v>200</v>
      </c>
      <c r="E25">
        <f>Palmon!F26</f>
        <v>1</v>
      </c>
      <c r="F25">
        <f>Palmon!G26</f>
        <v>2</v>
      </c>
      <c r="G25">
        <f>Palmon!H26</f>
        <v>2.1</v>
      </c>
      <c r="H25">
        <f>Palmon!I26</f>
        <v>11</v>
      </c>
      <c r="I25">
        <f>Palmon!J26</f>
        <v>10</v>
      </c>
      <c r="J25">
        <f>Palmon!K26</f>
        <v>10</v>
      </c>
      <c r="K25">
        <f>Palmon!L26</f>
        <v>10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0.20000000000000018</v>
      </c>
      <c r="R25">
        <f>Palmon!S26</f>
        <v>0</v>
      </c>
      <c r="S25">
        <f>Palmon!T26</f>
        <v>0</v>
      </c>
      <c r="T25">
        <f>Palmon!U26</f>
        <v>9.7435897435897451E-2</v>
      </c>
      <c r="U25">
        <f>Palmon!V26</f>
        <v>869</v>
      </c>
      <c r="V25">
        <f>Palmon!W26</f>
        <v>0</v>
      </c>
      <c r="W25">
        <f>Palmon!X26</f>
        <v>4415720000</v>
      </c>
      <c r="X25">
        <f>Palmon!Y26</f>
        <v>1</v>
      </c>
      <c r="Y25">
        <f>Palmon!Z26</f>
        <v>0</v>
      </c>
      <c r="Z25">
        <f>Palmon!AA26</f>
        <v>2300</v>
      </c>
      <c r="AA25">
        <f>Palmon!AB26</f>
        <v>28</v>
      </c>
      <c r="AB25" t="str">
        <f>Palmon!AC26</f>
        <v/>
      </c>
      <c r="AC25">
        <f>Palmon!AD26</f>
        <v>0</v>
      </c>
      <c r="AD25" t="str">
        <f>IF(Palmon!AE26="","",Palmon!AE26)</f>
        <v>https://encrypted-tbn0.gstatic.com/images?q=tbn:ANd9GcToQuTLjFC_oynclPIY9tWM7qAaMIPbmzTn2Q&amp;s</v>
      </c>
      <c r="AE25" t="str">
        <f>IF(Palmon!AF26="","",Palmon!AF26)</f>
        <v>https://encrypted-tbn0.gstatic.com/images?q=tbn:ANd9GcS0uWep-9VXcdMd6qSpdASqYR42mG4SmBsCjw&amp;s</v>
      </c>
      <c r="AF25" t="str">
        <f>Palmon!AG26</f>
        <v xml:space="preserve"> </v>
      </c>
      <c r="AG25">
        <f>Palmon!AH26</f>
        <v>0</v>
      </c>
      <c r="AH25" t="str">
        <f>IF(Palmon!AI26=0,"Non",Palmon!AI26)</f>
        <v>Lionarch</v>
      </c>
      <c r="AI25" t="str">
        <f>IF(Palmon!AJ26=0,"Non",Palmon!AJ26)</f>
        <v>Non</v>
      </c>
      <c r="AJ25">
        <f>Palmon!AK26</f>
        <v>0</v>
      </c>
    </row>
    <row r="26" spans="1:36" x14ac:dyDescent="0.25">
      <c r="A26" t="str">
        <f>Palmon!B27</f>
        <v>Mantleray</v>
      </c>
      <c r="B26" t="str">
        <f>Palmon!C27</f>
        <v>Electricity</v>
      </c>
      <c r="C26" t="str">
        <f>Palmon!D27</f>
        <v>Attack</v>
      </c>
      <c r="D26">
        <f>Palmon!E27</f>
        <v>210</v>
      </c>
      <c r="E26">
        <f>Palmon!F27</f>
        <v>1</v>
      </c>
      <c r="F26">
        <f>Palmon!G27</f>
        <v>2</v>
      </c>
      <c r="G26">
        <f>Palmon!H27</f>
        <v>2.4</v>
      </c>
      <c r="H26">
        <f>Palmon!I27</f>
        <v>3</v>
      </c>
      <c r="I26">
        <f>Palmon!J27</f>
        <v>4</v>
      </c>
      <c r="J26">
        <f>Palmon!K27</f>
        <v>1</v>
      </c>
      <c r="K26">
        <f>Palmon!L27</f>
        <v>1</v>
      </c>
      <c r="L26" t="str">
        <f>Palmon!M27</f>
        <v/>
      </c>
      <c r="M26" t="str">
        <f>Palmon!N27</f>
        <v/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0.79999999999999982</v>
      </c>
      <c r="R26">
        <f>Palmon!S27</f>
        <v>0</v>
      </c>
      <c r="S26">
        <f>Palmon!T27</f>
        <v>0</v>
      </c>
      <c r="T26">
        <f>Palmon!U27</f>
        <v>0.15897435897435896</v>
      </c>
      <c r="U26">
        <f>Palmon!V27</f>
        <v>817</v>
      </c>
      <c r="V26">
        <f>Palmon!W27</f>
        <v>0</v>
      </c>
      <c r="W26">
        <f>Palmon!X27</f>
        <v>4161420000</v>
      </c>
      <c r="X26">
        <f>Palmon!Y27</f>
        <v>1</v>
      </c>
      <c r="Y26">
        <f>Palmon!Z27</f>
        <v>0</v>
      </c>
      <c r="Z26">
        <f>Palmon!AA27</f>
        <v>2610</v>
      </c>
      <c r="AA26">
        <f>Palmon!AB27</f>
        <v>19</v>
      </c>
      <c r="AB26">
        <f>Palmon!AC27</f>
        <v>3</v>
      </c>
      <c r="AC26">
        <f>Palmon!AD27</f>
        <v>0</v>
      </c>
      <c r="AD26" t="str">
        <f>IF(Palmon!AE27="","",Palmon!AE27)</f>
        <v>https://encrypted-tbn0.gstatic.com/images?q=tbn:ANd9GcSWhzppoZXwh-zBnWIY3GFkIp0x0kc0hAzG0A&amp;s</v>
      </c>
      <c r="AE26" t="str">
        <f>IF(Palmon!AF27="","",Palmon!AF27)</f>
        <v xml:space="preserve"> </v>
      </c>
      <c r="AF26" t="str">
        <f>Palmon!AG27</f>
        <v xml:space="preserve"> </v>
      </c>
      <c r="AG26">
        <f>Palmon!AH27</f>
        <v>0</v>
      </c>
      <c r="AH26" t="str">
        <f>IF(Palmon!AI27=0,"Non",Palmon!AI27)</f>
        <v>Sorceray</v>
      </c>
      <c r="AI26" t="str">
        <f>IF(Palmon!AJ27=0,"Non",Palmon!AJ27)</f>
        <v>Non</v>
      </c>
      <c r="AJ26">
        <f>Palmon!AK27</f>
        <v>0</v>
      </c>
    </row>
    <row r="27" spans="1:36" x14ac:dyDescent="0.25">
      <c r="A27" t="str">
        <f>Palmon!B28</f>
        <v>Oleana</v>
      </c>
      <c r="B27" t="str">
        <f>Palmon!C28</f>
        <v>Wood</v>
      </c>
      <c r="C27" t="str">
        <f>Palmon!D28</f>
        <v>Attack</v>
      </c>
      <c r="D27">
        <f>Palmon!E28</f>
        <v>260</v>
      </c>
      <c r="E27">
        <f>Palmon!F28</f>
        <v>1</v>
      </c>
      <c r="F27">
        <f>Palmon!G28</f>
        <v>5</v>
      </c>
      <c r="G27">
        <f>Palmon!H28</f>
        <v>5</v>
      </c>
      <c r="H27">
        <f>Palmon!I28</f>
        <v>128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>Max</v>
      </c>
      <c r="M27">
        <f>Palmon!N28</f>
        <v>10</v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1</v>
      </c>
      <c r="S27">
        <f>Palmon!T28</f>
        <v>1</v>
      </c>
      <c r="T27">
        <f>Palmon!U28</f>
        <v>1</v>
      </c>
      <c r="U27">
        <f>Palmon!V28</f>
        <v>-128</v>
      </c>
      <c r="V27">
        <f>Palmon!W28</f>
        <v>0</v>
      </c>
      <c r="W27">
        <f>Palmon!X28</f>
        <v>1235520000</v>
      </c>
      <c r="X27">
        <f>Palmon!Y28</f>
        <v>1</v>
      </c>
      <c r="Y27">
        <f>Palmon!Z28</f>
        <v>0</v>
      </c>
      <c r="Z27">
        <f>Palmon!AA28</f>
        <v>5260</v>
      </c>
      <c r="AA27">
        <f>Palmon!AB28</f>
        <v>6</v>
      </c>
      <c r="AB27">
        <f>Palmon!AC28</f>
        <v>1</v>
      </c>
      <c r="AC27">
        <f>Palmon!AD28</f>
        <v>0</v>
      </c>
      <c r="AD27" t="str">
        <f>IF(Palmon!AE28="","",Palmon!AE28)</f>
        <v>https://encrypted-tbn0.gstatic.com/images?q=tbn:ANd9GcQ02wmDjsAMofj1ObwwNW6Vhl_QQ-LUodGIKA&amp;s</v>
      </c>
      <c r="AE27" t="str">
        <f>IF(Palmon!AF28="","",Palmon!AF28)</f>
        <v xml:space="preserve"> </v>
      </c>
      <c r="AF27" t="str">
        <f>Palmon!AG28</f>
        <v xml:space="preserve"> </v>
      </c>
      <c r="AG27">
        <f>Palmon!AH28</f>
        <v>0</v>
      </c>
      <c r="AH27" t="str">
        <f>IF(Palmon!AI28=0,"Non",Palmon!AI28)</f>
        <v>Non</v>
      </c>
      <c r="AI27" t="str">
        <f>IF(Palmon!AJ28=0,"Non",Palmon!AJ28)</f>
        <v>Non</v>
      </c>
      <c r="AJ27">
        <f>Palmon!AK28</f>
        <v>0</v>
      </c>
    </row>
    <row r="28" spans="1:36" x14ac:dyDescent="0.25">
      <c r="A28" t="str">
        <f>Palmon!B29</f>
        <v>Spookaboo</v>
      </c>
      <c r="B28" t="str">
        <f>Palmon!C29</f>
        <v>Fire</v>
      </c>
      <c r="C28" t="str">
        <f>Palmon!D29</f>
        <v>Attack</v>
      </c>
      <c r="D28">
        <f>Palmon!E29</f>
        <v>210</v>
      </c>
      <c r="E28">
        <f>Palmon!F29</f>
        <v>1</v>
      </c>
      <c r="F28">
        <f>Palmon!G29</f>
        <v>3</v>
      </c>
      <c r="G28">
        <f>Palmon!H29</f>
        <v>3.2</v>
      </c>
      <c r="H28">
        <f>Palmon!I29</f>
        <v>10</v>
      </c>
      <c r="I28">
        <f>Palmon!J29</f>
        <v>1</v>
      </c>
      <c r="J28">
        <f>Palmon!K29</f>
        <v>1</v>
      </c>
      <c r="K28">
        <f>Palmon!L29</f>
        <v>20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0.40000000000000036</v>
      </c>
      <c r="S28">
        <f>Palmon!T29</f>
        <v>0</v>
      </c>
      <c r="T28">
        <f>Palmon!U29</f>
        <v>0.30256410256410265</v>
      </c>
      <c r="U28">
        <f>Palmon!V29</f>
        <v>669.99999999999989</v>
      </c>
      <c r="V28">
        <f>Palmon!W29</f>
        <v>0</v>
      </c>
      <c r="W28">
        <f>Palmon!X29</f>
        <v>4161420000</v>
      </c>
      <c r="X28">
        <f>Palmon!Y29</f>
        <v>1</v>
      </c>
      <c r="Y28">
        <f>Palmon!Z29</f>
        <v>0</v>
      </c>
      <c r="Z28">
        <f>Palmon!AA29</f>
        <v>3410</v>
      </c>
      <c r="AA28">
        <f>Palmon!AB29</f>
        <v>14</v>
      </c>
      <c r="AB28">
        <f>Palmon!AC29</f>
        <v>2</v>
      </c>
      <c r="AC28">
        <f>Palmon!AD29</f>
        <v>0</v>
      </c>
      <c r="AD28" t="str">
        <f>IF(Palmon!AE29="","",Palmon!AE29)</f>
        <v>https://encrypted-tbn0.gstatic.com/images?q=tbn:ANd9GcT29K673YTBvt_EofrppvnWB4sgt43DEq1pTw&amp;s</v>
      </c>
      <c r="AE28" t="str">
        <f>IF(Palmon!AF29="","",Palmon!AF29)</f>
        <v xml:space="preserve"> </v>
      </c>
      <c r="AF28" t="str">
        <f>Palmon!AG29</f>
        <v xml:space="preserve"> </v>
      </c>
      <c r="AG28">
        <f>Palmon!AH29</f>
        <v>0</v>
      </c>
      <c r="AH28" t="str">
        <f>IF(Palmon!AI29=0,"Non",Palmon!AI29)</f>
        <v>Non</v>
      </c>
      <c r="AI28" t="str">
        <f>IF(Palmon!AJ29=0,"Non",Palmon!AJ29)</f>
        <v>Non</v>
      </c>
      <c r="AJ28">
        <f>Palmon!AK29</f>
        <v>0</v>
      </c>
    </row>
    <row r="29" spans="1:36" x14ac:dyDescent="0.25">
      <c r="A29" t="str">
        <f>Palmon!B30</f>
        <v>Kungpaw</v>
      </c>
      <c r="B29" t="str">
        <f>Palmon!C30</f>
        <v>Water</v>
      </c>
      <c r="C29" t="str">
        <f>Palmon!D30</f>
        <v>Defend</v>
      </c>
      <c r="D29">
        <f>Palmon!E30</f>
        <v>190</v>
      </c>
      <c r="E29">
        <f>Palmon!F30</f>
        <v>1</v>
      </c>
      <c r="F29">
        <f>Palmon!G30</f>
        <v>4</v>
      </c>
      <c r="G29">
        <f>Palmon!H30</f>
        <v>4</v>
      </c>
      <c r="H29">
        <f>Palmon!I30</f>
        <v>30</v>
      </c>
      <c r="I29">
        <f>Palmon!J30</f>
        <v>1</v>
      </c>
      <c r="J29">
        <f>Palmon!K30</f>
        <v>1</v>
      </c>
      <c r="K29">
        <f>Palmon!L30</f>
        <v>1</v>
      </c>
      <c r="L29" t="str">
        <f>Palmon!M30</f>
        <v>Max</v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1</v>
      </c>
      <c r="R29">
        <f>Palmon!S30</f>
        <v>1</v>
      </c>
      <c r="S29">
        <f>Palmon!T30</f>
        <v>0</v>
      </c>
      <c r="T29">
        <f>Palmon!U30</f>
        <v>0.48717948717948717</v>
      </c>
      <c r="U29">
        <f>Palmon!V30</f>
        <v>470</v>
      </c>
      <c r="V29">
        <f>Palmon!W30</f>
        <v>0</v>
      </c>
      <c r="W29">
        <f>Palmon!X30</f>
        <v>4605720000</v>
      </c>
      <c r="X29">
        <f>Palmon!Y30</f>
        <v>1</v>
      </c>
      <c r="Y29">
        <f>Palmon!Z30</f>
        <v>0</v>
      </c>
      <c r="Z29">
        <f>Palmon!AA30</f>
        <v>4190</v>
      </c>
      <c r="AA29">
        <f>Palmon!AB30</f>
        <v>13</v>
      </c>
      <c r="AB29">
        <f>Palmon!AC30</f>
        <v>2</v>
      </c>
      <c r="AC29">
        <f>Palmon!AD30</f>
        <v>0</v>
      </c>
      <c r="AD29" t="str">
        <f>IF(Palmon!AE30="","",Palmon!AE30)</f>
        <v>https://encrypted-tbn0.gstatic.com/images?q=tbn:ANd9GcRV1HdRcNPUS4HjDBZ2YOXgaMW_I8FgZEP5xg&amp;s</v>
      </c>
      <c r="AE29" t="str">
        <f>IF(Palmon!AF30="","",Palmon!AF30)</f>
        <v/>
      </c>
      <c r="AF29" t="str">
        <f>Palmon!AG30</f>
        <v xml:space="preserve"> </v>
      </c>
      <c r="AG29">
        <f>Palmon!AH30</f>
        <v>0</v>
      </c>
      <c r="AH29" t="str">
        <f>IF(Palmon!AI30=0,"Non",Palmon!AI30)</f>
        <v>Non</v>
      </c>
      <c r="AI29" t="str">
        <f>IF(Palmon!AJ30=0,"Non",Palmon!AJ30)</f>
        <v>Non</v>
      </c>
      <c r="AJ29">
        <f>Palmon!AK30</f>
        <v>0</v>
      </c>
    </row>
    <row r="30" spans="1:36" x14ac:dyDescent="0.25">
      <c r="A30" t="str">
        <f>Palmon!B31</f>
        <v>Baboom</v>
      </c>
      <c r="B30" t="str">
        <f>Palmon!C31</f>
        <v>Wood</v>
      </c>
      <c r="C30" t="str">
        <f>Palmon!D31</f>
        <v>Attack</v>
      </c>
      <c r="D30">
        <f>Palmon!E31</f>
        <v>210</v>
      </c>
      <c r="E30">
        <f>Palmon!F31</f>
        <v>1</v>
      </c>
      <c r="F30">
        <f>Palmon!G31</f>
        <v>2</v>
      </c>
      <c r="G30">
        <f>Palmon!H31</f>
        <v>2.1</v>
      </c>
      <c r="H30">
        <f>Palmon!I31</f>
        <v>10</v>
      </c>
      <c r="I30">
        <f>Palmon!J31</f>
        <v>5</v>
      </c>
      <c r="J30">
        <f>Palmon!K31</f>
        <v>1</v>
      </c>
      <c r="K30">
        <f>Palmon!L31</f>
        <v>1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1</v>
      </c>
      <c r="P30">
        <f>Palmon!Q31</f>
        <v>1</v>
      </c>
      <c r="Q30">
        <f>Palmon!R31</f>
        <v>0.20000000000000018</v>
      </c>
      <c r="R30">
        <f>Palmon!S31</f>
        <v>0</v>
      </c>
      <c r="S30">
        <f>Palmon!T31</f>
        <v>0</v>
      </c>
      <c r="T30">
        <f>Palmon!U31</f>
        <v>9.7435897435897451E-2</v>
      </c>
      <c r="U30">
        <f>Palmon!V31</f>
        <v>870</v>
      </c>
      <c r="V30">
        <f>Palmon!W31</f>
        <v>0</v>
      </c>
      <c r="W30">
        <f>Palmon!X31</f>
        <v>4161420000</v>
      </c>
      <c r="X30">
        <f>Palmon!Y31</f>
        <v>1</v>
      </c>
      <c r="Y30">
        <f>Palmon!Z31</f>
        <v>0</v>
      </c>
      <c r="Z30">
        <f>Palmon!AA31</f>
        <v>2310</v>
      </c>
      <c r="AA30">
        <f>Palmon!AB31</f>
        <v>27</v>
      </c>
      <c r="AB30" t="str">
        <f>Palmon!AC31</f>
        <v/>
      </c>
      <c r="AC30">
        <f>Palmon!AD31</f>
        <v>0</v>
      </c>
      <c r="AD30" t="str">
        <f>IF(Palmon!AE31="","",Palmon!AE31)</f>
        <v>https://encrypted-tbn0.gstatic.com/images?q=tbn:ANd9GcRh7P3oaH_Kq0fni1aOxe3TmDgHULu_Z-UWUg&amp;s</v>
      </c>
      <c r="AE30" t="str">
        <f>IF(Palmon!AF31="","",Palmon!AF31)</f>
        <v>https://encrypted-tbn0.gstatic.com/images?q=tbn:ANd9GcSQA67-vNrm701vphmHvRKGkJTx2O2gyTi00Q&amp;s</v>
      </c>
      <c r="AF30" t="str">
        <f>Palmon!AG31</f>
        <v xml:space="preserve"> </v>
      </c>
      <c r="AG30">
        <f>Palmon!AH31</f>
        <v>0</v>
      </c>
      <c r="AH30" t="str">
        <f>IF(Palmon!AI31=0,"Non",Palmon!AI31)</f>
        <v>Rumbkey</v>
      </c>
      <c r="AI30" t="str">
        <f>IF(Palmon!AJ31=0,"Non",Palmon!AJ31)</f>
        <v>Non</v>
      </c>
      <c r="AJ30">
        <f>Palmon!AK31</f>
        <v>0</v>
      </c>
    </row>
    <row r="31" spans="1:36" x14ac:dyDescent="0.25">
      <c r="A31" t="str">
        <f>Palmon!B32</f>
        <v>Pyregeist</v>
      </c>
      <c r="B31" t="str">
        <f>Palmon!C32</f>
        <v>Fire</v>
      </c>
      <c r="C31" t="str">
        <f>Palmon!D32</f>
        <v>Defend</v>
      </c>
      <c r="D31">
        <f>Palmon!E32</f>
        <v>0</v>
      </c>
      <c r="E31" t="str">
        <f>Palmon!F32</f>
        <v/>
      </c>
      <c r="F31">
        <f>Palmon!G32</f>
        <v>0</v>
      </c>
      <c r="G31">
        <f>Palmon!H32</f>
        <v>0</v>
      </c>
      <c r="H31">
        <f>Palmon!I32</f>
        <v>0</v>
      </c>
      <c r="I31" t="str">
        <f>Palmon!J32</f>
        <v/>
      </c>
      <c r="J31">
        <f>Palmon!K32</f>
        <v>0</v>
      </c>
      <c r="K31">
        <f>Palmon!L32</f>
        <v>0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975</v>
      </c>
      <c r="V31">
        <f>Palmon!W32</f>
        <v>0</v>
      </c>
      <c r="W31">
        <f>Palmon!X32</f>
        <v>5044093700</v>
      </c>
      <c r="X31" t="str">
        <f>Palmon!Y32</f>
        <v/>
      </c>
      <c r="Y31">
        <f>Palmon!Z32</f>
        <v>0</v>
      </c>
      <c r="Z31">
        <f>Palmon!AA32</f>
        <v>0</v>
      </c>
      <c r="AA31">
        <f>Palmon!AB32</f>
        <v>34</v>
      </c>
      <c r="AB31" t="str">
        <f>Palmon!AC32</f>
        <v/>
      </c>
      <c r="AC31">
        <f>Palmon!AD32</f>
        <v>0</v>
      </c>
      <c r="AD31" t="str">
        <f>IF(Palmon!AE32="","",Palmon!AE32)</f>
        <v>https://encrypted-tbn0.gstatic.com/images?q=tbn:ANd9GcQxjczIZhaTQV2VukHWlKoJMQ30DrUIwatAEw&amp;s</v>
      </c>
      <c r="AE31" t="str">
        <f>IF(Palmon!AF32="","",Palmon!AF32)</f>
        <v xml:space="preserve"> </v>
      </c>
      <c r="AF31" t="str">
        <f>Palmon!AG32</f>
        <v xml:space="preserve"> </v>
      </c>
      <c r="AG31">
        <f>Palmon!AH32</f>
        <v>0</v>
      </c>
      <c r="AH31" t="str">
        <f>IF(Palmon!AI32=0,"Non",Palmon!AI32)</f>
        <v>Embergeist</v>
      </c>
      <c r="AI31" t="str">
        <f>IF(Palmon!AJ32=0,"Non",Palmon!AJ32)</f>
        <v>Non</v>
      </c>
      <c r="AJ31">
        <f>Palmon!AK32</f>
        <v>0</v>
      </c>
    </row>
    <row r="32" spans="1:36" x14ac:dyDescent="0.25">
      <c r="A32" t="str">
        <f>Palmon!B33</f>
        <v>Thundertooth</v>
      </c>
      <c r="B32" t="str">
        <f>Palmon!C33</f>
        <v>Electricity</v>
      </c>
      <c r="C32" t="str">
        <f>Palmon!D33</f>
        <v>Attack</v>
      </c>
      <c r="D32">
        <f>Palmon!E33</f>
        <v>140</v>
      </c>
      <c r="E32">
        <f>Palmon!F33</f>
        <v>1</v>
      </c>
      <c r="F32">
        <f>Palmon!G33</f>
        <v>5</v>
      </c>
      <c r="G32">
        <f>Palmon!H33</f>
        <v>5</v>
      </c>
      <c r="H32">
        <f>Palmon!I33</f>
        <v>0</v>
      </c>
      <c r="I32">
        <f>Palmon!J33</f>
        <v>1</v>
      </c>
      <c r="J32">
        <f>Palmon!K33</f>
        <v>1</v>
      </c>
      <c r="K32">
        <f>Palmon!L33</f>
        <v>1</v>
      </c>
      <c r="L32" t="str">
        <f>Palmon!M33</f>
        <v>Max</v>
      </c>
      <c r="M32">
        <f>Palmon!N33</f>
        <v>10</v>
      </c>
      <c r="N32">
        <f>Palmon!O33</f>
        <v>0</v>
      </c>
      <c r="O32">
        <f>Palmon!P33</f>
        <v>1</v>
      </c>
      <c r="P32">
        <f>Palmon!Q33</f>
        <v>1</v>
      </c>
      <c r="Q32">
        <f>Palmon!R33</f>
        <v>1</v>
      </c>
      <c r="R32">
        <f>Palmon!S33</f>
        <v>1</v>
      </c>
      <c r="S32">
        <f>Palmon!T33</f>
        <v>1</v>
      </c>
      <c r="T32">
        <f>Palmon!U33</f>
        <v>1</v>
      </c>
      <c r="U32">
        <f>Palmon!V33</f>
        <v>0</v>
      </c>
      <c r="V32">
        <f>Palmon!W33</f>
        <v>0</v>
      </c>
      <c r="W32">
        <f>Palmon!X33</f>
        <v>4999220000</v>
      </c>
      <c r="X32">
        <f>Palmon!Y33</f>
        <v>1</v>
      </c>
      <c r="Y32">
        <f>Palmon!Z33</f>
        <v>0</v>
      </c>
      <c r="Z32">
        <f>Palmon!AA33</f>
        <v>5140</v>
      </c>
      <c r="AA32">
        <f>Palmon!AB33</f>
        <v>7</v>
      </c>
      <c r="AB32">
        <f>Palmon!AC33</f>
        <v>1</v>
      </c>
      <c r="AC32">
        <f>Palmon!AD33</f>
        <v>0</v>
      </c>
      <c r="AD32" t="str">
        <f>IF(Palmon!AE33="","",Palmon!AE33)</f>
        <v>https://encrypted-tbn0.gstatic.com/images?q=tbn:ANd9GcRNSg29kZ5t51s7m9SpGygJKsQow67zLt08qg&amp;s</v>
      </c>
      <c r="AE32" t="str">
        <f>IF(Palmon!AF33="","",Palmon!AF33)</f>
        <v>https://encrypted-tbn0.gstatic.com/images?q=tbn:ANd9GcQoXkXemCK02vmhKICXcvjchtQ-qvcAc5zyrA&amp;s</v>
      </c>
      <c r="AF32" t="str">
        <f>Palmon!AG33</f>
        <v xml:space="preserve"> </v>
      </c>
      <c r="AG32">
        <f>Palmon!AH33</f>
        <v>0</v>
      </c>
      <c r="AH32" t="str">
        <f>IF(Palmon!AI33=0,"Non",Palmon!AI33)</f>
        <v>Thundermane</v>
      </c>
      <c r="AI32" t="str">
        <f>IF(Palmon!AJ33=0,"Non",Palmon!AJ33)</f>
        <v>Non</v>
      </c>
      <c r="AJ32">
        <f>Palmon!AK33</f>
        <v>0</v>
      </c>
    </row>
    <row r="33" spans="1:36" x14ac:dyDescent="0.25">
      <c r="A33" t="str">
        <f>Palmon!B34</f>
        <v>Mammolith</v>
      </c>
      <c r="B33" t="str">
        <f>Palmon!C34</f>
        <v>Wood</v>
      </c>
      <c r="C33" t="str">
        <f>Palmon!D34</f>
        <v>Defend</v>
      </c>
      <c r="D33">
        <f>Palmon!E34</f>
        <v>0</v>
      </c>
      <c r="E33" t="str">
        <f>Palmon!F34</f>
        <v/>
      </c>
      <c r="F33">
        <f>Palmon!G34</f>
        <v>0</v>
      </c>
      <c r="G33">
        <f>Palmon!H34</f>
        <v>0</v>
      </c>
      <c r="H33">
        <f>Palmon!I34</f>
        <v>0</v>
      </c>
      <c r="I33" t="str">
        <f>Palmon!J34</f>
        <v/>
      </c>
      <c r="J33">
        <f>Palmon!K34</f>
        <v>0</v>
      </c>
      <c r="K33">
        <f>Palmon!L34</f>
        <v>0</v>
      </c>
      <c r="L33" t="str">
        <f>Palmon!M34</f>
        <v/>
      </c>
      <c r="M33" t="str">
        <f>Palmon!N34</f>
        <v/>
      </c>
      <c r="N33">
        <f>Palmon!O34</f>
        <v>0</v>
      </c>
      <c r="O33">
        <f>Palmon!P34</f>
        <v>0</v>
      </c>
      <c r="P33">
        <f>Palmon!Q34</f>
        <v>0</v>
      </c>
      <c r="Q33">
        <f>Palmon!R34</f>
        <v>0</v>
      </c>
      <c r="R33">
        <f>Palmon!S34</f>
        <v>0</v>
      </c>
      <c r="S33">
        <f>Palmon!T34</f>
        <v>0</v>
      </c>
      <c r="T33">
        <f>Palmon!U34</f>
        <v>0</v>
      </c>
      <c r="U33">
        <f>Palmon!V34</f>
        <v>975</v>
      </c>
      <c r="V33">
        <f>Palmon!W34</f>
        <v>0</v>
      </c>
      <c r="W33">
        <f>Palmon!X34</f>
        <v>5044093700</v>
      </c>
      <c r="X33" t="str">
        <f>Palmon!Y34</f>
        <v/>
      </c>
      <c r="Y33">
        <f>Palmon!Z34</f>
        <v>0</v>
      </c>
      <c r="Z33">
        <f>Palmon!AA34</f>
        <v>0</v>
      </c>
      <c r="AA33">
        <f>Palmon!AB34</f>
        <v>35</v>
      </c>
      <c r="AB33" t="str">
        <f>Palmon!AC34</f>
        <v/>
      </c>
      <c r="AC33">
        <f>Palmon!AD34</f>
        <v>0</v>
      </c>
      <c r="AD33" t="str">
        <f>IF(Palmon!AE34="","",Palmon!AE34)</f>
        <v>https://encrypted-tbn0.gstatic.com/images?q=tbn:ANd9GcRR4T5jdtF_LaheoRmg2FLSWS4DS4QhqCFaAg&amp;s</v>
      </c>
      <c r="AE33" t="str">
        <f>IF(Palmon!AF34="","",Palmon!AF34)</f>
        <v xml:space="preserve"> </v>
      </c>
      <c r="AF33" t="str">
        <f>Palmon!AG34</f>
        <v xml:space="preserve"> </v>
      </c>
      <c r="AG33">
        <f>Palmon!AH34</f>
        <v>0</v>
      </c>
      <c r="AH33" t="str">
        <f>IF(Palmon!AI34=0,"Non",Palmon!AI34)</f>
        <v>Prismalith</v>
      </c>
      <c r="AI33" t="str">
        <f>IF(Palmon!AJ34=0,"Non",Palmon!AJ34)</f>
        <v>Non</v>
      </c>
      <c r="AJ33">
        <f>Palmon!AK34</f>
        <v>0</v>
      </c>
    </row>
    <row r="34" spans="1:36" x14ac:dyDescent="0.25">
      <c r="A34" t="str">
        <f>Palmon!B35</f>
        <v>Glacewing</v>
      </c>
      <c r="B34" t="str">
        <f>Palmon!C35</f>
        <v>Water</v>
      </c>
      <c r="C34" t="str">
        <f>Palmon!D35</f>
        <v>Attack</v>
      </c>
      <c r="D34">
        <f>Palmon!E35</f>
        <v>270</v>
      </c>
      <c r="E34" t="str">
        <f>Palmon!F35</f>
        <v/>
      </c>
      <c r="F34">
        <f>Palmon!G35</f>
        <v>5</v>
      </c>
      <c r="G34">
        <f>Palmon!H35</f>
        <v>5</v>
      </c>
      <c r="H34">
        <f>Palmon!I35</f>
        <v>0</v>
      </c>
      <c r="I34">
        <f>Palmon!J35</f>
        <v>30</v>
      </c>
      <c r="J34">
        <f>Palmon!K35</f>
        <v>30</v>
      </c>
      <c r="K34">
        <f>Palmon!L35</f>
        <v>30</v>
      </c>
      <c r="L34" t="str">
        <f>Palmon!M35</f>
        <v>Max</v>
      </c>
      <c r="M34">
        <f>Palmon!N35</f>
        <v>10</v>
      </c>
      <c r="N34">
        <f>Palmon!O35</f>
        <v>0</v>
      </c>
      <c r="O34">
        <f>Palmon!P35</f>
        <v>1</v>
      </c>
      <c r="P34">
        <f>Palmon!Q35</f>
        <v>1</v>
      </c>
      <c r="Q34">
        <f>Palmon!R35</f>
        <v>1</v>
      </c>
      <c r="R34">
        <f>Palmon!S35</f>
        <v>1</v>
      </c>
      <c r="S34">
        <f>Palmon!T35</f>
        <v>1</v>
      </c>
      <c r="T34">
        <f>Palmon!U35</f>
        <v>1</v>
      </c>
      <c r="U34">
        <f>Palmon!V35</f>
        <v>0</v>
      </c>
      <c r="V34">
        <f>Palmon!W35</f>
        <v>0</v>
      </c>
      <c r="W34">
        <f>Palmon!X35</f>
        <v>135120000</v>
      </c>
      <c r="X34" t="str">
        <f>Palmon!Y35</f>
        <v/>
      </c>
      <c r="Y34">
        <f>Palmon!Z35</f>
        <v>0</v>
      </c>
      <c r="Z34">
        <f>Palmon!AA35</f>
        <v>5270</v>
      </c>
      <c r="AA34">
        <f>Palmon!AB35</f>
        <v>4</v>
      </c>
      <c r="AB34">
        <f>Palmon!AC35</f>
        <v>1</v>
      </c>
      <c r="AC34">
        <f>Palmon!AD35</f>
        <v>0</v>
      </c>
      <c r="AD34" t="str">
        <f>IF(Palmon!AE35="","",Palmon!AE35)</f>
        <v>https://encrypted-tbn0.gstatic.com/images?q=tbn:ANd9GcTrE4qGrnpy2BMETqUKNyATj-OrXMdX4IeXcQ&amp;s</v>
      </c>
      <c r="AE34" t="str">
        <f>IF(Palmon!AF35="","",Palmon!AF35)</f>
        <v>https://encrypted-tbn0.gstatic.com/images?q=tbn:ANd9GcSRbCy1ARx2qd0P1rLvdoRvfNqa4pUV20r12A&amp;s</v>
      </c>
      <c r="AF34" t="str">
        <f>Palmon!AG35</f>
        <v xml:space="preserve"> </v>
      </c>
      <c r="AG34">
        <f>Palmon!AH35</f>
        <v>0</v>
      </c>
      <c r="AH34" t="str">
        <f>IF(Palmon!AI35=0,"Non",Palmon!AI35)</f>
        <v>Cryovern</v>
      </c>
      <c r="AI34" t="str">
        <f>IF(Palmon!AJ35=0,"Non",Palmon!AJ35)</f>
        <v>Non</v>
      </c>
      <c r="AJ34">
        <f>Palmon!AK35</f>
        <v>0</v>
      </c>
    </row>
    <row r="35" spans="1:36" x14ac:dyDescent="0.25">
      <c r="A35" t="str">
        <f>Palmon!B36</f>
        <v>Shadowkaeru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0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975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IF(Palmon!AE36="","",Palmon!AE36)</f>
        <v/>
      </c>
      <c r="AE35" t="str">
        <f>IF(Palmon!AF36="","",Palmon!AF36)</f>
        <v xml:space="preserve"> </v>
      </c>
      <c r="AF35" t="str">
        <f>Palmon!AG36</f>
        <v xml:space="preserve"> </v>
      </c>
      <c r="AG35">
        <f>Palmon!AH36</f>
        <v>0</v>
      </c>
      <c r="AH35" t="str">
        <f>IF(Palmon!AI36=0,"Non",Palmon!AI36)</f>
        <v>Non</v>
      </c>
      <c r="AI35" t="str">
        <f>IF(Palmon!AJ36=0,"Non",Palmon!AJ36)</f>
        <v>Non</v>
      </c>
      <c r="AJ35">
        <f>Palmon!AK36</f>
        <v>0</v>
      </c>
    </row>
    <row r="36" spans="1:36" x14ac:dyDescent="0.25">
      <c r="A36" t="str">
        <f>Palmon!B37</f>
        <v>Plunderjaw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2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973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IF(Palmon!AE37="","",Palmon!AE37)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 t="str">
        <f>IF(Palmon!AF37="","",Palmon!AF37)</f>
        <v xml:space="preserve"> </v>
      </c>
      <c r="AF36">
        <f>Palmon!AG37</f>
        <v>0</v>
      </c>
      <c r="AG36">
        <f>Palmon!AH37</f>
        <v>0</v>
      </c>
      <c r="AH36" t="str">
        <f>IF(Palmon!AI37=0,"Non",Palmon!AI37)</f>
        <v>Non</v>
      </c>
      <c r="AI36" t="str">
        <f>IF(Palmon!AJ37=0,"Non",Palmon!AJ37)</f>
        <v>Non</v>
      </c>
      <c r="AJ36">
        <f>Palmon!AK37</f>
        <v>0</v>
      </c>
    </row>
    <row r="37" spans="1:36" x14ac:dyDescent="0.25">
      <c r="A37" t="str">
        <f>Palmon!B38</f>
        <v>Dreadmaw</v>
      </c>
      <c r="B37" t="str">
        <f>Palmon!C38</f>
        <v>Water</v>
      </c>
      <c r="C37" t="str">
        <f>Palmon!D38</f>
        <v>Attack</v>
      </c>
      <c r="D37">
        <f>Palmon!E38</f>
        <v>0</v>
      </c>
      <c r="E37" t="str">
        <f>Palmon!F38</f>
        <v/>
      </c>
      <c r="F37">
        <f>Palmon!G38</f>
        <v>0</v>
      </c>
      <c r="G37">
        <f>Palmon!H38</f>
        <v>0</v>
      </c>
      <c r="H37">
        <f>Palmon!I38</f>
        <v>0</v>
      </c>
      <c r="I37" t="str">
        <f>Palmon!J38</f>
        <v/>
      </c>
      <c r="J37">
        <f>Palmon!K38</f>
        <v>0</v>
      </c>
      <c r="K37">
        <f>Palmon!L38</f>
        <v>0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 t="str">
        <f>Palmon!Y38</f>
        <v/>
      </c>
      <c r="Y37">
        <f>Palmon!Z38</f>
        <v>0</v>
      </c>
      <c r="Z37">
        <f>Palmon!AA38</f>
        <v>0</v>
      </c>
      <c r="AA37">
        <f>Palmon!AB38</f>
        <v>38</v>
      </c>
      <c r="AB37" t="str">
        <f>Palmon!AC38</f>
        <v/>
      </c>
      <c r="AC37">
        <f>Palmon!AD38</f>
        <v>0</v>
      </c>
      <c r="AD37" t="str">
        <f>IF(Palmon!AE38="","",Palmon!AE38)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7" t="str">
        <f>IF(Palmon!AF38="","",Palmon!AF38)</f>
        <v xml:space="preserve"> </v>
      </c>
      <c r="AF37">
        <f>Palmon!AG38</f>
        <v>0</v>
      </c>
      <c r="AG37">
        <f>Palmon!AH38</f>
        <v>0</v>
      </c>
      <c r="AH37" t="str">
        <f>IF(Palmon!AI38=0,"Non",Palmon!AI38)</f>
        <v>Dreadmaw</v>
      </c>
      <c r="AI37" t="str">
        <f>IF(Palmon!AJ38=0,"Non",Palmon!AJ38)</f>
        <v>Non</v>
      </c>
      <c r="AJ37">
        <f>Palmon!AK38</f>
        <v>0</v>
      </c>
    </row>
    <row r="38" spans="1:36" x14ac:dyDescent="0.25">
      <c r="A38" t="str">
        <f>Palmon!B39</f>
        <v>Woozard</v>
      </c>
      <c r="B38" t="str">
        <f>Palmon!C39</f>
        <v>Wood</v>
      </c>
      <c r="C38" t="str">
        <f>Palmon!D39</f>
        <v>Attack</v>
      </c>
      <c r="D38">
        <f>Palmon!E39</f>
        <v>1</v>
      </c>
      <c r="E38">
        <f>Palmon!F39</f>
        <v>1</v>
      </c>
      <c r="F38">
        <f>Palmon!G39</f>
        <v>0</v>
      </c>
      <c r="G38">
        <f>Palmon!H39</f>
        <v>0</v>
      </c>
      <c r="H38">
        <f>Palmon!I39</f>
        <v>0</v>
      </c>
      <c r="I38">
        <f>Palmon!J39</f>
        <v>1</v>
      </c>
      <c r="J38">
        <f>Palmon!K39</f>
        <v>1</v>
      </c>
      <c r="K38">
        <f>Palmon!L39</f>
        <v>1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>
        <f>Palmon!Y39</f>
        <v>1</v>
      </c>
      <c r="Y38">
        <f>Palmon!Z39</f>
        <v>0</v>
      </c>
      <c r="Z38">
        <f>Palmon!AA39</f>
        <v>1</v>
      </c>
      <c r="AA38">
        <f>Palmon!AB39</f>
        <v>33</v>
      </c>
      <c r="AB38" t="str">
        <f>Palmon!AC39</f>
        <v/>
      </c>
      <c r="AC38">
        <f>Palmon!AD39</f>
        <v>0</v>
      </c>
      <c r="AD38" t="str">
        <f>IF(Palmon!AE39="","",Palmon!AE39)</f>
        <v>https://encrypted-tbn0.gstatic.com/images?q=tbn:ANd9GcQCf63iS9oq-SMn3DO74UTS2j_zSrzNVTRMOQ&amp;s</v>
      </c>
      <c r="AE38" t="str">
        <f>IF(Palmon!AF39="","",Palmon!AF39)</f>
        <v xml:space="preserve"> </v>
      </c>
      <c r="AF38" t="str">
        <f>Palmon!AG39</f>
        <v xml:space="preserve"> </v>
      </c>
      <c r="AG38">
        <f>Palmon!AH39</f>
        <v>0</v>
      </c>
      <c r="AH38" t="str">
        <f>IF(Palmon!AI39=0,"Non",Palmon!AI39)</f>
        <v>Fleurizard</v>
      </c>
      <c r="AI38" t="str">
        <f>IF(Palmon!AJ39=0,"Non",Palmon!AJ39)</f>
        <v>Non</v>
      </c>
      <c r="AJ38">
        <f>Palmon!AK39</f>
        <v>0</v>
      </c>
    </row>
    <row r="39" spans="1:36" x14ac:dyDescent="0.25">
      <c r="A39" t="str">
        <f>Palmon!B40</f>
        <v>Mystiray</v>
      </c>
      <c r="B39" t="str">
        <f>Palmon!C40</f>
        <v>Electricity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 t="str">
        <f>IF(Palmon!AE40="","",Palmon!AE40)</f>
        <v/>
      </c>
      <c r="AE39" t="str">
        <f>IF(Palmon!AF40="","",Palmon!AF40)</f>
        <v xml:space="preserve"> </v>
      </c>
      <c r="AF39" t="str">
        <f>Palmon!AG40</f>
        <v xml:space="preserve"> </v>
      </c>
      <c r="AG39">
        <f>Palmon!AH40</f>
        <v>0</v>
      </c>
      <c r="AH39" t="str">
        <f>IF(Palmon!AI40=0,"Non",Palmon!AI40)</f>
        <v>Non</v>
      </c>
      <c r="AI39" t="str">
        <f>IF(Palmon!AJ40=0,"Non",Palmon!AJ40)</f>
        <v>Non</v>
      </c>
      <c r="AJ39">
        <f>Palmon!AK40</f>
        <v>0</v>
      </c>
    </row>
    <row r="40" spans="1:36" x14ac:dyDescent="0.25">
      <c r="A40" t="str">
        <f>Palmon!B41</f>
        <v>Predalynx</v>
      </c>
      <c r="B40" t="str">
        <f>Palmon!C41</f>
        <v>Wood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 t="str">
        <f>IF(Palmon!AE41="","",Palmon!AE41)</f>
        <v/>
      </c>
      <c r="AE40" t="str">
        <f>IF(Palmon!AF41="","",Palmon!AF41)</f>
        <v xml:space="preserve"> </v>
      </c>
      <c r="AF40" t="str">
        <f>Palmon!AG41</f>
        <v xml:space="preserve"> </v>
      </c>
      <c r="AG40">
        <f>Palmon!AH41</f>
        <v>0</v>
      </c>
      <c r="AH40" t="str">
        <f>IF(Palmon!AI41=0,"Non",Palmon!AI41)</f>
        <v>Non</v>
      </c>
      <c r="AI40" t="str">
        <f>IF(Palmon!AJ41=0,"Non",Palmon!AJ41)</f>
        <v>Non</v>
      </c>
      <c r="AJ40">
        <f>Palmon!AK41</f>
        <v>0</v>
      </c>
    </row>
    <row r="41" spans="1:36" x14ac:dyDescent="0.25">
      <c r="A41" t="str">
        <f>Palmon!B42</f>
        <v>Solhorn</v>
      </c>
      <c r="B41" t="str">
        <f>Palmon!C42</f>
        <v>Fire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 t="str">
        <f>IF(Palmon!AE42="","",Palmon!AE42)</f>
        <v/>
      </c>
      <c r="AE41" t="str">
        <f>IF(Palmon!AF42="","",Palmon!AF42)</f>
        <v xml:space="preserve"> </v>
      </c>
      <c r="AF41" t="str">
        <f>Palmon!AG42</f>
        <v xml:space="preserve"> </v>
      </c>
      <c r="AG41">
        <f>Palmon!AH42</f>
        <v>0</v>
      </c>
      <c r="AH41" t="str">
        <f>IF(Palmon!AI42=0,"Non",Palmon!AI42)</f>
        <v>Non</v>
      </c>
      <c r="AI41" t="str">
        <f>IF(Palmon!AJ42=0,"Non",Palmon!AJ42)</f>
        <v>Non</v>
      </c>
      <c r="AJ41">
        <f>Palmon!AK42</f>
        <v>0</v>
      </c>
    </row>
    <row r="42" spans="1:36" x14ac:dyDescent="0.25">
      <c r="A42" t="str">
        <f>Palmon!B43</f>
        <v>Leviadolph</v>
      </c>
      <c r="B42" t="str">
        <f>Palmon!C43</f>
        <v>Water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 t="str">
        <f>IF(Palmon!AE43="","",Palmon!AE43)</f>
        <v/>
      </c>
      <c r="AE42" t="str">
        <f>IF(Palmon!AF43="","",Palmon!AF43)</f>
        <v xml:space="preserve"> </v>
      </c>
      <c r="AF42" t="str">
        <f>Palmon!AG43</f>
        <v xml:space="preserve"> </v>
      </c>
      <c r="AG42">
        <f>Palmon!AH43</f>
        <v>0</v>
      </c>
      <c r="AH42" t="str">
        <f>IF(Palmon!AI43=0,"Non",Palmon!AI43)</f>
        <v>Non</v>
      </c>
      <c r="AI42" t="str">
        <f>IF(Palmon!AJ43=0,"Non",Palmon!AJ43)</f>
        <v>Non</v>
      </c>
      <c r="AJ42">
        <f>Palmon!AK43</f>
        <v>0</v>
      </c>
    </row>
    <row r="43" spans="1:36" x14ac:dyDescent="0.25">
      <c r="A43" t="str">
        <f>Palmon!B44</f>
        <v>Voltfang</v>
      </c>
      <c r="B43" t="str">
        <f>Palmon!C44</f>
        <v>Electricity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 t="str">
        <f>IF(Palmon!AE44="","",Palmon!AE44)</f>
        <v/>
      </c>
      <c r="AE43" t="str">
        <f>IF(Palmon!AF44="","",Palmon!AF44)</f>
        <v xml:space="preserve"> </v>
      </c>
      <c r="AF43" t="str">
        <f>Palmon!AG44</f>
        <v xml:space="preserve"> </v>
      </c>
      <c r="AG43">
        <f>Palmon!AH44</f>
        <v>0</v>
      </c>
      <c r="AH43" t="str">
        <f>IF(Palmon!AI44=0,"Non",Palmon!AI44)</f>
        <v>Non</v>
      </c>
      <c r="AI43" t="str">
        <f>IF(Palmon!AJ44=0,"Non",Palmon!AJ44)</f>
        <v>Non</v>
      </c>
      <c r="AJ43">
        <f>Palmon!AK44</f>
        <v>0</v>
      </c>
    </row>
    <row r="44" spans="1:36" x14ac:dyDescent="0.25">
      <c r="A44" t="str">
        <f>Palmon!B45</f>
        <v>Leafgarde</v>
      </c>
      <c r="B44" t="str">
        <f>Palmon!C45</f>
        <v>Wood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 t="str">
        <f>IF(Palmon!AE45="","",Palmon!AE45)</f>
        <v/>
      </c>
      <c r="AE44" t="str">
        <f>IF(Palmon!AF45="","",Palmon!AF45)</f>
        <v xml:space="preserve"> </v>
      </c>
      <c r="AF44" t="str">
        <f>Palmon!AG45</f>
        <v xml:space="preserve"> </v>
      </c>
      <c r="AG44">
        <f>Palmon!AH45</f>
        <v>0</v>
      </c>
      <c r="AH44" t="str">
        <f>IF(Palmon!AI45=0,"Non",Palmon!AI45)</f>
        <v>Non</v>
      </c>
      <c r="AI44" t="str">
        <f>IF(Palmon!AJ45=0,"Non",Palmon!AJ45)</f>
        <v>Non</v>
      </c>
      <c r="AJ44">
        <f>Palmon!AK45</f>
        <v>0</v>
      </c>
    </row>
    <row r="45" spans="1:36" x14ac:dyDescent="0.25">
      <c r="A45" t="str">
        <f>Palmon!B46</f>
        <v>Inferdrake</v>
      </c>
      <c r="B45" t="str">
        <f>Palmon!C46</f>
        <v>Fire</v>
      </c>
      <c r="C45" t="str">
        <f>Palmon!D46</f>
        <v>Attack</v>
      </c>
      <c r="D45">
        <f>Palmon!E46</f>
        <v>0</v>
      </c>
      <c r="E45" t="str">
        <f>Palmon!F46</f>
        <v/>
      </c>
      <c r="F45">
        <f>Palmon!G46</f>
        <v>0</v>
      </c>
      <c r="G45">
        <f>Palmon!H46</f>
        <v>0</v>
      </c>
      <c r="H45">
        <f>Palmon!I46</f>
        <v>0</v>
      </c>
      <c r="I45" t="str">
        <f>Palmon!J46</f>
        <v/>
      </c>
      <c r="J45">
        <f>Palmon!K46</f>
        <v>0</v>
      </c>
      <c r="K45">
        <f>Palmon!L46</f>
        <v>0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0</v>
      </c>
      <c r="P45">
        <f>Palmon!Q46</f>
        <v>0</v>
      </c>
      <c r="Q45">
        <f>Palmon!R46</f>
        <v>0</v>
      </c>
      <c r="R45">
        <f>Palmon!S46</f>
        <v>0</v>
      </c>
      <c r="S45">
        <f>Palmon!T46</f>
        <v>0</v>
      </c>
      <c r="T45">
        <f>Palmon!U46</f>
        <v>0</v>
      </c>
      <c r="U45">
        <f>Palmon!V46</f>
        <v>975</v>
      </c>
      <c r="V45">
        <f>Palmon!W46</f>
        <v>0</v>
      </c>
      <c r="W45">
        <f>Palmon!X46</f>
        <v>5044093700</v>
      </c>
      <c r="X45" t="str">
        <f>Palmon!Y46</f>
        <v/>
      </c>
      <c r="Y45">
        <f>Palmon!Z46</f>
        <v>0</v>
      </c>
      <c r="Z45">
        <f>Palmon!AA46</f>
        <v>0</v>
      </c>
      <c r="AA45">
        <f>Palmon!AB46</f>
        <v>45</v>
      </c>
      <c r="AB45" t="str">
        <f>Palmon!AC46</f>
        <v/>
      </c>
      <c r="AC45">
        <f>Palmon!AD46</f>
        <v>0</v>
      </c>
      <c r="AD45" t="str">
        <f>IF(Palmon!AE46="","",Palmon!AE46)</f>
        <v/>
      </c>
      <c r="AE45" t="str">
        <f>IF(Palmon!AF46="","",Palmon!AF46)</f>
        <v xml:space="preserve"> </v>
      </c>
      <c r="AF45" t="str">
        <f>Palmon!AG46</f>
        <v xml:space="preserve"> </v>
      </c>
      <c r="AG45">
        <f>Palmon!AH46</f>
        <v>0</v>
      </c>
      <c r="AH45" t="str">
        <f>IF(Palmon!AI46=0,"Non",Palmon!AI46)</f>
        <v>Non</v>
      </c>
      <c r="AI45" t="str">
        <f>IF(Palmon!AJ46=0,"Non",Palmon!AJ46)</f>
        <v>Non</v>
      </c>
      <c r="AJ45">
        <f>Palmon!AK46</f>
        <v>0</v>
      </c>
    </row>
    <row r="46" spans="1:36" x14ac:dyDescent="0.25">
      <c r="A46" t="str">
        <f>Palmon!B47</f>
        <v>Revontulet</v>
      </c>
      <c r="B46" t="str">
        <f>Palmon!C47</f>
        <v>Fire</v>
      </c>
      <c r="C46" t="str">
        <f>Palmon!D47</f>
        <v>Attack</v>
      </c>
      <c r="D46">
        <f>Palmon!E47</f>
        <v>160</v>
      </c>
      <c r="E46">
        <f>Palmon!F47</f>
        <v>1</v>
      </c>
      <c r="F46">
        <f>Palmon!G47</f>
        <v>2</v>
      </c>
      <c r="G46">
        <f>Palmon!H47</f>
        <v>2.2999999999999998</v>
      </c>
      <c r="H46">
        <f>Palmon!I47</f>
        <v>0</v>
      </c>
      <c r="I46">
        <f>Palmon!J47</f>
        <v>1</v>
      </c>
      <c r="J46">
        <f>Palmon!K47</f>
        <v>1</v>
      </c>
      <c r="K46">
        <f>Palmon!L47</f>
        <v>1</v>
      </c>
      <c r="L46" t="str">
        <f>Palmon!M47</f>
        <v/>
      </c>
      <c r="M46" t="str">
        <f>Palmon!N47</f>
        <v/>
      </c>
      <c r="N46">
        <f>Palmon!O47</f>
        <v>0</v>
      </c>
      <c r="O46">
        <f>Palmon!P47</f>
        <v>1</v>
      </c>
      <c r="P46">
        <f>Palmon!Q47</f>
        <v>1</v>
      </c>
      <c r="Q46">
        <f>Palmon!R47</f>
        <v>0.59999999999999964</v>
      </c>
      <c r="R46">
        <f>Palmon!S47</f>
        <v>0</v>
      </c>
      <c r="S46">
        <f>Palmon!T47</f>
        <v>0</v>
      </c>
      <c r="T46">
        <f>Palmon!U47</f>
        <v>0.13846153846153844</v>
      </c>
      <c r="U46">
        <f>Palmon!V47</f>
        <v>840</v>
      </c>
      <c r="V46">
        <f>Palmon!W47</f>
        <v>0</v>
      </c>
      <c r="W46">
        <f>Palmon!X47</f>
        <v>4919220000</v>
      </c>
      <c r="X46">
        <f>Palmon!Y47</f>
        <v>1</v>
      </c>
      <c r="Y46">
        <f>Palmon!Z47</f>
        <v>0</v>
      </c>
      <c r="Z46">
        <f>Palmon!AA47</f>
        <v>2460</v>
      </c>
      <c r="AA46">
        <f>Palmon!AB47</f>
        <v>22</v>
      </c>
      <c r="AB46" t="str">
        <f>Palmon!AC47</f>
        <v/>
      </c>
      <c r="AC46">
        <f>Palmon!AD47</f>
        <v>0</v>
      </c>
      <c r="AD46" t="str">
        <f>IF(Palmon!AE47="","",Palmon!AE47)</f>
        <v/>
      </c>
      <c r="AE46" t="str">
        <f>IF(Palmon!AF47="","",Palmon!AF47)</f>
        <v xml:space="preserve"> </v>
      </c>
      <c r="AF46" t="str">
        <f>Palmon!AG47</f>
        <v xml:space="preserve"> </v>
      </c>
      <c r="AG46">
        <f>Palmon!AH47</f>
        <v>0</v>
      </c>
      <c r="AH46" t="str">
        <f>IF(Palmon!AI47=0,"Non",Palmon!AI47)</f>
        <v>Vulpyrean</v>
      </c>
      <c r="AI46" t="str">
        <f>IF(Palmon!AJ47=0,"Non",Palmon!AJ47)</f>
        <v>Non</v>
      </c>
      <c r="AJ46">
        <f>Palmon!AK47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topLeftCell="A24" workbookViewId="0">
      <selection activeCell="M42" sqref="M42"/>
    </sheetView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4" t="s">
        <v>91</v>
      </c>
      <c r="F2" s="275"/>
      <c r="G2" s="275"/>
      <c r="H2" s="275"/>
      <c r="I2" s="275"/>
      <c r="J2" s="276"/>
      <c r="L2" s="1"/>
      <c r="M2" s="274" t="s">
        <v>109</v>
      </c>
      <c r="N2" s="275"/>
      <c r="O2" s="275"/>
      <c r="P2" s="275"/>
      <c r="Q2" s="275"/>
      <c r="R2" s="275"/>
      <c r="S2" s="276"/>
    </row>
    <row r="3" spans="2:23" ht="15.75" thickBot="1" x14ac:dyDescent="0.3">
      <c r="B3" s="1" t="str" cm="1">
        <f t="array" ref="B3:I37">_xlfn.PIVOTBY(Palmon!B2:D47,IFERROR(Palmon!G2:G47+1,"To Next Step"),_xlfn.LAMBDA(_xlpm.x,IFERROR(VLOOKUP(Palmon!G2:G47+1,StepNeeds,4,FALSE)-NeedsFull*_xlpm.x-Palmon!I2:I47,""))(Palmon!U2:U47),_xleta.MAX,3,0,,0,,Palmon!G2:G47&gt;0)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 t="str">
        <v/>
      </c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2</v>
      </c>
      <c r="F4" s="41">
        <v>3</v>
      </c>
      <c r="G4" s="41">
        <v>4</v>
      </c>
      <c r="H4" s="41">
        <v>5</v>
      </c>
      <c r="I4" s="41">
        <v>6</v>
      </c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 t="str">
        <v/>
      </c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 t="str">
        <v/>
      </c>
      <c r="F6" s="33" t="str">
        <v/>
      </c>
      <c r="G6" s="33" t="str">
        <v/>
      </c>
      <c r="H6" s="33">
        <v>486</v>
      </c>
      <c r="I6" s="33" t="str">
        <v/>
      </c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 t="str">
        <v/>
      </c>
      <c r="F7" s="33">
        <v>69.999999999999986</v>
      </c>
      <c r="G7" s="33" t="str">
        <v/>
      </c>
      <c r="H7" s="33" t="str">
        <v/>
      </c>
      <c r="I7" s="33" t="str">
        <v/>
      </c>
      <c r="J7" s="40"/>
      <c r="L7" s="131">
        <v>4</v>
      </c>
      <c r="M7" s="132">
        <v>22000</v>
      </c>
      <c r="N7" s="133">
        <v>26000</v>
      </c>
      <c r="O7" s="133">
        <v>30000</v>
      </c>
      <c r="P7" s="133">
        <v>38000</v>
      </c>
      <c r="Q7" s="133">
        <v>46000</v>
      </c>
      <c r="R7" s="133">
        <v>58000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 t="str">
        <v/>
      </c>
      <c r="G8" s="33">
        <v>300</v>
      </c>
      <c r="H8" s="33" t="str">
        <v/>
      </c>
      <c r="I8" s="33" t="str">
        <v/>
      </c>
      <c r="J8" s="40"/>
      <c r="L8" s="84" t="str">
        <v>Total</v>
      </c>
      <c r="M8" s="135">
        <v>49000</v>
      </c>
      <c r="N8" s="136">
        <v>55000</v>
      </c>
      <c r="O8" s="136">
        <v>62000</v>
      </c>
      <c r="P8" s="136">
        <v>72000</v>
      </c>
      <c r="Q8" s="137">
        <v>74000</v>
      </c>
      <c r="R8" s="137">
        <v>88000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 t="str">
        <v/>
      </c>
      <c r="F9" s="33" t="str">
        <v/>
      </c>
      <c r="G9" s="33">
        <v>300</v>
      </c>
      <c r="H9" s="33" t="str">
        <v/>
      </c>
      <c r="I9" s="33" t="str">
        <v/>
      </c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 t="str">
        <v/>
      </c>
      <c r="G10" s="33">
        <v>290</v>
      </c>
      <c r="H10" s="33" t="str">
        <v/>
      </c>
      <c r="I10" s="33" t="str">
        <v/>
      </c>
      <c r="J10" s="40"/>
      <c r="L10" s="90" t="s">
        <v>108</v>
      </c>
      <c r="M10" s="139">
        <f>SUM(M8:R8)</f>
        <v>400000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 t="str">
        <v/>
      </c>
      <c r="I11" s="33">
        <v>0</v>
      </c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 t="str">
        <v/>
      </c>
      <c r="F12" s="33">
        <v>58.999999999999972</v>
      </c>
      <c r="G12" s="33" t="str">
        <v/>
      </c>
      <c r="H12" s="33" t="str">
        <v/>
      </c>
      <c r="I12" s="33" t="str">
        <v/>
      </c>
      <c r="J12" s="40"/>
      <c r="L12" s="1"/>
      <c r="M12" s="274" t="str">
        <f>TCD!E2 &amp; " per Type"</f>
        <v>Palmon upgrade costs per Type</v>
      </c>
      <c r="N12" s="275"/>
      <c r="O12" s="275"/>
      <c r="P12" s="275"/>
      <c r="Q12" s="276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 t="str">
        <v/>
      </c>
      <c r="F13" s="33">
        <v>32.000000000000028</v>
      </c>
      <c r="G13" s="33" t="str">
        <v/>
      </c>
      <c r="H13" s="33" t="str">
        <v/>
      </c>
      <c r="I13" s="33" t="str">
        <v/>
      </c>
      <c r="J13" s="40"/>
      <c r="L13" s="1" t="str" cm="1">
        <f t="array" ref="L13:Q20">_xlfn.PIVOTBY(Palmon!C2:C31,IFERROR(Palmon!G2:G31+1,"To Next Step"),_xlfn.LAMBDA(_xlpm.x,IFERROR(VLOOKUP(Palmon!G2:G31+1,StepNeeds,4,FALSE)-NeedsFull*_xlpm.x-Palmon!I2:I31,""))(Palmon!U2:U31),_xleta.MAX,3,1,,1,,Palmon!G2:G31&lt;5)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 t="str">
        <v/>
      </c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 t="str">
        <v/>
      </c>
      <c r="F14" s="33">
        <v>87</v>
      </c>
      <c r="G14" s="33" t="str">
        <v/>
      </c>
      <c r="H14" s="33" t="str">
        <v/>
      </c>
      <c r="I14" s="33" t="str">
        <v/>
      </c>
      <c r="J14" s="40"/>
      <c r="L14" s="1" t="str">
        <v/>
      </c>
      <c r="M14" s="38">
        <v>2</v>
      </c>
      <c r="N14" s="41">
        <v>3</v>
      </c>
      <c r="O14" s="41">
        <v>4</v>
      </c>
      <c r="P14" s="41">
        <v>5</v>
      </c>
      <c r="Q14" s="43" t="str">
        <v>Total</v>
      </c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 t="str">
        <v/>
      </c>
      <c r="I15" s="33">
        <v>0</v>
      </c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 t="str">
        <v/>
      </c>
      <c r="R15" s="1"/>
      <c r="U15" s="1" t="str" cm="1">
        <f t="array" ref="U15:V19">_xlfn.PIVOTBY(Palmon!$C$2:$C$47,IF(Palmon!$A$2:$A$47=0,"Average Level",""),_xlfn.LAMBDA(_xlpm.x,_xlpm.x)(Palmon!$E$2:$E$47),_xleta.AVERAGE,1,0,,0,,Palmon!$E$2:$E$47&gt;=200)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 t="str">
        <v/>
      </c>
      <c r="F16" s="33">
        <v>59.999999999999972</v>
      </c>
      <c r="G16" s="33" t="str">
        <v/>
      </c>
      <c r="H16" s="33" t="str">
        <v/>
      </c>
      <c r="I16" s="33" t="str">
        <v/>
      </c>
      <c r="J16" s="40"/>
      <c r="L16" s="46" t="str">
        <v>Electricity</v>
      </c>
      <c r="M16" s="39" t="str">
        <v/>
      </c>
      <c r="N16" s="33">
        <v>59.999999999999972</v>
      </c>
      <c r="O16" s="33">
        <v>300</v>
      </c>
      <c r="P16" s="47">
        <v>486</v>
      </c>
      <c r="Q16" s="40">
        <v>486</v>
      </c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7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 t="str">
        <v/>
      </c>
      <c r="H17" s="33">
        <v>400.00000000000034</v>
      </c>
      <c r="I17" s="33" t="str">
        <v/>
      </c>
      <c r="J17" s="40"/>
      <c r="L17" s="46" t="str">
        <v>Fire</v>
      </c>
      <c r="M17" s="39" t="str">
        <v/>
      </c>
      <c r="N17" s="33">
        <v>32.000000000000028</v>
      </c>
      <c r="O17" s="33">
        <v>290</v>
      </c>
      <c r="P17" s="47">
        <v>489</v>
      </c>
      <c r="Q17" s="40">
        <v>489</v>
      </c>
      <c r="R17" s="1"/>
      <c r="U17" s="46" t="str">
        <v>Fire</v>
      </c>
      <c r="V17" s="192">
        <v>248.57142857142858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 t="str">
        <v/>
      </c>
      <c r="I18" s="33">
        <v>0</v>
      </c>
      <c r="J18" s="40"/>
      <c r="L18" s="46" t="str">
        <v>Water</v>
      </c>
      <c r="M18" s="39">
        <v>50</v>
      </c>
      <c r="N18" s="33">
        <v>87</v>
      </c>
      <c r="O18" s="33" t="str">
        <v/>
      </c>
      <c r="P18" s="47">
        <v>500</v>
      </c>
      <c r="Q18" s="40">
        <v>500</v>
      </c>
      <c r="R18" s="1"/>
      <c r="U18" s="46" t="str">
        <v>Water</v>
      </c>
      <c r="V18" s="192">
        <v>241.42857142857142</v>
      </c>
      <c r="W18" s="40" cm="1">
        <f t="array" ref="W18">COUNTA(_xlfn._xlws.FILTER(C5:C44,C5:C44=$U18,""))</f>
        <v>10</v>
      </c>
    </row>
    <row r="19" spans="2:23" ht="15.75" thickBot="1" x14ac:dyDescent="0.3">
      <c r="B19" s="36" t="str">
        <v>Gnashfin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 t="str">
        <v/>
      </c>
      <c r="I19" s="33">
        <v>0</v>
      </c>
      <c r="J19" s="40"/>
      <c r="L19" s="46" t="str">
        <v>Wood</v>
      </c>
      <c r="M19" s="39" t="str">
        <v/>
      </c>
      <c r="N19" s="33">
        <v>100</v>
      </c>
      <c r="O19" s="33" t="str">
        <v/>
      </c>
      <c r="P19" s="47">
        <v>400.00000000000034</v>
      </c>
      <c r="Q19" s="40">
        <v>400.00000000000034</v>
      </c>
      <c r="R19" s="1"/>
      <c r="U19" s="46" t="str">
        <v>Wood</v>
      </c>
      <c r="V19" s="194">
        <v>234.28571428571428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Gnashley</v>
      </c>
      <c r="C20" s="32" t="str">
        <v>Water</v>
      </c>
      <c r="D20" s="47" t="str">
        <v>Defend</v>
      </c>
      <c r="E20" s="39">
        <v>50</v>
      </c>
      <c r="F20" s="33" t="str">
        <v/>
      </c>
      <c r="G20" s="33" t="str">
        <v/>
      </c>
      <c r="H20" s="33" t="str">
        <v/>
      </c>
      <c r="I20" s="33" t="str">
        <v/>
      </c>
      <c r="J20" s="40"/>
      <c r="L20" s="84" t="str">
        <v>Total</v>
      </c>
      <c r="M20" s="85">
        <v>50</v>
      </c>
      <c r="N20" s="86">
        <v>100</v>
      </c>
      <c r="O20" s="86">
        <v>300</v>
      </c>
      <c r="P20" s="87">
        <v>500</v>
      </c>
      <c r="Q20" s="88">
        <v>500</v>
      </c>
      <c r="R20" s="1"/>
      <c r="V20" s="197">
        <f>AVERAGE(V16:V19)</f>
        <v>236.90476190476193</v>
      </c>
      <c r="W20" s="196">
        <f>SUM(W16:W19)</f>
        <v>32</v>
      </c>
    </row>
    <row r="21" spans="2:23" ht="15.75" thickBot="1" x14ac:dyDescent="0.3">
      <c r="B21" s="36" t="str">
        <v>Hoofrit</v>
      </c>
      <c r="C21" s="32" t="str">
        <v>Fire</v>
      </c>
      <c r="D21" s="47" t="str">
        <v>Attack</v>
      </c>
      <c r="E21" s="39" t="str">
        <v/>
      </c>
      <c r="F21" s="33" t="str">
        <v/>
      </c>
      <c r="G21" s="33" t="str">
        <v/>
      </c>
      <c r="H21" s="33">
        <v>489</v>
      </c>
      <c r="I21" s="33" t="str">
        <v/>
      </c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Kungpaw</v>
      </c>
      <c r="C22" s="32" t="str">
        <v>Water</v>
      </c>
      <c r="D22" s="47" t="str">
        <v>Defend</v>
      </c>
      <c r="E22" s="39" t="str">
        <v/>
      </c>
      <c r="F22" s="33" t="str">
        <v/>
      </c>
      <c r="G22" s="33" t="str">
        <v/>
      </c>
      <c r="H22" s="33">
        <v>470</v>
      </c>
      <c r="I22" s="33" t="str">
        <v/>
      </c>
      <c r="J22" s="40"/>
      <c r="L22" s="1"/>
      <c r="M22" s="274" t="s">
        <v>90</v>
      </c>
      <c r="N22" s="275"/>
      <c r="O22" s="275"/>
      <c r="P22" s="275"/>
      <c r="Q22" s="275"/>
      <c r="R22" s="275"/>
      <c r="S22" s="276"/>
    </row>
    <row r="23" spans="2:23" x14ac:dyDescent="0.25">
      <c r="B23" s="36" t="str">
        <v>Limudroid</v>
      </c>
      <c r="C23" s="32" t="str">
        <v>Electricity</v>
      </c>
      <c r="D23" s="47" t="str">
        <v>Attack</v>
      </c>
      <c r="E23" s="39" t="str">
        <v/>
      </c>
      <c r="F23" s="33">
        <v>55.999999999999972</v>
      </c>
      <c r="G23" s="33" t="str">
        <v/>
      </c>
      <c r="H23" s="33" t="str">
        <v/>
      </c>
      <c r="I23" s="33" t="str">
        <v/>
      </c>
      <c r="J23" s="40"/>
      <c r="L23" s="1" t="str" cm="1">
        <f t="array" ref="L23:R30">_xlfn.PIVOTBY(Palmon!C2:C31,IFERROR(Palmon!G2:G31,"Nb per Step"),_xlfn.LAMBDA(_xlpm.x,IFERROR(VLOOKUP(Palmon!G2:G31,StepNeeds,4,FALSE)-NeedsFull*_xlpm.x-Palmon!I2:I31,""))(Palmon!U2:U31),_xleta.COUNTA,3,1,,1,,Palmon!G2:G31&lt;6)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 t="str">
        <v/>
      </c>
      <c r="S23" s="45"/>
    </row>
    <row r="24" spans="2:23" ht="15.75" thickBot="1" x14ac:dyDescent="0.3">
      <c r="B24" s="36" t="str">
        <v>Lucidina</v>
      </c>
      <c r="C24" s="32" t="str">
        <v>Water</v>
      </c>
      <c r="D24" s="47" t="str">
        <v>Attack</v>
      </c>
      <c r="E24" s="39" t="str">
        <v/>
      </c>
      <c r="F24" s="33" t="str">
        <v/>
      </c>
      <c r="G24" s="33" t="str">
        <v/>
      </c>
      <c r="H24" s="33">
        <v>500</v>
      </c>
      <c r="I24" s="33" t="str">
        <v/>
      </c>
      <c r="J24" s="40"/>
      <c r="L24" s="1" t="str">
        <v/>
      </c>
      <c r="M24" s="38">
        <v>1</v>
      </c>
      <c r="N24" s="41">
        <v>2</v>
      </c>
      <c r="O24" s="41">
        <v>3</v>
      </c>
      <c r="P24" s="41">
        <v>4</v>
      </c>
      <c r="Q24" s="41">
        <v>5</v>
      </c>
      <c r="R24" s="43" t="str">
        <v>Total</v>
      </c>
      <c r="S24" s="181"/>
    </row>
    <row r="25" spans="2:23" x14ac:dyDescent="0.25">
      <c r="B25" s="36" t="str">
        <v>Magmolin</v>
      </c>
      <c r="C25" s="32" t="str">
        <v>Fire</v>
      </c>
      <c r="D25" s="47" t="str">
        <v>Defend</v>
      </c>
      <c r="E25" s="39" t="str">
        <v/>
      </c>
      <c r="F25" s="33" t="str">
        <v/>
      </c>
      <c r="G25" s="33">
        <v>178.99999999999994</v>
      </c>
      <c r="H25" s="33" t="str">
        <v/>
      </c>
      <c r="I25" s="33" t="str">
        <v/>
      </c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 t="str">
        <v/>
      </c>
      <c r="S25" s="182"/>
    </row>
    <row r="26" spans="2:23" x14ac:dyDescent="0.25">
      <c r="B26" s="36" t="str">
        <v>Mantleray</v>
      </c>
      <c r="C26" s="32" t="str">
        <v>Electricity</v>
      </c>
      <c r="D26" s="47" t="str">
        <v>Attack</v>
      </c>
      <c r="E26" s="39" t="str">
        <v/>
      </c>
      <c r="F26" s="33">
        <v>17</v>
      </c>
      <c r="G26" s="33" t="str">
        <v/>
      </c>
      <c r="H26" s="33" t="str">
        <v/>
      </c>
      <c r="I26" s="33" t="str">
        <v/>
      </c>
      <c r="J26" s="40"/>
      <c r="L26" s="46" t="str">
        <v>Electricity</v>
      </c>
      <c r="M26" s="39" t="str">
        <v/>
      </c>
      <c r="N26" s="33">
        <v>3</v>
      </c>
      <c r="O26" s="33">
        <v>2</v>
      </c>
      <c r="P26" s="33">
        <v>1</v>
      </c>
      <c r="Q26" s="47" t="str">
        <v/>
      </c>
      <c r="R26" s="40">
        <v>6</v>
      </c>
      <c r="S26" s="71"/>
    </row>
    <row r="27" spans="2:23" x14ac:dyDescent="0.25">
      <c r="B27" s="36" t="str">
        <v>Ninjump</v>
      </c>
      <c r="C27" s="32" t="str">
        <v>Water</v>
      </c>
      <c r="D27" s="47" t="str">
        <v>Attack</v>
      </c>
      <c r="E27" s="39" t="str">
        <v/>
      </c>
      <c r="F27" s="33">
        <v>30.000000000000028</v>
      </c>
      <c r="G27" s="33" t="str">
        <v/>
      </c>
      <c r="H27" s="33" t="str">
        <v/>
      </c>
      <c r="I27" s="33" t="str">
        <v/>
      </c>
      <c r="J27" s="40"/>
      <c r="L27" s="46" t="str">
        <v>Fire</v>
      </c>
      <c r="M27" s="39" t="str">
        <v/>
      </c>
      <c r="N27" s="33">
        <v>1</v>
      </c>
      <c r="O27" s="33">
        <v>3</v>
      </c>
      <c r="P27" s="33">
        <v>2</v>
      </c>
      <c r="Q27" s="47">
        <v>1</v>
      </c>
      <c r="R27" s="40">
        <v>7</v>
      </c>
      <c r="S27" s="71"/>
    </row>
    <row r="28" spans="2:23" x14ac:dyDescent="0.25">
      <c r="B28" s="36" t="str">
        <v>Oleana</v>
      </c>
      <c r="C28" s="32" t="str">
        <v>Wood</v>
      </c>
      <c r="D28" s="47" t="str">
        <v>Attack</v>
      </c>
      <c r="E28" s="39" t="str">
        <v/>
      </c>
      <c r="F28" s="33" t="str">
        <v/>
      </c>
      <c r="G28" s="33" t="str">
        <v/>
      </c>
      <c r="H28" s="33" t="str">
        <v/>
      </c>
      <c r="I28" s="33">
        <v>0</v>
      </c>
      <c r="J28" s="40"/>
      <c r="L28" s="46" t="str">
        <v>Water</v>
      </c>
      <c r="M28" s="39">
        <v>1</v>
      </c>
      <c r="N28" s="33">
        <v>4</v>
      </c>
      <c r="O28" s="33" t="str">
        <v/>
      </c>
      <c r="P28" s="33">
        <v>2</v>
      </c>
      <c r="Q28" s="47">
        <v>2</v>
      </c>
      <c r="R28" s="40">
        <v>9</v>
      </c>
      <c r="S28" s="71"/>
    </row>
    <row r="29" spans="2:23" x14ac:dyDescent="0.25">
      <c r="B29" s="36" t="str">
        <v>Pipistrigoi</v>
      </c>
      <c r="C29" s="32" t="str">
        <v>Fire</v>
      </c>
      <c r="D29" s="47" t="str">
        <v>Attack</v>
      </c>
      <c r="E29" s="39" t="str">
        <v/>
      </c>
      <c r="F29" s="33" t="str">
        <v/>
      </c>
      <c r="G29" s="33" t="str">
        <v/>
      </c>
      <c r="H29" s="33">
        <v>387.00000000000034</v>
      </c>
      <c r="I29" s="33" t="str">
        <v/>
      </c>
      <c r="J29" s="40"/>
      <c r="L29" s="46" t="str">
        <v>Wood</v>
      </c>
      <c r="M29" s="39" t="str">
        <v/>
      </c>
      <c r="N29" s="33">
        <v>4</v>
      </c>
      <c r="O29" s="33" t="str">
        <v/>
      </c>
      <c r="P29" s="33">
        <v>1</v>
      </c>
      <c r="Q29" s="47">
        <v>2</v>
      </c>
      <c r="R29" s="40">
        <v>7</v>
      </c>
      <c r="S29" s="71"/>
    </row>
    <row r="30" spans="2:23" ht="15.75" thickBot="1" x14ac:dyDescent="0.3">
      <c r="B30" s="36" t="str">
        <v>Regalion</v>
      </c>
      <c r="C30" s="32" t="str">
        <v>Water</v>
      </c>
      <c r="D30" s="47" t="str">
        <v>Defend</v>
      </c>
      <c r="E30" s="39" t="str">
        <v/>
      </c>
      <c r="F30" s="33">
        <v>68.999999999999986</v>
      </c>
      <c r="G30" s="33" t="str">
        <v/>
      </c>
      <c r="H30" s="33" t="str">
        <v/>
      </c>
      <c r="I30" s="33" t="str">
        <v/>
      </c>
      <c r="J30" s="40"/>
      <c r="L30" s="84" t="str">
        <v>Total</v>
      </c>
      <c r="M30" s="85">
        <v>1</v>
      </c>
      <c r="N30" s="86">
        <v>12</v>
      </c>
      <c r="O30" s="86">
        <v>5</v>
      </c>
      <c r="P30" s="86">
        <v>6</v>
      </c>
      <c r="Q30" s="87">
        <v>5</v>
      </c>
      <c r="R30" s="88">
        <v>29</v>
      </c>
      <c r="S30" s="183"/>
    </row>
    <row r="31" spans="2:23" ht="15.75" thickBot="1" x14ac:dyDescent="0.3">
      <c r="B31" s="36" t="str">
        <v>Revontulet</v>
      </c>
      <c r="C31" s="32" t="str">
        <v>Fire</v>
      </c>
      <c r="D31" s="47" t="str">
        <v>Attack</v>
      </c>
      <c r="E31" s="39" t="str">
        <v/>
      </c>
      <c r="F31" s="33">
        <v>40.000000000000028</v>
      </c>
      <c r="G31" s="33" t="str">
        <v/>
      </c>
      <c r="H31" s="33" t="str">
        <v/>
      </c>
      <c r="I31" s="33" t="str">
        <v/>
      </c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Salamantis</v>
      </c>
      <c r="C32" s="32" t="str">
        <v>Wood</v>
      </c>
      <c r="D32" s="47" t="str">
        <v>Attack</v>
      </c>
      <c r="E32" s="39" t="str">
        <v/>
      </c>
      <c r="F32" s="33">
        <v>100</v>
      </c>
      <c r="G32" s="33" t="str">
        <v/>
      </c>
      <c r="H32" s="33" t="str">
        <v/>
      </c>
      <c r="I32" s="33" t="str">
        <v/>
      </c>
      <c r="J32" s="40"/>
      <c r="L32" s="1"/>
      <c r="M32" s="274" t="s">
        <v>95</v>
      </c>
      <c r="N32" s="275"/>
      <c r="O32" s="276"/>
      <c r="P32" s="1"/>
      <c r="Q32" s="1"/>
      <c r="R32" s="1"/>
    </row>
    <row r="33" spans="2:23" ht="15.75" thickBot="1" x14ac:dyDescent="0.3">
      <c r="B33" s="36" t="str">
        <v>Spookaboo</v>
      </c>
      <c r="C33" s="32" t="str">
        <v>Fire</v>
      </c>
      <c r="D33" s="47" t="str">
        <v>Attack</v>
      </c>
      <c r="E33" s="39" t="str">
        <v/>
      </c>
      <c r="F33" s="33" t="str">
        <v/>
      </c>
      <c r="G33" s="33">
        <v>169.99999999999989</v>
      </c>
      <c r="H33" s="33" t="str">
        <v/>
      </c>
      <c r="I33" s="33" t="str">
        <v/>
      </c>
      <c r="J33" s="40"/>
      <c r="L33" s="1" t="str" cm="1">
        <f t="array" ref="L33:O38">_xlfn.PIVOTBY(Palmon!C2:C31,IFERROR(Palmon!AC2:AC31,""),Palmon!AC2:AC31,_xleta.COUNTA,1,1,,0,,Palmon!AC2:AC31&lt;&gt;"")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Statchew</v>
      </c>
      <c r="C34" s="32" t="str">
        <v>Wood</v>
      </c>
      <c r="D34" s="47" t="str">
        <v>Defend</v>
      </c>
      <c r="E34" s="39" t="str">
        <v/>
      </c>
      <c r="F34" s="33">
        <v>49.999999999999972</v>
      </c>
      <c r="G34" s="33" t="str">
        <v/>
      </c>
      <c r="H34" s="33" t="str">
        <v/>
      </c>
      <c r="I34" s="33" t="str">
        <v/>
      </c>
      <c r="J34" s="40"/>
      <c r="L34" s="67" t="str">
        <v>Electricity</v>
      </c>
      <c r="M34" s="39" t="str">
        <v/>
      </c>
      <c r="N34" s="33">
        <v>1</v>
      </c>
      <c r="O34" s="40">
        <v>3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Surveilynx</v>
      </c>
      <c r="C35" s="32" t="str">
        <v>Wood</v>
      </c>
      <c r="D35" s="47" t="str">
        <v>Attack</v>
      </c>
      <c r="E35" s="39" t="str">
        <v/>
      </c>
      <c r="F35" s="33">
        <v>100</v>
      </c>
      <c r="G35" s="33" t="str">
        <v/>
      </c>
      <c r="H35" s="33" t="str">
        <v/>
      </c>
      <c r="I35" s="33" t="str">
        <v/>
      </c>
      <c r="J35" s="40"/>
      <c r="L35" s="46" t="str">
        <v>Fire</v>
      </c>
      <c r="M35" s="39">
        <v>1</v>
      </c>
      <c r="N35" s="33">
        <v>3</v>
      </c>
      <c r="O35" s="40">
        <v>3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 t="str">
        <v>Thundertooth</v>
      </c>
      <c r="C36" s="32" t="str">
        <v>Electricity</v>
      </c>
      <c r="D36" s="47" t="str">
        <v>Attack</v>
      </c>
      <c r="E36" s="39" t="str">
        <v/>
      </c>
      <c r="F36" s="33" t="str">
        <v/>
      </c>
      <c r="G36" s="33" t="str">
        <v/>
      </c>
      <c r="H36" s="33" t="str">
        <v/>
      </c>
      <c r="I36" s="33">
        <v>0</v>
      </c>
      <c r="J36" s="40"/>
      <c r="L36" s="46" t="str">
        <v>Water</v>
      </c>
      <c r="M36" s="39">
        <v>2</v>
      </c>
      <c r="N36" s="33">
        <v>2</v>
      </c>
      <c r="O36" s="40" t="str">
        <v/>
      </c>
      <c r="P36" s="1"/>
      <c r="Q36" s="217" t="str">
        <v>Water</v>
      </c>
      <c r="R36" s="39">
        <v>5</v>
      </c>
      <c r="S36" s="40">
        <v>5</v>
      </c>
    </row>
    <row r="37" spans="2:23" x14ac:dyDescent="0.25">
      <c r="B37" s="36" t="str">
        <v>Vulpyrean</v>
      </c>
      <c r="C37" s="32" t="str">
        <v>Fire</v>
      </c>
      <c r="D37" s="47" t="str">
        <v>Attack</v>
      </c>
      <c r="E37" s="39" t="str">
        <v/>
      </c>
      <c r="F37" s="33" t="str">
        <v/>
      </c>
      <c r="G37" s="33" t="str">
        <v/>
      </c>
      <c r="H37" s="33" t="str">
        <v/>
      </c>
      <c r="I37" s="33">
        <v>0</v>
      </c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5</v>
      </c>
      <c r="N38" s="86">
        <v>7</v>
      </c>
      <c r="O38" s="88">
        <v>6</v>
      </c>
      <c r="P38" s="1"/>
      <c r="Q38" s="218" t="str">
        <v>Total</v>
      </c>
      <c r="R38" s="85">
        <v>21</v>
      </c>
      <c r="S38" s="88">
        <v>12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4" t="s">
        <v>94</v>
      </c>
      <c r="M40" s="275"/>
      <c r="N40" s="276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Pipistrigoi</v>
      </c>
      <c r="N42" s="75" t="str">
        <v>Magmolin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Pipistrigoi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Ghillant</v>
      </c>
      <c r="N43" s="78" t="str">
        <v>Barkplug</v>
      </c>
      <c r="O43" s="1"/>
      <c r="P43" s="1" t="str">
        <v>Vulpyrean</v>
      </c>
      <c r="Q43" s="1" t="str">
        <v>Ghillant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Gnashfin</v>
      </c>
      <c r="M44" s="77" t="str">
        <v>Hoofrit</v>
      </c>
      <c r="N44" s="78" t="str">
        <v>Blazeal</v>
      </c>
      <c r="O44" s="1"/>
      <c r="P44" s="1" t="str">
        <v>Gnashfin</v>
      </c>
      <c r="Q44" s="1" t="str">
        <v>Hoofrit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Lucidina</v>
      </c>
      <c r="N45" s="78" t="str">
        <v>Battereina</v>
      </c>
      <c r="O45" s="1"/>
      <c r="P45" s="1" t="str">
        <v>Glacewing</v>
      </c>
      <c r="Q45" s="1" t="str">
        <v>Lucidina</v>
      </c>
      <c r="R45" s="1"/>
      <c r="T45"/>
      <c r="U45"/>
      <c r="V45"/>
      <c r="W45"/>
    </row>
    <row r="46" spans="2:23" x14ac:dyDescent="0.25">
      <c r="L46" s="76" t="str">
        <v>Fleurizard</v>
      </c>
      <c r="M46" s="77" t="str">
        <v>Abuzzinian</v>
      </c>
      <c r="N46" s="78" t="str">
        <v>Mantleray</v>
      </c>
      <c r="O46" s="1"/>
      <c r="P46" s="1" t="str">
        <v>Fleurizard</v>
      </c>
      <c r="Q46" s="1" t="str">
        <v>Abuzzinian</v>
      </c>
      <c r="R46" s="1"/>
      <c r="T46"/>
      <c r="U46"/>
      <c r="V46"/>
      <c r="W46"/>
    </row>
    <row r="47" spans="2:23" x14ac:dyDescent="0.25">
      <c r="L47" s="76" t="str">
        <v>Oleana</v>
      </c>
      <c r="M47" s="77" t="str">
        <v>Kungpaw</v>
      </c>
      <c r="N47" s="78" t="str">
        <v>Escarffier</v>
      </c>
      <c r="O47" s="1"/>
      <c r="P47" s="1" t="str">
        <v>Oleana</v>
      </c>
      <c r="Q47" s="1" t="str">
        <v>Kungpaw</v>
      </c>
      <c r="R47" s="1"/>
      <c r="T47"/>
      <c r="U47"/>
      <c r="V47"/>
      <c r="W47"/>
    </row>
    <row r="48" spans="2:23" ht="15.75" thickBot="1" x14ac:dyDescent="0.3">
      <c r="L48" s="81" t="str">
        <v>Thundertooth</v>
      </c>
      <c r="M48" s="82" t="str">
        <v>Spookaboo</v>
      </c>
      <c r="N48" s="83" t="str">
        <v>Ninjump</v>
      </c>
      <c r="O48" s="1"/>
      <c r="P48" s="1" t="str">
        <v>Thundertooth</v>
      </c>
      <c r="Q48" s="1" t="str">
        <v>Spookaboo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229</v>
      </c>
      <c r="N50" s="1"/>
      <c r="O50" s="1"/>
      <c r="P50" s="1" t="s">
        <v>230</v>
      </c>
      <c r="Q50" s="1"/>
      <c r="R50" s="1"/>
      <c r="S50" s="1" t="s">
        <v>231</v>
      </c>
    </row>
    <row r="51" spans="7:20" s="1" customFormat="1" ht="12" x14ac:dyDescent="0.2">
      <c r="L51" s="1" t="str" cm="1">
        <f t="array" ref="L51:N80">_xlfn.PIVOTBY(Palmon!B2:B31,Palmon!D2:D31,Palmon!AB2:AB31,_xleta.MAX,,0,,0)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9</v>
      </c>
      <c r="L52" s="1" t="str">
        <v>Abuzzinian</v>
      </c>
      <c r="M52" s="1" t="str">
        <v/>
      </c>
      <c r="N52" s="1">
        <v>12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3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23</v>
      </c>
      <c r="H53" s="1" t="str">
        <v/>
      </c>
      <c r="L53" s="1" t="str">
        <v>Baboom</v>
      </c>
      <c r="M53" s="1">
        <v>27</v>
      </c>
      <c r="N53" s="1" t="str">
        <v/>
      </c>
      <c r="P53" s="1">
        <v>13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13</v>
      </c>
      <c r="L54" s="1" t="str">
        <v>Barkplug</v>
      </c>
      <c r="M54" s="1" t="str">
        <v/>
      </c>
      <c r="N54" s="1">
        <v>16</v>
      </c>
      <c r="P54" s="1" t="str">
        <v/>
      </c>
      <c r="Q54" s="1">
        <v>6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15</v>
      </c>
      <c r="H55" s="1" t="str">
        <v/>
      </c>
      <c r="L55" s="1" t="str">
        <v>Battereina</v>
      </c>
      <c r="M55" s="1">
        <v>18</v>
      </c>
      <c r="N55" s="1" t="str">
        <v/>
      </c>
      <c r="P55" s="1">
        <v>9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14</v>
      </c>
      <c r="H56" s="1" t="str">
        <v/>
      </c>
      <c r="L56" s="1" t="str">
        <v>Blazeal</v>
      </c>
      <c r="M56" s="1">
        <v>17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Gnashfin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22</v>
      </c>
      <c r="L58" s="1" t="str">
        <v>Dolphriend</v>
      </c>
      <c r="M58" s="1" t="str">
        <v/>
      </c>
      <c r="N58" s="1">
        <v>26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17</v>
      </c>
      <c r="L59" s="1" t="str">
        <v>Escarffier</v>
      </c>
      <c r="M59" s="1" t="str">
        <v/>
      </c>
      <c r="N59" s="1">
        <v>20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30</v>
      </c>
      <c r="N60" s="1" t="str">
        <v/>
      </c>
      <c r="P60" s="1">
        <v>14</v>
      </c>
      <c r="Q60" s="1" t="str">
        <v/>
      </c>
    </row>
    <row r="61" spans="7:20" s="1" customFormat="1" ht="12" x14ac:dyDescent="0.2">
      <c r="G61" s="1">
        <v>3</v>
      </c>
      <c r="H61" s="1" t="str">
        <v/>
      </c>
      <c r="L61" s="1" t="str">
        <v>Fleurizard</v>
      </c>
      <c r="M61" s="1">
        <v>5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21</v>
      </c>
      <c r="L62" s="1" t="str">
        <v>Fulgairy</v>
      </c>
      <c r="M62" s="1" t="str">
        <v/>
      </c>
      <c r="N62" s="1">
        <v>25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9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Gnashfin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 t="str">
        <v/>
      </c>
      <c r="H65" s="1">
        <v>27</v>
      </c>
      <c r="L65" s="1" t="str">
        <v>Gnashley</v>
      </c>
      <c r="M65" s="1" t="str">
        <v/>
      </c>
      <c r="N65" s="1">
        <v>32</v>
      </c>
      <c r="P65" s="1" t="str">
        <v/>
      </c>
      <c r="Q65" s="1">
        <v>12</v>
      </c>
    </row>
    <row r="66" spans="7:20" s="1" customFormat="1" ht="12" x14ac:dyDescent="0.2">
      <c r="G66" s="1">
        <v>7</v>
      </c>
      <c r="H66" s="1" t="str">
        <v/>
      </c>
      <c r="L66" s="1" t="str">
        <v>Hoofrit</v>
      </c>
      <c r="M66" s="1">
        <v>10</v>
      </c>
      <c r="N66" s="1" t="str">
        <v/>
      </c>
      <c r="P66" s="1">
        <v>5</v>
      </c>
      <c r="Q66" s="1" t="str">
        <v/>
      </c>
    </row>
    <row r="67" spans="7:20" s="1" customFormat="1" ht="12" x14ac:dyDescent="0.2">
      <c r="G67" s="1" t="str">
        <v/>
      </c>
      <c r="H67" s="1">
        <v>10</v>
      </c>
      <c r="L67" s="1" t="str">
        <v>Kungpaw</v>
      </c>
      <c r="M67" s="1" t="str">
        <v/>
      </c>
      <c r="N67" s="1">
        <v>13</v>
      </c>
      <c r="P67" s="1" t="str">
        <v/>
      </c>
      <c r="Q67" s="1">
        <v>4</v>
      </c>
    </row>
    <row r="68" spans="7:20" s="1" customFormat="1" ht="12" x14ac:dyDescent="0.2">
      <c r="G68" s="1">
        <v>20</v>
      </c>
      <c r="H68" s="1" t="str">
        <v/>
      </c>
      <c r="L68" s="1" t="str">
        <v>Limudroid</v>
      </c>
      <c r="M68" s="1">
        <v>24</v>
      </c>
      <c r="N68" s="1" t="str">
        <v/>
      </c>
      <c r="P68" s="1">
        <v>12</v>
      </c>
      <c r="Q68" s="1" t="str">
        <v/>
      </c>
    </row>
    <row r="69" spans="7:20" s="1" customFormat="1" ht="12" x14ac:dyDescent="0.2">
      <c r="G69" s="1">
        <v>8</v>
      </c>
      <c r="H69" s="1" t="str">
        <v/>
      </c>
      <c r="L69" s="1" t="str">
        <v>Lucidina</v>
      </c>
      <c r="M69" s="1">
        <v>11</v>
      </c>
      <c r="N69" s="1" t="str">
        <v/>
      </c>
      <c r="P69" s="1">
        <v>6</v>
      </c>
      <c r="Q69" s="1" t="str">
        <v/>
      </c>
    </row>
    <row r="70" spans="7:20" s="1" customFormat="1" ht="12" x14ac:dyDescent="0.2">
      <c r="G70" s="1" t="str">
        <v/>
      </c>
      <c r="H70" s="1">
        <v>12</v>
      </c>
      <c r="L70" s="1" t="str">
        <v>Magmolin</v>
      </c>
      <c r="M70" s="1" t="str">
        <v/>
      </c>
      <c r="N70" s="1">
        <v>15</v>
      </c>
      <c r="P70" s="1" t="str">
        <v/>
      </c>
      <c r="Q70" s="1">
        <v>5</v>
      </c>
    </row>
    <row r="71" spans="7:20" s="1" customFormat="1" ht="12" x14ac:dyDescent="0.2">
      <c r="G71" s="1">
        <v>16</v>
      </c>
      <c r="H71" s="1" t="str">
        <v/>
      </c>
      <c r="L71" s="1" t="str">
        <v>Mantleray</v>
      </c>
      <c r="M71" s="1">
        <v>19</v>
      </c>
      <c r="N71" s="1" t="str">
        <v/>
      </c>
      <c r="P71" s="1">
        <v>10</v>
      </c>
      <c r="Q71" s="1" t="str">
        <v/>
      </c>
    </row>
    <row r="72" spans="7:20" s="1" customFormat="1" ht="12" x14ac:dyDescent="0.2">
      <c r="G72" s="1">
        <v>18</v>
      </c>
      <c r="H72" s="1" t="str">
        <v/>
      </c>
      <c r="L72" s="1" t="str">
        <v>Ninjump</v>
      </c>
      <c r="M72" s="1">
        <v>21</v>
      </c>
      <c r="N72" s="1" t="str">
        <v/>
      </c>
      <c r="P72" s="1">
        <v>11</v>
      </c>
      <c r="Q72" s="1" t="str">
        <v/>
      </c>
    </row>
    <row r="73" spans="7:20" s="1" customFormat="1" ht="12" x14ac:dyDescent="0.2">
      <c r="G73" s="1">
        <v>4</v>
      </c>
      <c r="H73" s="1" t="str">
        <v/>
      </c>
      <c r="L73" s="1" t="str">
        <v>Oleana</v>
      </c>
      <c r="M73" s="1">
        <v>6</v>
      </c>
      <c r="N73" s="1" t="str">
        <v/>
      </c>
      <c r="P73" s="1">
        <v>3</v>
      </c>
      <c r="Q73" s="1" t="str">
        <v/>
      </c>
    </row>
    <row r="74" spans="7:20" s="1" customFormat="1" ht="12" x14ac:dyDescent="0.2">
      <c r="G74" s="1">
        <v>5</v>
      </c>
      <c r="H74" s="1" t="str">
        <v/>
      </c>
      <c r="L74" s="1" t="str">
        <v>Pipistrigoi</v>
      </c>
      <c r="M74" s="1">
        <v>8</v>
      </c>
      <c r="N74" s="1" t="str">
        <v/>
      </c>
      <c r="P74" s="1">
        <v>4</v>
      </c>
      <c r="Q74" s="1" t="str">
        <v/>
      </c>
    </row>
    <row r="75" spans="7:20" s="1" customFormat="1" ht="12" x14ac:dyDescent="0.2">
      <c r="G75" s="1" t="str">
        <v/>
      </c>
      <c r="H75" s="1">
        <v>24</v>
      </c>
      <c r="L75" s="1" t="str">
        <v>Regalion</v>
      </c>
      <c r="M75" s="1" t="str">
        <v/>
      </c>
      <c r="N75" s="1">
        <v>28</v>
      </c>
      <c r="P75" s="1" t="str">
        <v/>
      </c>
      <c r="Q75" s="1">
        <v>11</v>
      </c>
    </row>
    <row r="76" spans="7:20" s="1" customFormat="1" ht="12" x14ac:dyDescent="0.2">
      <c r="G76" s="1">
        <v>26</v>
      </c>
      <c r="H76" s="1" t="str">
        <v/>
      </c>
      <c r="L76" s="1" t="str">
        <v>Salamantis</v>
      </c>
      <c r="M76" s="1">
        <v>31</v>
      </c>
      <c r="N76" s="1" t="str">
        <v/>
      </c>
      <c r="P76" s="1">
        <v>15</v>
      </c>
      <c r="Q76" s="1" t="str">
        <v/>
      </c>
    </row>
    <row r="77" spans="7:20" s="1" customFormat="1" ht="12" x14ac:dyDescent="0.2">
      <c r="G77" s="1">
        <v>11</v>
      </c>
      <c r="H77" s="1" t="str">
        <v/>
      </c>
      <c r="L77" s="1" t="str">
        <v>Spookaboo</v>
      </c>
      <c r="M77" s="1">
        <v>14</v>
      </c>
      <c r="N77" s="1" t="str">
        <v/>
      </c>
      <c r="P77" s="1">
        <v>7</v>
      </c>
      <c r="Q77" s="1" t="str">
        <v/>
      </c>
    </row>
    <row r="78" spans="7:20" s="1" customFormat="1" ht="12" x14ac:dyDescent="0.2">
      <c r="G78" s="1" t="str">
        <v/>
      </c>
      <c r="H78" s="1">
        <v>19</v>
      </c>
      <c r="L78" s="1" t="str">
        <v>Statchew</v>
      </c>
      <c r="M78" s="1" t="str">
        <v/>
      </c>
      <c r="N78" s="1">
        <v>23</v>
      </c>
      <c r="P78" s="1" t="str">
        <v/>
      </c>
      <c r="Q78" s="1">
        <v>8</v>
      </c>
    </row>
    <row r="79" spans="7:20" s="1" customFormat="1" ht="12" x14ac:dyDescent="0.2">
      <c r="L79" s="1" t="str">
        <v>Surveilynx</v>
      </c>
      <c r="M79" s="1">
        <v>29</v>
      </c>
      <c r="N79" s="1" t="str">
        <v/>
      </c>
      <c r="Q79" s="53"/>
      <c r="R79" s="53"/>
      <c r="S79" s="53"/>
      <c r="T79" s="53"/>
    </row>
    <row r="80" spans="7:20" s="1" customFormat="1" ht="12" x14ac:dyDescent="0.2">
      <c r="L80" s="1" t="str">
        <v>Vulpyrean</v>
      </c>
      <c r="M80" s="1">
        <v>2</v>
      </c>
      <c r="N80" s="1" t="str">
        <v/>
      </c>
    </row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61" priority="43">
      <formula>$C6="Fire"</formula>
    </cfRule>
    <cfRule type="expression" dxfId="60" priority="44">
      <formula>$C6="Water"</formula>
    </cfRule>
    <cfRule type="expression" dxfId="59" priority="45">
      <formula>$C6="Electricity"</formula>
    </cfRule>
    <cfRule type="expression" dxfId="58" priority="46">
      <formula>$C6="Wood"</formula>
    </cfRule>
  </conditionalFormatting>
  <conditionalFormatting sqref="L16:L19 U16:U19">
    <cfRule type="expression" dxfId="57" priority="39">
      <formula>$L16="Fire"</formula>
    </cfRule>
    <cfRule type="expression" dxfId="56" priority="40">
      <formula>$L16="Water"</formula>
    </cfRule>
    <cfRule type="expression" dxfId="55" priority="41">
      <formula>$L16="Electricity"</formula>
    </cfRule>
    <cfRule type="expression" dxfId="54" priority="42">
      <formula>$L16="Wood"</formula>
    </cfRule>
  </conditionalFormatting>
  <conditionalFormatting sqref="L26:L29">
    <cfRule type="expression" dxfId="53" priority="35">
      <formula>$L26="Fire"</formula>
    </cfRule>
    <cfRule type="expression" dxfId="52" priority="36">
      <formula>$L26="Water"</formula>
    </cfRule>
    <cfRule type="expression" dxfId="51" priority="37">
      <formula>$L26="Electricity"</formula>
    </cfRule>
    <cfRule type="expression" dxfId="50" priority="38">
      <formula>$L26="Wood"</formula>
    </cfRule>
  </conditionalFormatting>
  <conditionalFormatting sqref="L34:L37">
    <cfRule type="expression" dxfId="49" priority="31">
      <formula>$L34="Fire"</formula>
    </cfRule>
    <cfRule type="expression" dxfId="48" priority="32">
      <formula>$L34="Water"</formula>
    </cfRule>
    <cfRule type="expression" dxfId="47" priority="33">
      <formula>$L34="Electricity"</formula>
    </cfRule>
    <cfRule type="expression" dxfId="46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45" priority="17">
      <formula>VLOOKUP(L42,PalmonList,2,FALSE)="Wood"</formula>
    </cfRule>
    <cfRule type="expression" dxfId="44" priority="18">
      <formula>VLOOKUP(L42,PalmonList,2,FALSE)="Fire"</formula>
    </cfRule>
    <cfRule type="expression" dxfId="43" priority="19">
      <formula>VLOOKUP(L42,PalmonList,2,FALSE)="Electricity"</formula>
    </cfRule>
    <cfRule type="expression" dxfId="42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41" priority="5">
      <formula>$L34="Fire"</formula>
    </cfRule>
    <cfRule type="expression" dxfId="40" priority="6">
      <formula>$L34="Water"</formula>
    </cfRule>
    <cfRule type="expression" dxfId="39" priority="7">
      <formula>$L34="Electricity"</formula>
    </cfRule>
    <cfRule type="expression" dxfId="38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6" t="s">
        <v>34</v>
      </c>
      <c r="C2" s="287"/>
      <c r="D2" s="287"/>
      <c r="E2" s="287"/>
      <c r="F2" s="58" t="s">
        <v>19</v>
      </c>
      <c r="G2" s="60">
        <f>VLOOKUP($G$7,PalmonList,8,FALSE)</f>
        <v>0</v>
      </c>
      <c r="H2" s="277" t="e" vm="1">
        <f>IFERROR(_xlfn.IMAGE(VLOOKUP($G$7,PalmonList,30,FALSE),$G$7,0),"")</f>
        <v>#VALUE!</v>
      </c>
      <c r="I2" s="278"/>
      <c r="J2" s="279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80"/>
      <c r="I3" s="281"/>
      <c r="J3" s="282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80"/>
      <c r="I4" s="281"/>
      <c r="J4" s="282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80"/>
      <c r="I5" s="281"/>
      <c r="J5" s="282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80"/>
      <c r="I6" s="281"/>
      <c r="J6" s="282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80"/>
      <c r="I7" s="281"/>
      <c r="J7" s="282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80"/>
      <c r="I8" s="281"/>
      <c r="J8" s="282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83"/>
      <c r="I9" s="284"/>
      <c r="J9" s="285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U3" sqref="U3:U35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90" t="s">
        <v>88</v>
      </c>
      <c r="B1" s="291"/>
      <c r="C1" s="291"/>
      <c r="D1" s="291"/>
      <c r="E1" s="291"/>
      <c r="F1" s="292"/>
      <c r="H1" s="290" t="s">
        <v>89</v>
      </c>
      <c r="I1" s="291"/>
      <c r="J1" s="291"/>
      <c r="K1" s="291"/>
      <c r="L1" s="292"/>
      <c r="N1" s="290" t="s">
        <v>103</v>
      </c>
      <c r="O1" s="291"/>
      <c r="P1" s="291"/>
      <c r="Q1" s="291"/>
      <c r="R1" s="292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5">_xlfn._xlws.SORT(_xlfn._xlws.FILTER(Palmon!B3:B47,Palmon!E3:E47&gt;0))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93" t="s">
        <v>30</v>
      </c>
      <c r="AA8" s="294"/>
      <c r="AB8" s="294"/>
      <c r="AC8" s="294"/>
      <c r="AD8" s="295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8" t="s">
        <v>32</v>
      </c>
      <c r="AF10" s="289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Gnashfin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Gnashley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Hoofrit</v>
      </c>
      <c r="X18" s="238" t="s">
        <v>101</v>
      </c>
      <c r="Y18" s="238" t="s">
        <v>102</v>
      </c>
      <c r="Z18" s="238" t="s">
        <v>228</v>
      </c>
      <c r="AA18" s="238" t="s">
        <v>227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Kungpaw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Limudroid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226</v>
      </c>
      <c r="AC20" s="238" t="s">
        <v>202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Lucidina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Magmolin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Mantleray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Ninjump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Oleana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Pipistrigoi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Regalion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Revontulet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Salamantis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Spookaboo</v>
      </c>
      <c r="X30" s="236"/>
      <c r="Y30" s="236" t="s">
        <v>199</v>
      </c>
      <c r="Z30" s="236" t="s">
        <v>200</v>
      </c>
      <c r="AA30" s="236" t="s">
        <v>201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Statchew</v>
      </c>
      <c r="X31" s="236" t="s">
        <v>199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Surveilynx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Thundertooth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Vulpyrean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  <c r="U35" s="1" t="str">
        <v>Woozard</v>
      </c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400000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2200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2200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2200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2200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2200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2200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2200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2200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2200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2200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>
        <v>2600</v>
      </c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>
        <v>2600</v>
      </c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>
        <v>2600</v>
      </c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>
        <v>2600</v>
      </c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>
        <v>2600</v>
      </c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>
        <v>2600</v>
      </c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>
        <v>2600</v>
      </c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>
        <v>2600</v>
      </c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>
        <v>2600</v>
      </c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>
        <v>2600</v>
      </c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>
        <v>3000</v>
      </c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>
        <v>3000</v>
      </c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>
        <v>3000</v>
      </c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>
        <v>3000</v>
      </c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>
        <v>3000</v>
      </c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>
        <v>3000</v>
      </c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>
        <v>3000</v>
      </c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>
        <v>3000</v>
      </c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>
        <v>3000</v>
      </c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>
        <v>3000</v>
      </c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>
        <v>3800</v>
      </c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>
        <v>3800</v>
      </c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>
        <v>3800</v>
      </c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>
        <v>3800</v>
      </c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>
        <v>3800</v>
      </c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>
        <v>3800</v>
      </c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>
        <v>3800</v>
      </c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>
        <v>3800</v>
      </c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>
        <v>3800</v>
      </c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>
        <v>3800</v>
      </c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>
        <v>4600</v>
      </c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>
        <v>4600</v>
      </c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>
        <v>4600</v>
      </c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>
        <v>4600</v>
      </c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>
        <v>4600</v>
      </c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>
        <v>4600</v>
      </c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>
        <v>4600</v>
      </c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>
        <v>4600</v>
      </c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>
        <v>4600</v>
      </c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>
        <v>4600</v>
      </c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>
        <v>5800</v>
      </c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>
        <v>5800</v>
      </c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>
        <v>5800</v>
      </c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>
        <v>5800</v>
      </c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>
        <v>5800</v>
      </c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>
        <v>5800</v>
      </c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>
        <v>5800</v>
      </c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>
        <v>5800</v>
      </c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>
        <v>5800</v>
      </c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>
        <v>5800</v>
      </c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260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259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37" priority="5">
      <formula>AND($U4="",$U3&lt;&gt;"")</formula>
    </cfRule>
    <cfRule type="cellIs" dxfId="36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workbookViewId="0">
      <selection activeCell="AC1" sqref="AC1:AD5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7" t="s">
        <v>203</v>
      </c>
      <c r="B1" s="258"/>
      <c r="D1" s="296" t="s">
        <v>240</v>
      </c>
      <c r="E1" s="297"/>
      <c r="F1" s="297"/>
      <c r="H1" s="296" t="s">
        <v>240</v>
      </c>
      <c r="I1" s="297"/>
      <c r="J1" s="297"/>
      <c r="K1" s="297"/>
      <c r="L1" s="297"/>
      <c r="M1" s="297"/>
      <c r="N1" s="297"/>
      <c r="O1" s="297"/>
      <c r="P1" s="297"/>
      <c r="Q1" s="297"/>
      <c r="Z1" s="257" t="s">
        <v>257</v>
      </c>
      <c r="AA1" s="258"/>
      <c r="AC1" s="257" t="s">
        <v>262</v>
      </c>
      <c r="AD1" s="258"/>
    </row>
    <row r="2" spans="1:30" x14ac:dyDescent="0.25">
      <c r="A2" s="240" t="s">
        <v>196</v>
      </c>
      <c r="B2" s="60">
        <v>400000</v>
      </c>
      <c r="D2" s="223" t="s">
        <v>17</v>
      </c>
      <c r="E2" s="222" t="s">
        <v>20</v>
      </c>
      <c r="F2" s="222" t="s">
        <v>238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241</v>
      </c>
      <c r="M2" s="222" t="s">
        <v>242</v>
      </c>
      <c r="N2" s="222" t="s">
        <v>243</v>
      </c>
      <c r="O2" s="222" t="s">
        <v>244</v>
      </c>
      <c r="P2" s="222" t="s">
        <v>245</v>
      </c>
      <c r="Q2" s="222" t="s">
        <v>144</v>
      </c>
      <c r="S2" s="223" t="s">
        <v>256</v>
      </c>
      <c r="T2" s="222" t="s">
        <v>241</v>
      </c>
      <c r="U2" s="222" t="s">
        <v>242</v>
      </c>
      <c r="V2" s="222" t="s">
        <v>243</v>
      </c>
      <c r="W2" s="222" t="s">
        <v>244</v>
      </c>
      <c r="X2" s="222" t="s">
        <v>245</v>
      </c>
      <c r="Z2" s="223" t="s">
        <v>79</v>
      </c>
      <c r="AA2" s="222" t="s">
        <v>258</v>
      </c>
      <c r="AC2" s="223" t="s">
        <v>79</v>
      </c>
      <c r="AD2" s="222" t="s">
        <v>12</v>
      </c>
    </row>
    <row r="3" spans="1:30" x14ac:dyDescent="0.25">
      <c r="A3" s="204" t="s">
        <v>197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246</v>
      </c>
      <c r="I3" s="248" t="s">
        <v>248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252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198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247</v>
      </c>
      <c r="I4" s="248" t="s">
        <v>50</v>
      </c>
      <c r="J4" s="4">
        <v>50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254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235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249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261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250</v>
      </c>
      <c r="I6" s="248" t="s">
        <v>53</v>
      </c>
      <c r="J6" s="4">
        <v>150</v>
      </c>
      <c r="K6" s="246">
        <v>2.2000000000000002</v>
      </c>
      <c r="L6" s="4">
        <v>5</v>
      </c>
      <c r="M6" s="4">
        <v>3</v>
      </c>
      <c r="N6" s="4">
        <v>0</v>
      </c>
      <c r="O6" s="4">
        <v>0</v>
      </c>
      <c r="P6" s="4">
        <v>0</v>
      </c>
      <c r="Q6" s="237" t="s">
        <v>253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251</v>
      </c>
      <c r="I7" s="248" t="s">
        <v>55</v>
      </c>
      <c r="J7" s="4">
        <v>1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255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35" priority="33">
      <formula>$C2="Fire"</formula>
    </cfRule>
    <cfRule type="expression" dxfId="34" priority="34">
      <formula>$C2="Water"</formula>
    </cfRule>
    <cfRule type="expression" dxfId="33" priority="35">
      <formula>$C2="Electricity"</formula>
    </cfRule>
    <cfRule type="expression" dxfId="32" priority="36">
      <formula>$C2="Wood"</formula>
    </cfRule>
  </conditionalFormatting>
  <conditionalFormatting sqref="E2:E4">
    <cfRule type="expression" dxfId="31" priority="29">
      <formula>$C2="Fire"</formula>
    </cfRule>
    <cfRule type="expression" dxfId="30" priority="30">
      <formula>$C2="Water"</formula>
    </cfRule>
    <cfRule type="expression" dxfId="29" priority="31">
      <formula>$C2="Electricity"</formula>
    </cfRule>
    <cfRule type="expression" dxfId="28" priority="32">
      <formula>$C2="Wood"</formula>
    </cfRule>
  </conditionalFormatting>
  <conditionalFormatting sqref="J2:P4">
    <cfRule type="expression" dxfId="27" priority="1">
      <formula>$C2="Fire"</formula>
    </cfRule>
    <cfRule type="expression" dxfId="26" priority="2">
      <formula>$C2="Water"</formula>
    </cfRule>
    <cfRule type="expression" dxfId="25" priority="3">
      <formula>$C2="Electricity"</formula>
    </cfRule>
    <cfRule type="expression" dxfId="24" priority="4">
      <formula>$C2="Wood"</formula>
    </cfRule>
  </conditionalFormatting>
  <conditionalFormatting sqref="Q2:Q7">
    <cfRule type="expression" dxfId="23" priority="21">
      <formula>$C2="Fire"</formula>
    </cfRule>
    <cfRule type="expression" dxfId="22" priority="22">
      <formula>$C2="Water"</formula>
    </cfRule>
    <cfRule type="expression" dxfId="21" priority="23">
      <formula>$C2="Electricity"</formula>
    </cfRule>
    <cfRule type="expression" dxfId="20" priority="24">
      <formula>$C2="Wood"</formula>
    </cfRule>
  </conditionalFormatting>
  <conditionalFormatting sqref="T2:X2">
    <cfRule type="expression" dxfId="19" priority="17">
      <formula>$C2="Fire"</formula>
    </cfRule>
    <cfRule type="expression" dxfId="18" priority="18">
      <formula>$C2="Water"</formula>
    </cfRule>
    <cfRule type="expression" dxfId="17" priority="19">
      <formula>$C2="Electricity"</formula>
    </cfRule>
    <cfRule type="expression" dxfId="16" priority="20">
      <formula>$C2="Wood"</formula>
    </cfRule>
  </conditionalFormatting>
  <conditionalFormatting sqref="AA2">
    <cfRule type="expression" dxfId="15" priority="13">
      <formula>$C2="Fire"</formula>
    </cfRule>
    <cfRule type="expression" dxfId="14" priority="14">
      <formula>$C2="Water"</formula>
    </cfRule>
    <cfRule type="expression" dxfId="13" priority="15">
      <formula>$C2="Electricity"</formula>
    </cfRule>
    <cfRule type="expression" dxfId="12" priority="16">
      <formula>$C2="Wood"</formula>
    </cfRule>
  </conditionalFormatting>
  <conditionalFormatting sqref="AD2">
    <cfRule type="expression" dxfId="11" priority="9">
      <formula>$C2="Fire"</formula>
    </cfRule>
    <cfRule type="expression" dxfId="10" priority="10">
      <formula>$C2="Water"</formula>
    </cfRule>
    <cfRule type="expression" dxfId="9" priority="11">
      <formula>$C2="Electricity"</formula>
    </cfRule>
    <cfRule type="expression" dxfId="8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40178-2ED7-468E-9FF6-9FC863E83BD8}">
  <dimension ref="A1:L96"/>
  <sheetViews>
    <sheetView workbookViewId="0">
      <selection activeCell="J18" sqref="J18"/>
    </sheetView>
  </sheetViews>
  <sheetFormatPr baseColWidth="10" defaultRowHeight="15" x14ac:dyDescent="0.25"/>
  <cols>
    <col min="6" max="7" width="15.28515625" customWidth="1"/>
    <col min="8" max="9" width="15.28515625" style="253" customWidth="1"/>
    <col min="11" max="11" width="11.42578125" style="252"/>
  </cols>
  <sheetData>
    <row r="1" spans="1:12" x14ac:dyDescent="0.25">
      <c r="A1" s="257" t="s">
        <v>262</v>
      </c>
      <c r="B1" s="298"/>
      <c r="C1" s="298"/>
      <c r="D1" s="258"/>
      <c r="F1" s="296" t="s">
        <v>277</v>
      </c>
      <c r="G1" s="297"/>
      <c r="H1" s="297"/>
      <c r="I1" s="297"/>
      <c r="J1" s="297"/>
      <c r="K1" s="297"/>
      <c r="L1" s="297"/>
    </row>
    <row r="2" spans="1:12" x14ac:dyDescent="0.25">
      <c r="A2" s="223" t="s">
        <v>83</v>
      </c>
      <c r="B2" s="223" t="s">
        <v>78</v>
      </c>
      <c r="C2" s="247" t="s">
        <v>17</v>
      </c>
      <c r="D2" s="222" t="s">
        <v>12</v>
      </c>
      <c r="F2" s="223" t="s">
        <v>278</v>
      </c>
      <c r="G2" s="223" t="s">
        <v>31</v>
      </c>
      <c r="H2" s="247" t="s">
        <v>282</v>
      </c>
      <c r="I2" s="247" t="s">
        <v>78</v>
      </c>
      <c r="J2" s="247" t="s">
        <v>79</v>
      </c>
      <c r="K2" s="251" t="s">
        <v>279</v>
      </c>
      <c r="L2" s="251" t="s">
        <v>387</v>
      </c>
    </row>
    <row r="3" spans="1:12" x14ac:dyDescent="0.25">
      <c r="A3" s="225">
        <v>1</v>
      </c>
      <c r="B3" s="225" t="s">
        <v>266</v>
      </c>
      <c r="C3" s="250">
        <v>0</v>
      </c>
      <c r="D3" s="4">
        <v>10</v>
      </c>
      <c r="F3" s="225" t="s">
        <v>280</v>
      </c>
      <c r="G3" s="225" t="s">
        <v>97</v>
      </c>
      <c r="H3" s="248" t="s">
        <v>97</v>
      </c>
      <c r="I3" s="248" t="s">
        <v>324</v>
      </c>
      <c r="J3" s="250" t="s">
        <v>325</v>
      </c>
      <c r="K3" s="246">
        <v>10</v>
      </c>
      <c r="L3" s="246"/>
    </row>
    <row r="4" spans="1:12" x14ac:dyDescent="0.25">
      <c r="A4" s="225">
        <v>1</v>
      </c>
      <c r="B4" s="225" t="s">
        <v>266</v>
      </c>
      <c r="C4" s="250">
        <v>1</v>
      </c>
      <c r="D4" s="4">
        <v>10</v>
      </c>
      <c r="F4" s="225" t="s">
        <v>280</v>
      </c>
      <c r="G4" s="225" t="s">
        <v>97</v>
      </c>
      <c r="H4" s="248" t="s">
        <v>317</v>
      </c>
      <c r="I4" s="248" t="s">
        <v>315</v>
      </c>
      <c r="J4" s="250" t="s">
        <v>325</v>
      </c>
      <c r="K4" s="246">
        <v>15</v>
      </c>
      <c r="L4" s="246"/>
    </row>
    <row r="5" spans="1:12" x14ac:dyDescent="0.25">
      <c r="A5" s="225">
        <v>2</v>
      </c>
      <c r="B5" s="225" t="s">
        <v>267</v>
      </c>
      <c r="C5" s="250">
        <v>0</v>
      </c>
      <c r="D5" s="4">
        <v>20</v>
      </c>
      <c r="F5" s="225" t="s">
        <v>280</v>
      </c>
      <c r="G5" s="225" t="s">
        <v>97</v>
      </c>
      <c r="H5" s="248" t="s">
        <v>286</v>
      </c>
      <c r="I5" s="248" t="s">
        <v>287</v>
      </c>
      <c r="J5" s="250" t="s">
        <v>325</v>
      </c>
      <c r="K5" s="246">
        <v>8</v>
      </c>
      <c r="L5" s="246"/>
    </row>
    <row r="6" spans="1:12" x14ac:dyDescent="0.25">
      <c r="A6" s="225">
        <v>2</v>
      </c>
      <c r="B6" s="225" t="s">
        <v>267</v>
      </c>
      <c r="C6" s="250">
        <v>1</v>
      </c>
      <c r="D6" s="4">
        <v>20</v>
      </c>
      <c r="F6" s="225" t="s">
        <v>280</v>
      </c>
      <c r="G6" s="225" t="s">
        <v>97</v>
      </c>
      <c r="H6" s="248" t="s">
        <v>291</v>
      </c>
      <c r="I6" s="248" t="s">
        <v>292</v>
      </c>
      <c r="J6" s="250" t="s">
        <v>325</v>
      </c>
      <c r="K6" s="246">
        <v>8</v>
      </c>
      <c r="L6" s="246"/>
    </row>
    <row r="7" spans="1:12" x14ac:dyDescent="0.25">
      <c r="A7" s="225">
        <v>2</v>
      </c>
      <c r="B7" s="225" t="s">
        <v>267</v>
      </c>
      <c r="C7" s="250">
        <v>2</v>
      </c>
      <c r="D7" s="4">
        <v>20</v>
      </c>
      <c r="F7" s="225" t="s">
        <v>280</v>
      </c>
      <c r="G7" s="225" t="s">
        <v>97</v>
      </c>
      <c r="H7" s="248" t="s">
        <v>97</v>
      </c>
      <c r="I7" s="248" t="s">
        <v>316</v>
      </c>
      <c r="J7" s="250" t="s">
        <v>325</v>
      </c>
      <c r="K7" s="246">
        <v>7</v>
      </c>
      <c r="L7" s="246"/>
    </row>
    <row r="8" spans="1:12" x14ac:dyDescent="0.25">
      <c r="A8" s="225">
        <v>2</v>
      </c>
      <c r="B8" s="225" t="s">
        <v>267</v>
      </c>
      <c r="C8" s="250">
        <v>3</v>
      </c>
      <c r="D8" s="4">
        <v>20</v>
      </c>
      <c r="F8" s="225" t="s">
        <v>280</v>
      </c>
      <c r="G8" s="225" t="s">
        <v>97</v>
      </c>
      <c r="H8" s="248" t="s">
        <v>317</v>
      </c>
      <c r="I8" s="248" t="s">
        <v>283</v>
      </c>
      <c r="J8" s="250" t="s">
        <v>325</v>
      </c>
      <c r="K8" s="246">
        <v>8</v>
      </c>
      <c r="L8" s="246"/>
    </row>
    <row r="9" spans="1:12" x14ac:dyDescent="0.25">
      <c r="A9" s="225">
        <v>3</v>
      </c>
      <c r="B9" s="225" t="s">
        <v>268</v>
      </c>
      <c r="C9" s="250">
        <v>0</v>
      </c>
      <c r="D9" s="4">
        <v>20</v>
      </c>
      <c r="F9" s="225" t="s">
        <v>280</v>
      </c>
      <c r="G9" s="225" t="s">
        <v>97</v>
      </c>
      <c r="H9" s="248" t="s">
        <v>286</v>
      </c>
      <c r="I9" s="248" t="s">
        <v>288</v>
      </c>
      <c r="J9" s="250" t="s">
        <v>325</v>
      </c>
      <c r="K9" s="246">
        <v>5</v>
      </c>
      <c r="L9" s="246"/>
    </row>
    <row r="10" spans="1:12" x14ac:dyDescent="0.25">
      <c r="A10" s="225">
        <v>3</v>
      </c>
      <c r="B10" s="225" t="s">
        <v>268</v>
      </c>
      <c r="C10" s="250">
        <v>1</v>
      </c>
      <c r="D10" s="4">
        <v>20</v>
      </c>
      <c r="F10" s="225" t="s">
        <v>280</v>
      </c>
      <c r="G10" s="225" t="s">
        <v>97</v>
      </c>
      <c r="H10" s="248" t="s">
        <v>291</v>
      </c>
      <c r="I10" s="248" t="s">
        <v>293</v>
      </c>
      <c r="J10" s="250" t="s">
        <v>325</v>
      </c>
      <c r="K10" s="246">
        <v>5</v>
      </c>
      <c r="L10" s="246"/>
    </row>
    <row r="11" spans="1:12" x14ac:dyDescent="0.25">
      <c r="A11" s="225">
        <v>3</v>
      </c>
      <c r="B11" s="225" t="s">
        <v>268</v>
      </c>
      <c r="C11" s="250">
        <v>2</v>
      </c>
      <c r="D11" s="4"/>
      <c r="F11" s="225" t="s">
        <v>280</v>
      </c>
      <c r="G11" s="225" t="s">
        <v>97</v>
      </c>
      <c r="H11" s="248" t="s">
        <v>97</v>
      </c>
      <c r="I11" s="248" t="s">
        <v>326</v>
      </c>
      <c r="J11" s="250" t="s">
        <v>327</v>
      </c>
      <c r="K11" s="246">
        <v>4</v>
      </c>
      <c r="L11" s="246"/>
    </row>
    <row r="12" spans="1:12" x14ac:dyDescent="0.25">
      <c r="A12" s="225">
        <v>3</v>
      </c>
      <c r="B12" s="225" t="s">
        <v>268</v>
      </c>
      <c r="C12" s="250">
        <v>3</v>
      </c>
      <c r="D12" s="4"/>
      <c r="F12" s="225" t="s">
        <v>280</v>
      </c>
      <c r="G12" s="225" t="s">
        <v>97</v>
      </c>
      <c r="H12" s="248" t="s">
        <v>317</v>
      </c>
      <c r="I12" s="248" t="s">
        <v>284</v>
      </c>
      <c r="J12" s="250" t="s">
        <v>327</v>
      </c>
      <c r="K12" s="246">
        <v>4</v>
      </c>
      <c r="L12" s="246"/>
    </row>
    <row r="13" spans="1:12" x14ac:dyDescent="0.25">
      <c r="A13" s="225">
        <v>4</v>
      </c>
      <c r="B13" s="225" t="s">
        <v>269</v>
      </c>
      <c r="C13" s="250">
        <v>0</v>
      </c>
      <c r="D13" s="4"/>
      <c r="F13" s="225" t="s">
        <v>280</v>
      </c>
      <c r="G13" s="225" t="s">
        <v>97</v>
      </c>
      <c r="H13" s="248" t="s">
        <v>286</v>
      </c>
      <c r="I13" s="248" t="s">
        <v>289</v>
      </c>
      <c r="J13" s="250" t="s">
        <v>327</v>
      </c>
      <c r="K13" s="246">
        <v>2.5</v>
      </c>
      <c r="L13" s="246"/>
    </row>
    <row r="14" spans="1:12" x14ac:dyDescent="0.25">
      <c r="A14" s="225">
        <v>4</v>
      </c>
      <c r="B14" s="225" t="s">
        <v>269</v>
      </c>
      <c r="C14" s="250">
        <v>1</v>
      </c>
      <c r="D14" s="4"/>
      <c r="F14" s="225" t="s">
        <v>280</v>
      </c>
      <c r="G14" s="225" t="s">
        <v>97</v>
      </c>
      <c r="H14" s="248" t="s">
        <v>291</v>
      </c>
      <c r="I14" s="248" t="s">
        <v>294</v>
      </c>
      <c r="J14" s="250" t="s">
        <v>327</v>
      </c>
      <c r="K14" s="246">
        <v>2.5</v>
      </c>
      <c r="L14" s="246"/>
    </row>
    <row r="15" spans="1:12" x14ac:dyDescent="0.25">
      <c r="A15" s="225">
        <v>4</v>
      </c>
      <c r="B15" s="225" t="s">
        <v>269</v>
      </c>
      <c r="C15" s="250">
        <v>2</v>
      </c>
      <c r="D15" s="4"/>
      <c r="F15" s="225" t="s">
        <v>280</v>
      </c>
      <c r="G15" s="225" t="s">
        <v>97</v>
      </c>
      <c r="H15" s="248" t="s">
        <v>97</v>
      </c>
      <c r="I15" s="248" t="s">
        <v>329</v>
      </c>
      <c r="J15" s="250" t="s">
        <v>328</v>
      </c>
      <c r="K15" s="246">
        <v>2</v>
      </c>
      <c r="L15" s="246"/>
    </row>
    <row r="16" spans="1:12" x14ac:dyDescent="0.25">
      <c r="A16" s="225">
        <v>4</v>
      </c>
      <c r="B16" s="225" t="s">
        <v>269</v>
      </c>
      <c r="C16" s="250">
        <v>3</v>
      </c>
      <c r="D16" s="4"/>
      <c r="F16" s="225" t="s">
        <v>280</v>
      </c>
      <c r="G16" s="225" t="s">
        <v>97</v>
      </c>
      <c r="H16" s="248" t="s">
        <v>317</v>
      </c>
      <c r="I16" s="248" t="s">
        <v>285</v>
      </c>
      <c r="J16" s="250" t="s">
        <v>328</v>
      </c>
      <c r="K16" s="246">
        <v>3</v>
      </c>
      <c r="L16" s="246"/>
    </row>
    <row r="17" spans="1:12" x14ac:dyDescent="0.25">
      <c r="A17" s="225">
        <v>5</v>
      </c>
      <c r="B17" s="225" t="s">
        <v>270</v>
      </c>
      <c r="C17" s="250">
        <v>0</v>
      </c>
      <c r="D17" s="4"/>
      <c r="F17" s="225" t="s">
        <v>280</v>
      </c>
      <c r="G17" s="225" t="s">
        <v>97</v>
      </c>
      <c r="H17" s="248" t="s">
        <v>286</v>
      </c>
      <c r="I17" s="248" t="s">
        <v>290</v>
      </c>
      <c r="J17" s="250" t="s">
        <v>328</v>
      </c>
      <c r="K17" s="246">
        <v>1.5</v>
      </c>
      <c r="L17" s="246"/>
    </row>
    <row r="18" spans="1:12" x14ac:dyDescent="0.25">
      <c r="A18" s="225">
        <v>5</v>
      </c>
      <c r="B18" s="225" t="s">
        <v>270</v>
      </c>
      <c r="C18" s="250">
        <v>1</v>
      </c>
      <c r="D18" s="4"/>
      <c r="F18" s="225" t="s">
        <v>280</v>
      </c>
      <c r="G18" s="225" t="s">
        <v>97</v>
      </c>
      <c r="H18" s="248" t="s">
        <v>291</v>
      </c>
      <c r="I18" s="248" t="s">
        <v>295</v>
      </c>
      <c r="J18" s="250" t="s">
        <v>328</v>
      </c>
      <c r="K18" s="246">
        <v>1.5</v>
      </c>
      <c r="L18" s="246"/>
    </row>
    <row r="19" spans="1:12" x14ac:dyDescent="0.25">
      <c r="A19" s="225">
        <v>5</v>
      </c>
      <c r="B19" s="225" t="s">
        <v>270</v>
      </c>
      <c r="C19" s="250">
        <v>2</v>
      </c>
      <c r="D19" s="4"/>
      <c r="F19" s="225" t="s">
        <v>280</v>
      </c>
      <c r="G19" s="225" t="s">
        <v>98</v>
      </c>
      <c r="H19" s="248" t="s">
        <v>318</v>
      </c>
      <c r="I19" s="248" t="s">
        <v>323</v>
      </c>
      <c r="J19" s="250" t="s">
        <v>325</v>
      </c>
      <c r="K19" s="246">
        <v>10</v>
      </c>
      <c r="L19" s="246"/>
    </row>
    <row r="20" spans="1:12" x14ac:dyDescent="0.25">
      <c r="A20" s="225">
        <v>5</v>
      </c>
      <c r="B20" s="225" t="s">
        <v>270</v>
      </c>
      <c r="C20" s="250">
        <v>3</v>
      </c>
      <c r="D20" s="4"/>
      <c r="F20" s="225" t="s">
        <v>280</v>
      </c>
      <c r="G20" s="225" t="s">
        <v>98</v>
      </c>
      <c r="H20" s="248" t="s">
        <v>297</v>
      </c>
      <c r="I20" s="248" t="s">
        <v>330</v>
      </c>
      <c r="J20" s="250" t="s">
        <v>325</v>
      </c>
      <c r="K20" s="246">
        <v>10</v>
      </c>
      <c r="L20" s="246"/>
    </row>
    <row r="21" spans="1:12" x14ac:dyDescent="0.25">
      <c r="A21" s="225">
        <v>6</v>
      </c>
      <c r="B21" s="225" t="s">
        <v>271</v>
      </c>
      <c r="C21" s="250">
        <v>0</v>
      </c>
      <c r="D21" s="4"/>
      <c r="F21" s="225" t="s">
        <v>280</v>
      </c>
      <c r="G21" s="225" t="s">
        <v>98</v>
      </c>
      <c r="H21" s="248" t="s">
        <v>319</v>
      </c>
      <c r="I21" s="248" t="s">
        <v>331</v>
      </c>
      <c r="J21" s="250" t="s">
        <v>325</v>
      </c>
      <c r="K21" s="246">
        <v>15</v>
      </c>
      <c r="L21" s="246"/>
    </row>
    <row r="22" spans="1:12" x14ac:dyDescent="0.25">
      <c r="A22" s="225">
        <v>6</v>
      </c>
      <c r="B22" s="225" t="s">
        <v>271</v>
      </c>
      <c r="C22" s="250">
        <v>1</v>
      </c>
      <c r="D22" s="4"/>
      <c r="F22" s="225" t="s">
        <v>280</v>
      </c>
      <c r="G22" s="225" t="s">
        <v>98</v>
      </c>
      <c r="H22" s="248" t="s">
        <v>320</v>
      </c>
      <c r="I22" s="248" t="s">
        <v>332</v>
      </c>
      <c r="J22" s="250" t="s">
        <v>325</v>
      </c>
      <c r="K22" s="246">
        <v>8</v>
      </c>
      <c r="L22" s="246"/>
    </row>
    <row r="23" spans="1:12" x14ac:dyDescent="0.25">
      <c r="A23" s="225">
        <v>6</v>
      </c>
      <c r="B23" s="225" t="s">
        <v>271</v>
      </c>
      <c r="C23" s="250">
        <v>2</v>
      </c>
      <c r="D23" s="4"/>
      <c r="F23" s="225" t="s">
        <v>280</v>
      </c>
      <c r="G23" s="225" t="s">
        <v>98</v>
      </c>
      <c r="H23" s="248" t="s">
        <v>321</v>
      </c>
      <c r="I23" s="248" t="s">
        <v>302</v>
      </c>
      <c r="J23" s="250" t="s">
        <v>325</v>
      </c>
      <c r="K23" s="246">
        <v>8</v>
      </c>
      <c r="L23" s="246"/>
    </row>
    <row r="24" spans="1:12" x14ac:dyDescent="0.25">
      <c r="A24" s="225">
        <v>6</v>
      </c>
      <c r="B24" s="225" t="s">
        <v>271</v>
      </c>
      <c r="C24" s="250">
        <v>3</v>
      </c>
      <c r="D24" s="4"/>
      <c r="F24" s="225" t="s">
        <v>280</v>
      </c>
      <c r="G24" s="225" t="s">
        <v>98</v>
      </c>
      <c r="H24" s="248" t="s">
        <v>322</v>
      </c>
      <c r="I24" s="248" t="s">
        <v>303</v>
      </c>
      <c r="J24" s="250" t="s">
        <v>325</v>
      </c>
      <c r="K24" s="246">
        <v>12</v>
      </c>
      <c r="L24" s="246"/>
    </row>
    <row r="25" spans="1:12" x14ac:dyDescent="0.25">
      <c r="A25" s="225">
        <v>7</v>
      </c>
      <c r="B25" s="225" t="s">
        <v>272</v>
      </c>
      <c r="C25" s="250">
        <v>0</v>
      </c>
      <c r="D25" s="4"/>
      <c r="F25" s="225" t="s">
        <v>280</v>
      </c>
      <c r="G25" s="225" t="s">
        <v>98</v>
      </c>
      <c r="H25" s="248" t="s">
        <v>318</v>
      </c>
      <c r="I25" s="248" t="s">
        <v>296</v>
      </c>
      <c r="J25" s="250" t="s">
        <v>325</v>
      </c>
      <c r="K25" s="246">
        <v>7</v>
      </c>
      <c r="L25" s="246"/>
    </row>
    <row r="26" spans="1:12" x14ac:dyDescent="0.25">
      <c r="A26" s="225">
        <v>7</v>
      </c>
      <c r="B26" s="225" t="s">
        <v>272</v>
      </c>
      <c r="C26" s="250">
        <v>1</v>
      </c>
      <c r="D26" s="4"/>
      <c r="F26" s="225" t="s">
        <v>280</v>
      </c>
      <c r="G26" s="225" t="s">
        <v>98</v>
      </c>
      <c r="H26" s="248" t="s">
        <v>297</v>
      </c>
      <c r="I26" s="248" t="s">
        <v>298</v>
      </c>
      <c r="J26" s="250" t="s">
        <v>325</v>
      </c>
      <c r="K26" s="246">
        <v>7</v>
      </c>
      <c r="L26" s="246"/>
    </row>
    <row r="27" spans="1:12" x14ac:dyDescent="0.25">
      <c r="A27" s="225">
        <v>7</v>
      </c>
      <c r="B27" s="225" t="s">
        <v>272</v>
      </c>
      <c r="C27" s="250">
        <v>2</v>
      </c>
      <c r="D27" s="4"/>
      <c r="F27" s="225" t="s">
        <v>280</v>
      </c>
      <c r="G27" s="225" t="s">
        <v>98</v>
      </c>
      <c r="H27" s="248" t="s">
        <v>319</v>
      </c>
      <c r="I27" s="248" t="s">
        <v>333</v>
      </c>
      <c r="J27" s="250" t="s">
        <v>325</v>
      </c>
      <c r="K27" s="246">
        <v>8</v>
      </c>
      <c r="L27" s="246"/>
    </row>
    <row r="28" spans="1:12" x14ac:dyDescent="0.25">
      <c r="A28" s="225">
        <v>7</v>
      </c>
      <c r="B28" s="225" t="s">
        <v>272</v>
      </c>
      <c r="C28" s="250">
        <v>3</v>
      </c>
      <c r="D28" s="4"/>
      <c r="F28" s="225" t="s">
        <v>280</v>
      </c>
      <c r="G28" s="225" t="s">
        <v>98</v>
      </c>
      <c r="H28" s="248" t="s">
        <v>320</v>
      </c>
      <c r="I28" s="248" t="s">
        <v>334</v>
      </c>
      <c r="J28" s="250" t="s">
        <v>325</v>
      </c>
      <c r="K28" s="246">
        <v>5</v>
      </c>
      <c r="L28" s="246"/>
    </row>
    <row r="29" spans="1:12" x14ac:dyDescent="0.25">
      <c r="A29" s="225">
        <v>8</v>
      </c>
      <c r="B29" s="250" t="s">
        <v>273</v>
      </c>
      <c r="C29" s="250">
        <v>0</v>
      </c>
      <c r="D29" s="4"/>
      <c r="F29" s="225" t="s">
        <v>280</v>
      </c>
      <c r="G29" s="225" t="s">
        <v>98</v>
      </c>
      <c r="H29" s="248" t="s">
        <v>321</v>
      </c>
      <c r="I29" s="248" t="s">
        <v>335</v>
      </c>
      <c r="J29" s="250" t="s">
        <v>325</v>
      </c>
      <c r="K29" s="246">
        <v>5</v>
      </c>
      <c r="L29" s="246"/>
    </row>
    <row r="30" spans="1:12" x14ac:dyDescent="0.25">
      <c r="A30" s="225">
        <v>8</v>
      </c>
      <c r="B30" s="250" t="s">
        <v>273</v>
      </c>
      <c r="C30" s="250">
        <v>1</v>
      </c>
      <c r="D30" s="4"/>
      <c r="F30" s="225" t="s">
        <v>280</v>
      </c>
      <c r="G30" s="225" t="s">
        <v>98</v>
      </c>
      <c r="H30" s="248" t="s">
        <v>322</v>
      </c>
      <c r="I30" s="248" t="s">
        <v>336</v>
      </c>
      <c r="J30" s="250" t="s">
        <v>325</v>
      </c>
      <c r="K30" s="246">
        <v>7</v>
      </c>
      <c r="L30" s="246"/>
    </row>
    <row r="31" spans="1:12" x14ac:dyDescent="0.25">
      <c r="A31" s="225">
        <v>8</v>
      </c>
      <c r="B31" s="250" t="s">
        <v>273</v>
      </c>
      <c r="C31" s="250">
        <v>2</v>
      </c>
      <c r="D31" s="4"/>
      <c r="F31" s="225" t="s">
        <v>280</v>
      </c>
      <c r="G31" s="225" t="s">
        <v>98</v>
      </c>
      <c r="H31" s="248" t="s">
        <v>318</v>
      </c>
      <c r="I31" s="248" t="s">
        <v>337</v>
      </c>
      <c r="J31" s="250" t="s">
        <v>327</v>
      </c>
      <c r="K31" s="246">
        <v>4</v>
      </c>
      <c r="L31" s="246"/>
    </row>
    <row r="32" spans="1:12" x14ac:dyDescent="0.25">
      <c r="A32" s="225">
        <v>8</v>
      </c>
      <c r="B32" s="250" t="s">
        <v>273</v>
      </c>
      <c r="C32" s="250">
        <v>3</v>
      </c>
      <c r="D32" s="4"/>
      <c r="F32" s="225" t="s">
        <v>280</v>
      </c>
      <c r="G32" s="225" t="s">
        <v>98</v>
      </c>
      <c r="H32" s="248" t="s">
        <v>297</v>
      </c>
      <c r="I32" s="248" t="s">
        <v>338</v>
      </c>
      <c r="J32" s="250" t="s">
        <v>327</v>
      </c>
      <c r="K32" s="246">
        <v>4</v>
      </c>
      <c r="L32" s="246"/>
    </row>
    <row r="33" spans="1:12" x14ac:dyDescent="0.25">
      <c r="A33" s="225">
        <v>9</v>
      </c>
      <c r="B33" s="250" t="s">
        <v>274</v>
      </c>
      <c r="C33" s="250">
        <v>0</v>
      </c>
      <c r="D33" s="4"/>
      <c r="F33" s="225" t="s">
        <v>280</v>
      </c>
      <c r="G33" s="225" t="s">
        <v>98</v>
      </c>
      <c r="H33" s="248" t="s">
        <v>319</v>
      </c>
      <c r="I33" s="248" t="s">
        <v>339</v>
      </c>
      <c r="J33" s="250" t="s">
        <v>327</v>
      </c>
      <c r="K33" s="246">
        <v>4</v>
      </c>
      <c r="L33" s="246"/>
    </row>
    <row r="34" spans="1:12" x14ac:dyDescent="0.25">
      <c r="A34" s="225">
        <v>9</v>
      </c>
      <c r="B34" s="250" t="s">
        <v>274</v>
      </c>
      <c r="C34" s="250">
        <v>1</v>
      </c>
      <c r="D34" s="4"/>
      <c r="F34" s="225" t="s">
        <v>280</v>
      </c>
      <c r="G34" s="225" t="s">
        <v>98</v>
      </c>
      <c r="H34" s="248" t="s">
        <v>320</v>
      </c>
      <c r="I34" s="248" t="s">
        <v>300</v>
      </c>
      <c r="J34" s="250" t="s">
        <v>327</v>
      </c>
      <c r="K34" s="246">
        <v>2.5</v>
      </c>
      <c r="L34" s="246"/>
    </row>
    <row r="35" spans="1:12" x14ac:dyDescent="0.25">
      <c r="A35" s="225">
        <v>9</v>
      </c>
      <c r="B35" s="250" t="s">
        <v>274</v>
      </c>
      <c r="C35" s="250">
        <v>2</v>
      </c>
      <c r="D35" s="4"/>
      <c r="F35" s="225" t="s">
        <v>280</v>
      </c>
      <c r="G35" s="225" t="s">
        <v>98</v>
      </c>
      <c r="H35" s="248" t="s">
        <v>321</v>
      </c>
      <c r="I35" s="248" t="s">
        <v>340</v>
      </c>
      <c r="J35" s="250" t="s">
        <v>327</v>
      </c>
      <c r="K35" s="246">
        <v>2.5</v>
      </c>
      <c r="L35" s="246"/>
    </row>
    <row r="36" spans="1:12" x14ac:dyDescent="0.25">
      <c r="A36" s="225">
        <v>9</v>
      </c>
      <c r="B36" s="250" t="s">
        <v>274</v>
      </c>
      <c r="C36" s="250">
        <v>3</v>
      </c>
      <c r="D36" s="4"/>
      <c r="F36" s="225" t="s">
        <v>280</v>
      </c>
      <c r="G36" s="225" t="s">
        <v>98</v>
      </c>
      <c r="H36" s="248" t="s">
        <v>322</v>
      </c>
      <c r="I36" s="248" t="s">
        <v>304</v>
      </c>
      <c r="J36" s="250" t="s">
        <v>327</v>
      </c>
      <c r="K36" s="246">
        <v>5</v>
      </c>
      <c r="L36" s="246"/>
    </row>
    <row r="37" spans="1:12" x14ac:dyDescent="0.25">
      <c r="A37" s="225">
        <v>10</v>
      </c>
      <c r="B37" s="250" t="s">
        <v>275</v>
      </c>
      <c r="C37" s="250">
        <v>0</v>
      </c>
      <c r="D37" s="4"/>
      <c r="F37" s="225" t="s">
        <v>280</v>
      </c>
      <c r="G37" s="225" t="s">
        <v>98</v>
      </c>
      <c r="H37" s="248" t="s">
        <v>318</v>
      </c>
      <c r="I37" s="248" t="s">
        <v>341</v>
      </c>
      <c r="J37" s="250" t="s">
        <v>328</v>
      </c>
      <c r="K37" s="246">
        <v>2</v>
      </c>
      <c r="L37" s="246"/>
    </row>
    <row r="38" spans="1:12" x14ac:dyDescent="0.25">
      <c r="A38" s="225">
        <v>10</v>
      </c>
      <c r="B38" s="250" t="s">
        <v>275</v>
      </c>
      <c r="C38" s="250">
        <v>1</v>
      </c>
      <c r="D38" s="4"/>
      <c r="F38" s="225" t="s">
        <v>280</v>
      </c>
      <c r="G38" s="225" t="s">
        <v>98</v>
      </c>
      <c r="H38" s="248" t="s">
        <v>297</v>
      </c>
      <c r="I38" s="248" t="s">
        <v>299</v>
      </c>
      <c r="J38" s="250" t="s">
        <v>328</v>
      </c>
      <c r="K38" s="246">
        <v>2</v>
      </c>
      <c r="L38" s="246"/>
    </row>
    <row r="39" spans="1:12" x14ac:dyDescent="0.25">
      <c r="A39" s="225">
        <v>10</v>
      </c>
      <c r="B39" s="250" t="s">
        <v>275</v>
      </c>
      <c r="C39" s="250">
        <v>2</v>
      </c>
      <c r="D39" s="4"/>
      <c r="F39" s="225" t="s">
        <v>280</v>
      </c>
      <c r="G39" s="225" t="s">
        <v>98</v>
      </c>
      <c r="H39" s="248" t="s">
        <v>319</v>
      </c>
      <c r="I39" s="248" t="s">
        <v>342</v>
      </c>
      <c r="J39" s="250" t="s">
        <v>328</v>
      </c>
      <c r="K39" s="246">
        <v>3</v>
      </c>
      <c r="L39" s="246"/>
    </row>
    <row r="40" spans="1:12" x14ac:dyDescent="0.25">
      <c r="A40" s="225">
        <v>10</v>
      </c>
      <c r="B40" s="250" t="s">
        <v>275</v>
      </c>
      <c r="C40" s="250">
        <v>3</v>
      </c>
      <c r="D40" s="4"/>
      <c r="F40" s="225" t="s">
        <v>280</v>
      </c>
      <c r="G40" s="225" t="s">
        <v>98</v>
      </c>
      <c r="H40" s="248" t="s">
        <v>320</v>
      </c>
      <c r="I40" s="248" t="s">
        <v>301</v>
      </c>
      <c r="J40" s="250" t="s">
        <v>328</v>
      </c>
      <c r="K40" s="246">
        <v>1.5</v>
      </c>
      <c r="L40" s="246"/>
    </row>
    <row r="41" spans="1:12" x14ac:dyDescent="0.25">
      <c r="A41" s="225">
        <v>11</v>
      </c>
      <c r="B41" s="250" t="s">
        <v>276</v>
      </c>
      <c r="C41" s="250">
        <v>0</v>
      </c>
      <c r="D41" s="4"/>
      <c r="F41" s="225" t="s">
        <v>280</v>
      </c>
      <c r="G41" s="225" t="s">
        <v>98</v>
      </c>
      <c r="H41" s="248" t="s">
        <v>321</v>
      </c>
      <c r="I41" s="248" t="s">
        <v>343</v>
      </c>
      <c r="J41" s="250" t="s">
        <v>328</v>
      </c>
      <c r="K41" s="246">
        <v>1.5</v>
      </c>
      <c r="L41" s="246"/>
    </row>
    <row r="42" spans="1:12" x14ac:dyDescent="0.25">
      <c r="A42" s="225">
        <v>11</v>
      </c>
      <c r="B42" s="250" t="s">
        <v>276</v>
      </c>
      <c r="C42" s="250">
        <v>1</v>
      </c>
      <c r="D42" s="4"/>
      <c r="F42" s="225" t="s">
        <v>280</v>
      </c>
      <c r="G42" s="225" t="s">
        <v>98</v>
      </c>
      <c r="H42" s="248" t="s">
        <v>322</v>
      </c>
      <c r="I42" s="248" t="s">
        <v>344</v>
      </c>
      <c r="J42" s="250" t="s">
        <v>328</v>
      </c>
      <c r="K42" s="246">
        <v>3</v>
      </c>
      <c r="L42" s="246"/>
    </row>
    <row r="43" spans="1:12" x14ac:dyDescent="0.25">
      <c r="A43" s="225">
        <v>11</v>
      </c>
      <c r="B43" s="250" t="s">
        <v>276</v>
      </c>
      <c r="C43" s="250">
        <v>2</v>
      </c>
      <c r="D43" s="4"/>
      <c r="F43" s="225" t="s">
        <v>281</v>
      </c>
      <c r="G43" s="225" t="s">
        <v>345</v>
      </c>
      <c r="H43" s="248" t="s">
        <v>348</v>
      </c>
      <c r="I43" s="248" t="s">
        <v>359</v>
      </c>
      <c r="J43" s="250" t="s">
        <v>325</v>
      </c>
      <c r="K43" s="246">
        <v>25</v>
      </c>
      <c r="L43" s="246"/>
    </row>
    <row r="44" spans="1:12" x14ac:dyDescent="0.25">
      <c r="A44" s="225">
        <v>11</v>
      </c>
      <c r="B44" s="250" t="s">
        <v>276</v>
      </c>
      <c r="C44" s="250">
        <v>3</v>
      </c>
      <c r="D44" s="4"/>
      <c r="F44" s="225" t="s">
        <v>281</v>
      </c>
      <c r="G44" s="225" t="s">
        <v>345</v>
      </c>
      <c r="H44" s="248" t="s">
        <v>305</v>
      </c>
      <c r="I44" s="248" t="s">
        <v>357</v>
      </c>
      <c r="J44" s="250" t="s">
        <v>325</v>
      </c>
      <c r="K44" s="246">
        <v>15</v>
      </c>
      <c r="L44" s="246"/>
    </row>
    <row r="45" spans="1:12" x14ac:dyDescent="0.25">
      <c r="F45" s="225" t="s">
        <v>281</v>
      </c>
      <c r="G45" s="225" t="s">
        <v>345</v>
      </c>
      <c r="H45" s="248" t="s">
        <v>349</v>
      </c>
      <c r="I45" s="248" t="s">
        <v>307</v>
      </c>
      <c r="J45" s="250" t="s">
        <v>325</v>
      </c>
      <c r="K45" s="246">
        <v>30</v>
      </c>
      <c r="L45" s="246"/>
    </row>
    <row r="46" spans="1:12" x14ac:dyDescent="0.25">
      <c r="F46" s="225" t="s">
        <v>281</v>
      </c>
      <c r="G46" s="225" t="s">
        <v>345</v>
      </c>
      <c r="H46" s="248" t="s">
        <v>350</v>
      </c>
      <c r="I46" s="248" t="s">
        <v>310</v>
      </c>
      <c r="J46" s="250" t="s">
        <v>325</v>
      </c>
      <c r="K46" s="246">
        <v>30</v>
      </c>
      <c r="L46" s="246"/>
    </row>
    <row r="47" spans="1:12" x14ac:dyDescent="0.25">
      <c r="F47" s="225" t="s">
        <v>281</v>
      </c>
      <c r="G47" s="225" t="s">
        <v>345</v>
      </c>
      <c r="H47" s="248" t="s">
        <v>351</v>
      </c>
      <c r="I47" s="248" t="s">
        <v>358</v>
      </c>
      <c r="J47" s="250" t="s">
        <v>325</v>
      </c>
      <c r="K47" s="246">
        <v>30</v>
      </c>
      <c r="L47" s="246"/>
    </row>
    <row r="48" spans="1:12" x14ac:dyDescent="0.25">
      <c r="F48" s="225" t="s">
        <v>281</v>
      </c>
      <c r="G48" s="225" t="s">
        <v>345</v>
      </c>
      <c r="H48" s="248" t="s">
        <v>348</v>
      </c>
      <c r="I48" s="248" t="s">
        <v>360</v>
      </c>
      <c r="J48" s="250" t="s">
        <v>325</v>
      </c>
      <c r="K48" s="246">
        <v>8</v>
      </c>
      <c r="L48" s="246"/>
    </row>
    <row r="49" spans="6:12" x14ac:dyDescent="0.25">
      <c r="F49" s="225" t="s">
        <v>281</v>
      </c>
      <c r="G49" s="225" t="s">
        <v>345</v>
      </c>
      <c r="H49" s="248" t="s">
        <v>305</v>
      </c>
      <c r="I49" s="248" t="s">
        <v>361</v>
      </c>
      <c r="J49" s="250" t="s">
        <v>325</v>
      </c>
      <c r="K49" s="246">
        <v>10</v>
      </c>
      <c r="L49" s="246"/>
    </row>
    <row r="50" spans="6:12" x14ac:dyDescent="0.25">
      <c r="F50" s="225" t="s">
        <v>281</v>
      </c>
      <c r="G50" s="225" t="s">
        <v>345</v>
      </c>
      <c r="H50" s="248" t="s">
        <v>349</v>
      </c>
      <c r="I50" s="248" t="s">
        <v>364</v>
      </c>
      <c r="J50" s="250" t="s">
        <v>325</v>
      </c>
      <c r="K50" s="246">
        <v>10</v>
      </c>
      <c r="L50" s="246"/>
    </row>
    <row r="51" spans="6:12" x14ac:dyDescent="0.25">
      <c r="F51" s="225" t="s">
        <v>281</v>
      </c>
      <c r="G51" s="225" t="s">
        <v>345</v>
      </c>
      <c r="H51" s="248" t="s">
        <v>350</v>
      </c>
      <c r="I51" s="248" t="s">
        <v>362</v>
      </c>
      <c r="J51" s="250" t="s">
        <v>325</v>
      </c>
      <c r="K51" s="246">
        <v>30</v>
      </c>
      <c r="L51" s="246"/>
    </row>
    <row r="52" spans="6:12" x14ac:dyDescent="0.25">
      <c r="F52" s="225" t="s">
        <v>281</v>
      </c>
      <c r="G52" s="225" t="s">
        <v>345</v>
      </c>
      <c r="H52" s="248" t="s">
        <v>351</v>
      </c>
      <c r="I52" s="248" t="s">
        <v>363</v>
      </c>
      <c r="J52" s="250" t="s">
        <v>325</v>
      </c>
      <c r="K52" s="246">
        <v>30</v>
      </c>
      <c r="L52" s="246"/>
    </row>
    <row r="53" spans="6:12" x14ac:dyDescent="0.25">
      <c r="F53" s="225" t="s">
        <v>281</v>
      </c>
      <c r="G53" s="225" t="s">
        <v>345</v>
      </c>
      <c r="H53" s="248" t="s">
        <v>312</v>
      </c>
      <c r="I53" s="248" t="s">
        <v>313</v>
      </c>
      <c r="J53" s="250" t="s">
        <v>325</v>
      </c>
      <c r="K53" s="246">
        <v>8</v>
      </c>
      <c r="L53" s="246"/>
    </row>
    <row r="54" spans="6:12" x14ac:dyDescent="0.25">
      <c r="F54" s="225" t="s">
        <v>281</v>
      </c>
      <c r="G54" s="225" t="s">
        <v>345</v>
      </c>
      <c r="H54" s="248" t="s">
        <v>352</v>
      </c>
      <c r="I54" s="248" t="s">
        <v>365</v>
      </c>
      <c r="J54" s="250" t="s">
        <v>325</v>
      </c>
      <c r="K54" s="246">
        <v>8</v>
      </c>
      <c r="L54" s="246"/>
    </row>
    <row r="55" spans="6:12" x14ac:dyDescent="0.25">
      <c r="F55" s="225" t="s">
        <v>281</v>
      </c>
      <c r="G55" s="225" t="s">
        <v>345</v>
      </c>
      <c r="H55" s="248" t="s">
        <v>353</v>
      </c>
      <c r="I55" s="248" t="s">
        <v>314</v>
      </c>
      <c r="J55" s="250" t="s">
        <v>325</v>
      </c>
      <c r="K55" s="246">
        <v>50</v>
      </c>
      <c r="L55" s="246"/>
    </row>
    <row r="56" spans="6:12" x14ac:dyDescent="0.25">
      <c r="F56" s="225" t="s">
        <v>281</v>
      </c>
      <c r="G56" s="225" t="s">
        <v>345</v>
      </c>
      <c r="H56" s="248" t="s">
        <v>376</v>
      </c>
      <c r="I56" s="248" t="s">
        <v>366</v>
      </c>
      <c r="J56" s="250" t="s">
        <v>325</v>
      </c>
      <c r="K56" s="246">
        <v>50</v>
      </c>
      <c r="L56" s="246"/>
    </row>
    <row r="57" spans="6:12" x14ac:dyDescent="0.25">
      <c r="F57" s="225" t="s">
        <v>281</v>
      </c>
      <c r="G57" s="225" t="s">
        <v>345</v>
      </c>
      <c r="H57" s="248" t="s">
        <v>354</v>
      </c>
      <c r="I57" s="248" t="s">
        <v>367</v>
      </c>
      <c r="J57" s="250" t="s">
        <v>325</v>
      </c>
      <c r="K57" s="246">
        <v>50</v>
      </c>
      <c r="L57" s="246"/>
    </row>
    <row r="58" spans="6:12" x14ac:dyDescent="0.25">
      <c r="F58" s="225" t="s">
        <v>281</v>
      </c>
      <c r="G58" s="225" t="s">
        <v>345</v>
      </c>
      <c r="H58" s="248" t="s">
        <v>355</v>
      </c>
      <c r="I58" s="248" t="s">
        <v>368</v>
      </c>
      <c r="J58" s="250" t="s">
        <v>325</v>
      </c>
      <c r="K58" s="246">
        <v>15</v>
      </c>
      <c r="L58" s="246"/>
    </row>
    <row r="59" spans="6:12" x14ac:dyDescent="0.25">
      <c r="F59" s="225" t="s">
        <v>281</v>
      </c>
      <c r="G59" s="225" t="s">
        <v>345</v>
      </c>
      <c r="H59" s="248" t="s">
        <v>356</v>
      </c>
      <c r="I59" s="248" t="s">
        <v>369</v>
      </c>
      <c r="J59" s="250" t="s">
        <v>325</v>
      </c>
      <c r="K59" s="246">
        <v>3</v>
      </c>
      <c r="L59" s="246" t="s">
        <v>370</v>
      </c>
    </row>
    <row r="60" spans="6:12" x14ac:dyDescent="0.25">
      <c r="F60" s="225" t="s">
        <v>281</v>
      </c>
      <c r="G60" s="225" t="s">
        <v>345</v>
      </c>
      <c r="H60" s="248" t="s">
        <v>348</v>
      </c>
      <c r="I60" s="248" t="s">
        <v>377</v>
      </c>
      <c r="J60" s="250" t="s">
        <v>327</v>
      </c>
      <c r="K60" s="246">
        <v>4</v>
      </c>
      <c r="L60" s="246"/>
    </row>
    <row r="61" spans="6:12" x14ac:dyDescent="0.25">
      <c r="F61" s="225" t="s">
        <v>281</v>
      </c>
      <c r="G61" s="225" t="s">
        <v>345</v>
      </c>
      <c r="H61" s="248" t="s">
        <v>305</v>
      </c>
      <c r="I61" s="248" t="s">
        <v>378</v>
      </c>
      <c r="J61" s="250" t="s">
        <v>327</v>
      </c>
      <c r="K61" s="246">
        <v>5</v>
      </c>
      <c r="L61" s="246"/>
    </row>
    <row r="62" spans="6:12" x14ac:dyDescent="0.25">
      <c r="F62" s="225" t="s">
        <v>281</v>
      </c>
      <c r="G62" s="225" t="s">
        <v>345</v>
      </c>
      <c r="H62" s="248" t="s">
        <v>349</v>
      </c>
      <c r="I62" s="248" t="s">
        <v>308</v>
      </c>
      <c r="J62" s="250" t="s">
        <v>327</v>
      </c>
      <c r="K62" s="246">
        <v>5</v>
      </c>
      <c r="L62" s="246"/>
    </row>
    <row r="63" spans="6:12" x14ac:dyDescent="0.25">
      <c r="F63" s="225" t="s">
        <v>281</v>
      </c>
      <c r="G63" s="225" t="s">
        <v>345</v>
      </c>
      <c r="H63" s="248" t="s">
        <v>350</v>
      </c>
      <c r="I63" s="248" t="s">
        <v>379</v>
      </c>
      <c r="J63" s="250" t="s">
        <v>327</v>
      </c>
      <c r="K63" s="246">
        <v>10</v>
      </c>
      <c r="L63" s="246"/>
    </row>
    <row r="64" spans="6:12" x14ac:dyDescent="0.25">
      <c r="F64" s="225" t="s">
        <v>281</v>
      </c>
      <c r="G64" s="225" t="s">
        <v>345</v>
      </c>
      <c r="H64" s="248" t="s">
        <v>351</v>
      </c>
      <c r="I64" s="248" t="s">
        <v>311</v>
      </c>
      <c r="J64" s="250" t="s">
        <v>327</v>
      </c>
      <c r="K64" s="246">
        <v>10</v>
      </c>
      <c r="L64" s="246"/>
    </row>
    <row r="65" spans="6:12" x14ac:dyDescent="0.25">
      <c r="F65" s="225" t="s">
        <v>281</v>
      </c>
      <c r="G65" s="225" t="s">
        <v>345</v>
      </c>
      <c r="H65" s="248" t="s">
        <v>312</v>
      </c>
      <c r="I65" s="248" t="s">
        <v>313</v>
      </c>
      <c r="J65" s="250" t="s">
        <v>327</v>
      </c>
      <c r="K65" s="246">
        <v>5</v>
      </c>
      <c r="L65" s="246"/>
    </row>
    <row r="66" spans="6:12" x14ac:dyDescent="0.25">
      <c r="F66" s="225" t="s">
        <v>281</v>
      </c>
      <c r="G66" s="225" t="s">
        <v>345</v>
      </c>
      <c r="H66" s="248" t="s">
        <v>352</v>
      </c>
      <c r="I66" s="248" t="s">
        <v>365</v>
      </c>
      <c r="J66" s="250" t="s">
        <v>327</v>
      </c>
      <c r="K66" s="246">
        <v>5</v>
      </c>
      <c r="L66" s="246"/>
    </row>
    <row r="67" spans="6:12" x14ac:dyDescent="0.25">
      <c r="F67" s="225" t="s">
        <v>281</v>
      </c>
      <c r="G67" s="225" t="s">
        <v>345</v>
      </c>
      <c r="H67" s="248" t="s">
        <v>353</v>
      </c>
      <c r="I67" s="248" t="s">
        <v>314</v>
      </c>
      <c r="J67" s="250" t="s">
        <v>327</v>
      </c>
      <c r="K67" s="246">
        <v>25</v>
      </c>
      <c r="L67" s="246"/>
    </row>
    <row r="68" spans="6:12" x14ac:dyDescent="0.25">
      <c r="F68" s="225" t="s">
        <v>281</v>
      </c>
      <c r="G68" s="225" t="s">
        <v>345</v>
      </c>
      <c r="H68" s="248" t="s">
        <v>376</v>
      </c>
      <c r="I68" s="248" t="s">
        <v>366</v>
      </c>
      <c r="J68" s="250" t="s">
        <v>327</v>
      </c>
      <c r="K68" s="246">
        <v>25</v>
      </c>
      <c r="L68" s="246"/>
    </row>
    <row r="69" spans="6:12" x14ac:dyDescent="0.25">
      <c r="F69" s="225" t="s">
        <v>281</v>
      </c>
      <c r="G69" s="225" t="s">
        <v>345</v>
      </c>
      <c r="H69" s="248" t="s">
        <v>354</v>
      </c>
      <c r="I69" s="248" t="s">
        <v>367</v>
      </c>
      <c r="J69" s="250" t="s">
        <v>327</v>
      </c>
      <c r="K69" s="246">
        <v>25</v>
      </c>
      <c r="L69" s="246"/>
    </row>
    <row r="70" spans="6:12" x14ac:dyDescent="0.25">
      <c r="F70" s="225" t="s">
        <v>281</v>
      </c>
      <c r="G70" s="225" t="s">
        <v>345</v>
      </c>
      <c r="H70" s="248" t="s">
        <v>355</v>
      </c>
      <c r="I70" s="248" t="s">
        <v>368</v>
      </c>
      <c r="J70" s="250" t="s">
        <v>327</v>
      </c>
      <c r="K70" s="246">
        <v>10</v>
      </c>
      <c r="L70" s="246"/>
    </row>
    <row r="71" spans="6:12" x14ac:dyDescent="0.25">
      <c r="F71" s="225" t="s">
        <v>281</v>
      </c>
      <c r="G71" s="225" t="s">
        <v>345</v>
      </c>
      <c r="H71" s="248" t="s">
        <v>356</v>
      </c>
      <c r="I71" s="248" t="s">
        <v>369</v>
      </c>
      <c r="J71" s="250" t="s">
        <v>327</v>
      </c>
      <c r="K71" s="246">
        <v>2</v>
      </c>
      <c r="L71" s="246" t="s">
        <v>370</v>
      </c>
    </row>
    <row r="72" spans="6:12" x14ac:dyDescent="0.25">
      <c r="F72" s="225" t="s">
        <v>281</v>
      </c>
      <c r="G72" s="225" t="s">
        <v>345</v>
      </c>
      <c r="H72" s="248" t="s">
        <v>348</v>
      </c>
      <c r="I72" s="248" t="s">
        <v>380</v>
      </c>
      <c r="J72" s="250" t="s">
        <v>328</v>
      </c>
      <c r="K72" s="246">
        <v>2</v>
      </c>
      <c r="L72" s="246"/>
    </row>
    <row r="73" spans="6:12" x14ac:dyDescent="0.25">
      <c r="F73" s="225" t="s">
        <v>281</v>
      </c>
      <c r="G73" s="225" t="s">
        <v>345</v>
      </c>
      <c r="H73" s="248" t="s">
        <v>305</v>
      </c>
      <c r="I73" s="248" t="s">
        <v>306</v>
      </c>
      <c r="J73" s="250" t="s">
        <v>328</v>
      </c>
      <c r="K73" s="246">
        <v>3</v>
      </c>
      <c r="L73" s="246"/>
    </row>
    <row r="74" spans="6:12" x14ac:dyDescent="0.25">
      <c r="F74" s="225" t="s">
        <v>281</v>
      </c>
      <c r="G74" s="225" t="s">
        <v>345</v>
      </c>
      <c r="H74" s="248" t="s">
        <v>349</v>
      </c>
      <c r="I74" s="248" t="s">
        <v>309</v>
      </c>
      <c r="J74" s="250" t="s">
        <v>328</v>
      </c>
      <c r="K74" s="246">
        <v>3</v>
      </c>
      <c r="L74" s="246"/>
    </row>
    <row r="75" spans="6:12" x14ac:dyDescent="0.25">
      <c r="F75" s="225" t="s">
        <v>281</v>
      </c>
      <c r="G75" s="225" t="s">
        <v>345</v>
      </c>
      <c r="H75" s="248" t="s">
        <v>350</v>
      </c>
      <c r="I75" s="248" t="s">
        <v>381</v>
      </c>
      <c r="J75" s="250" t="s">
        <v>328</v>
      </c>
      <c r="K75" s="246">
        <v>5</v>
      </c>
      <c r="L75" s="246"/>
    </row>
    <row r="76" spans="6:12" x14ac:dyDescent="0.25">
      <c r="F76" s="225" t="s">
        <v>281</v>
      </c>
      <c r="G76" s="225" t="s">
        <v>345</v>
      </c>
      <c r="H76" s="248" t="s">
        <v>351</v>
      </c>
      <c r="I76" s="248" t="s">
        <v>382</v>
      </c>
      <c r="J76" s="250" t="s">
        <v>328</v>
      </c>
      <c r="K76" s="246">
        <v>5</v>
      </c>
      <c r="L76" s="246"/>
    </row>
    <row r="77" spans="6:12" x14ac:dyDescent="0.25">
      <c r="F77" s="225" t="s">
        <v>281</v>
      </c>
      <c r="G77" s="225" t="s">
        <v>345</v>
      </c>
      <c r="H77" s="248" t="s">
        <v>312</v>
      </c>
      <c r="I77" s="248" t="s">
        <v>313</v>
      </c>
      <c r="J77" s="250" t="s">
        <v>328</v>
      </c>
      <c r="K77" s="246">
        <v>2</v>
      </c>
      <c r="L77" s="246"/>
    </row>
    <row r="78" spans="6:12" x14ac:dyDescent="0.25">
      <c r="F78" s="225" t="s">
        <v>281</v>
      </c>
      <c r="G78" s="225" t="s">
        <v>345</v>
      </c>
      <c r="H78" s="248" t="s">
        <v>352</v>
      </c>
      <c r="I78" s="248" t="s">
        <v>365</v>
      </c>
      <c r="J78" s="250" t="s">
        <v>328</v>
      </c>
      <c r="K78" s="246">
        <v>2</v>
      </c>
      <c r="L78" s="246"/>
    </row>
    <row r="79" spans="6:12" x14ac:dyDescent="0.25">
      <c r="F79" s="225" t="s">
        <v>281</v>
      </c>
      <c r="G79" s="225" t="s">
        <v>345</v>
      </c>
      <c r="H79" s="248" t="s">
        <v>353</v>
      </c>
      <c r="I79" s="248" t="s">
        <v>314</v>
      </c>
      <c r="J79" s="250" t="s">
        <v>328</v>
      </c>
      <c r="K79" s="246">
        <v>10</v>
      </c>
      <c r="L79" s="246"/>
    </row>
    <row r="80" spans="6:12" x14ac:dyDescent="0.25">
      <c r="F80" s="225" t="s">
        <v>281</v>
      </c>
      <c r="G80" s="225" t="s">
        <v>345</v>
      </c>
      <c r="H80" s="248" t="s">
        <v>376</v>
      </c>
      <c r="I80" s="248" t="s">
        <v>366</v>
      </c>
      <c r="J80" s="250" t="s">
        <v>328</v>
      </c>
      <c r="K80" s="246">
        <v>10</v>
      </c>
      <c r="L80" s="246"/>
    </row>
    <row r="81" spans="6:12" x14ac:dyDescent="0.25">
      <c r="F81" s="225" t="s">
        <v>281</v>
      </c>
      <c r="G81" s="225" t="s">
        <v>345</v>
      </c>
      <c r="H81" s="248" t="s">
        <v>354</v>
      </c>
      <c r="I81" s="248" t="s">
        <v>367</v>
      </c>
      <c r="J81" s="250" t="s">
        <v>328</v>
      </c>
      <c r="K81" s="246">
        <v>10</v>
      </c>
      <c r="L81" s="246"/>
    </row>
    <row r="82" spans="6:12" x14ac:dyDescent="0.25">
      <c r="F82" s="225" t="s">
        <v>281</v>
      </c>
      <c r="G82" s="225" t="s">
        <v>345</v>
      </c>
      <c r="H82" s="248" t="s">
        <v>355</v>
      </c>
      <c r="I82" s="248" t="s">
        <v>368</v>
      </c>
      <c r="J82" s="250" t="s">
        <v>328</v>
      </c>
      <c r="K82" s="246">
        <v>5</v>
      </c>
      <c r="L82" s="246"/>
    </row>
    <row r="83" spans="6:12" x14ac:dyDescent="0.25">
      <c r="F83" s="225" t="s">
        <v>281</v>
      </c>
      <c r="G83" s="225" t="s">
        <v>345</v>
      </c>
      <c r="H83" s="248" t="s">
        <v>356</v>
      </c>
      <c r="I83" s="248" t="s">
        <v>369</v>
      </c>
      <c r="J83" s="250" t="s">
        <v>328</v>
      </c>
      <c r="K83" s="246">
        <v>1</v>
      </c>
      <c r="L83" s="246" t="s">
        <v>370</v>
      </c>
    </row>
    <row r="84" spans="6:12" x14ac:dyDescent="0.25">
      <c r="F84" s="225" t="s">
        <v>281</v>
      </c>
      <c r="G84" s="225" t="s">
        <v>346</v>
      </c>
      <c r="H84" s="248" t="s">
        <v>383</v>
      </c>
      <c r="I84" s="248" t="s">
        <v>371</v>
      </c>
      <c r="J84" s="250" t="s">
        <v>325</v>
      </c>
      <c r="K84" s="246">
        <v>900</v>
      </c>
      <c r="L84" s="246" t="s">
        <v>199</v>
      </c>
    </row>
    <row r="85" spans="6:12" x14ac:dyDescent="0.25">
      <c r="F85" s="225" t="s">
        <v>281</v>
      </c>
      <c r="G85" s="225" t="s">
        <v>346</v>
      </c>
      <c r="H85" s="248" t="s">
        <v>372</v>
      </c>
      <c r="I85" s="248" t="s">
        <v>373</v>
      </c>
      <c r="J85" s="250" t="s">
        <v>325</v>
      </c>
      <c r="K85" s="246">
        <v>900</v>
      </c>
      <c r="L85" s="246" t="s">
        <v>199</v>
      </c>
    </row>
    <row r="86" spans="6:12" x14ac:dyDescent="0.25">
      <c r="F86" s="225" t="s">
        <v>281</v>
      </c>
      <c r="G86" s="225" t="s">
        <v>346</v>
      </c>
      <c r="H86" s="248" t="s">
        <v>374</v>
      </c>
      <c r="I86" s="248" t="s">
        <v>375</v>
      </c>
      <c r="J86" s="250" t="s">
        <v>325</v>
      </c>
      <c r="K86" s="246">
        <v>8</v>
      </c>
      <c r="L86" s="246"/>
    </row>
    <row r="87" spans="6:12" x14ac:dyDescent="0.25">
      <c r="F87" s="225" t="s">
        <v>281</v>
      </c>
      <c r="G87" s="225" t="s">
        <v>346</v>
      </c>
      <c r="H87" s="248" t="s">
        <v>384</v>
      </c>
      <c r="I87" s="248" t="s">
        <v>385</v>
      </c>
      <c r="J87" s="250" t="s">
        <v>325</v>
      </c>
      <c r="K87" s="246">
        <v>8</v>
      </c>
      <c r="L87" s="246"/>
    </row>
    <row r="88" spans="6:12" x14ac:dyDescent="0.25">
      <c r="F88" s="225" t="s">
        <v>281</v>
      </c>
      <c r="G88" s="225" t="s">
        <v>346</v>
      </c>
      <c r="H88" s="248" t="s">
        <v>383</v>
      </c>
      <c r="I88" s="248" t="s">
        <v>371</v>
      </c>
      <c r="J88" s="250" t="s">
        <v>327</v>
      </c>
      <c r="K88" s="246">
        <v>300</v>
      </c>
      <c r="L88" s="246" t="s">
        <v>199</v>
      </c>
    </row>
    <row r="89" spans="6:12" x14ac:dyDescent="0.25">
      <c r="F89" s="225" t="s">
        <v>281</v>
      </c>
      <c r="G89" s="225" t="s">
        <v>346</v>
      </c>
      <c r="H89" s="248" t="s">
        <v>372</v>
      </c>
      <c r="I89" s="248" t="s">
        <v>373</v>
      </c>
      <c r="J89" s="250" t="s">
        <v>327</v>
      </c>
      <c r="K89" s="246">
        <v>300</v>
      </c>
      <c r="L89" s="246" t="s">
        <v>199</v>
      </c>
    </row>
    <row r="90" spans="6:12" x14ac:dyDescent="0.25">
      <c r="F90" s="225" t="s">
        <v>281</v>
      </c>
      <c r="G90" s="225" t="s">
        <v>346</v>
      </c>
      <c r="H90" s="248" t="s">
        <v>374</v>
      </c>
      <c r="I90" s="248" t="s">
        <v>375</v>
      </c>
      <c r="J90" s="250" t="s">
        <v>327</v>
      </c>
      <c r="K90" s="246">
        <v>4</v>
      </c>
      <c r="L90" s="246"/>
    </row>
    <row r="91" spans="6:12" x14ac:dyDescent="0.25">
      <c r="F91" s="225" t="s">
        <v>281</v>
      </c>
      <c r="G91" s="225" t="s">
        <v>346</v>
      </c>
      <c r="H91" s="248" t="s">
        <v>384</v>
      </c>
      <c r="I91" s="248" t="s">
        <v>385</v>
      </c>
      <c r="J91" s="250" t="s">
        <v>327</v>
      </c>
      <c r="K91" s="246">
        <v>4</v>
      </c>
      <c r="L91" s="246"/>
    </row>
    <row r="92" spans="6:12" x14ac:dyDescent="0.25">
      <c r="F92" s="225" t="s">
        <v>281</v>
      </c>
      <c r="G92" s="225" t="s">
        <v>346</v>
      </c>
      <c r="H92" s="248" t="s">
        <v>383</v>
      </c>
      <c r="I92" s="248" t="s">
        <v>371</v>
      </c>
      <c r="J92" s="250" t="s">
        <v>328</v>
      </c>
      <c r="K92" s="246">
        <v>120</v>
      </c>
      <c r="L92" s="246" t="s">
        <v>199</v>
      </c>
    </row>
    <row r="93" spans="6:12" x14ac:dyDescent="0.25">
      <c r="F93" s="225" t="s">
        <v>281</v>
      </c>
      <c r="G93" s="225" t="s">
        <v>346</v>
      </c>
      <c r="H93" s="248" t="s">
        <v>372</v>
      </c>
      <c r="I93" s="248" t="s">
        <v>373</v>
      </c>
      <c r="J93" s="250" t="s">
        <v>328</v>
      </c>
      <c r="K93" s="246">
        <v>120</v>
      </c>
      <c r="L93" s="246" t="s">
        <v>199</v>
      </c>
    </row>
    <row r="94" spans="6:12" x14ac:dyDescent="0.25">
      <c r="F94" s="225" t="s">
        <v>281</v>
      </c>
      <c r="G94" s="225" t="s">
        <v>346</v>
      </c>
      <c r="H94" s="248" t="s">
        <v>374</v>
      </c>
      <c r="I94" s="248" t="s">
        <v>375</v>
      </c>
      <c r="J94" s="250" t="s">
        <v>328</v>
      </c>
      <c r="K94" s="246">
        <v>2</v>
      </c>
      <c r="L94" s="246"/>
    </row>
    <row r="95" spans="6:12" x14ac:dyDescent="0.25">
      <c r="F95" s="225" t="s">
        <v>281</v>
      </c>
      <c r="G95" s="225" t="s">
        <v>346</v>
      </c>
      <c r="H95" s="248" t="s">
        <v>384</v>
      </c>
      <c r="I95" s="248" t="s">
        <v>385</v>
      </c>
      <c r="J95" s="250" t="s">
        <v>328</v>
      </c>
      <c r="K95" s="246">
        <v>2</v>
      </c>
      <c r="L95" s="246"/>
    </row>
    <row r="96" spans="6:12" x14ac:dyDescent="0.25">
      <c r="F96" s="225" t="s">
        <v>281</v>
      </c>
      <c r="G96" s="225" t="s">
        <v>347</v>
      </c>
      <c r="H96" s="248" t="s">
        <v>388</v>
      </c>
      <c r="I96" s="248" t="s">
        <v>386</v>
      </c>
      <c r="J96" s="250" t="s">
        <v>325</v>
      </c>
      <c r="K96" s="246">
        <v>50</v>
      </c>
      <c r="L96" s="246"/>
    </row>
  </sheetData>
  <mergeCells count="2">
    <mergeCell ref="A1:D1"/>
    <mergeCell ref="F1:L1"/>
  </mergeCells>
  <conditionalFormatting sqref="D2">
    <cfRule type="expression" dxfId="7" priority="5">
      <formula>$E2="Fire"</formula>
    </cfRule>
    <cfRule type="expression" dxfId="6" priority="6">
      <formula>$E2="Water"</formula>
    </cfRule>
    <cfRule type="expression" dxfId="5" priority="7">
      <formula>$E2="Electricity"</formula>
    </cfRule>
    <cfRule type="expression" dxfId="4" priority="8">
      <formula>$E2="Wood"</formula>
    </cfRule>
  </conditionalFormatting>
  <conditionalFormatting sqref="K2:L2">
    <cfRule type="expression" dxfId="3" priority="1">
      <formula>$E2="Fire"</formula>
    </cfRule>
    <cfRule type="expression" dxfId="2" priority="2">
      <formula>$E2="Water"</formula>
    </cfRule>
    <cfRule type="expression" dxfId="1" priority="3">
      <formula>$E2="Electricity"</formula>
    </cfRule>
    <cfRule type="expression" dxfId="0" priority="4">
      <formula>$E2="Wood"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238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238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106" workbookViewId="0">
      <selection activeCell="E129" sqref="E129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202000</v>
      </c>
      <c r="C8" s="1">
        <v>228000</v>
      </c>
      <c r="D8" s="1">
        <v>258000</v>
      </c>
      <c r="E8" s="1">
        <v>296000</v>
      </c>
      <c r="F8" s="1">
        <v>342000</v>
      </c>
      <c r="G8" s="1">
        <v>400000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232</v>
      </c>
      <c r="D1" s="244" t="s">
        <v>233</v>
      </c>
      <c r="F1" s="244" t="s">
        <v>234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Bufonobi,Water,Attack,270,5,5,0,1,1,1,1,1,30,20,30,Max,10,1,0,135120000,,5270,1,1,https://encrypted-tbn0.gstatic.com/images?q=tbn:ANd9GcRXczs_Bjhslhr7Mf2HENU6MTyGpz0RJEMjNA&amp;s,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270,4,4,11,1,1,1,1,0,15,15,15,Max,,0.487179487179487,489,135120000,,4270,10,2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Ghillant,Wood,Defend,250,4,4.1,0,1,1,1,1,0.199999999999999,5,5,5,Max,,0.589743589743589,400,2123020000,1,4350,9,2,https://encrypted-tbn0.gstatic.com/images?q=tbn:ANd9GcQOwDXppnwkCtCXXAqUiiNMhf6T-lane54jPg&amp;s,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Gnashley,Water,Defend,1,1,1,0,1,0,0,0,0,1,1,1,,,0.0256410256410256,950,5044093700,1,1001,32,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Magmolin,Fire,Defend,240,3,3.1,61,1,1,1,0.2,0,10,5,15,,,0.241025641025641,679,2831420000,1,3340,15,3,https://encrypted-tbn0.gstatic.com/images?q=tbn:ANd9GcRebc6KbOAxblleg_L3rr2K13bt-Yyzq1bAaw&amp;s,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Limudroid,Electricity,Attack,230,2,2.2,4,1,1,0.4,0,0,1,1,5,,,0.117948717948718,856,3390620000,1,2430,24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Barkplug,Electricity,Defend,250,3,3,0,1,1,1,0,0,14,5,10,,,0.179487179487179,800,2123020000,1,3250,16,3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Abuzzinian,Electricity,Defend,230,4,4,14,1,1,1,1,0,1,1,1,Max,,0.487179487179487,486,3390620000,1,4230,12,2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Escarffier,Fire,Defend,230,2,2.3,8,1,1,0.6,0,0,5,5,5,,,0.138461538461538,832,3390620000,1,2530,20,3,https://encrypted-tbn0.gstatic.com/images?q=tbn:ANd9GcST2CrUIPAlFNBLPgZn0Tu93KelabHVVAbNLQ&amp;s,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Lucidina,Water,Attack,270,4,4,0,1,1,1,1,0,5,5,15,Max,,0.487179487179487,500,135120000,,4270,11,2,https://encrypted-tbn0.gstatic.com/images?q=tbn:ANd9GcR9A_xtftnwTH1zCnLIOcgmJKNZtFnB-e8QOw&amp;s,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Fleurizard,Wood,Attack,260,5,5,0,1,1,1,1,1,1,1,1,Max,10,1,0,1235520000,1,5260,5,1,https://encrypted-tbn0.gstatic.com/images?q=tbn:ANd9GcQCf63iS9oq-SMn3DO74UTS2j_zSrzNVTRMOQ&amp;s,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Statchew,Wood,Defend,240,2,2.2,10,1,1,0.4,0,0,15,5,9,,,0.117948717948718,850,2831420000,1,2440,23,,https://encrypted-tbn0.gstatic.com/images?q=tbn:ANd9GcSC1rp-0lIuUyVvSi8kN_vJnr_Ln4mF4lh4zg&amp;s,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Battereina,Electricity,Attack,210,3,3,0,1,1,1,0,0,1,1,1,,,0.179487179487179,800,4161420000,1,3210,18,3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Fulgairy,Electricity,Defend,210,2,2.2,0,1,1,0.4,0,0,5,5,10,,,0.117948717948718,860,4161420000,1,2410,25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Blazeal,Fire,Attack,250,3,3,10,1,1,1,0,0,15,10,15,,,0.179487179487179,790,2123020000,1,3250,17,3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Pipistrigoi,Fire,Attack,270,4,4.1,13,1,1,1,1,0.199999999999999,15,15,15,Max,,0.589743589743589,387,135120000,,4370,8,2,https://encrypted-tbn0.gstatic.com/images?q=tbn:ANd9GcSSdARGNHB_mPJlsb0v4ULv5HaXw2movjzNTNSrkzsi&amp;s,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Fingenue,Water,Attack,200,2,2,13,1,1,0,0,0,5,1,5,,,0.0769230769230769,887,4415720000,1,2200,30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Dolphriend,Water,Defend,210,2,2.2,1,1,1,0.4,0,0,1,1,1,,,0.117948717948718,859,4161420000,1,2410,26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Ninjump,Water,Attack,160,2,2.3,10,1,1,0.6,0,0,1,1,1,,,0.138461538461538,830,4919220000,1,2460,21,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urveilynx,Wood,Attack,220,2,2,0,1,1,0,0,0,10,10,10,,,0.0769230769230769,900,3826220000,1,2220,29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Salamantis,Wood,Attack,200,2,2,0,1,1,0,0,0,1,1,1,,,0.0769230769230769,900,4415720000,1,2200,31,,https://encrypted-tbn0.gstatic.com/images?q=tbn:ANd9GcSPFSxpzP3XhhfdRhxvv_Oi86DkexX6yjZrRA&amp;s,,Silvaurus,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Regalion,Water,Defend,200,2,2.1,11,1,1,0.2,0,0,10,10,10,,,0.0974358974358975,869,4415720000,1,2300,28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Mantleray,Electricity,Attack,210,2,2.4,3,1,1,0.8,0,0,4,1,1,,,0.158974358974359,817,4161420000,1,2610,19,3,https://encrypted-tbn0.gstatic.com/images?q=tbn:ANd9GcSWhzppoZXwh-zBnWIY3GFkIp0x0kc0hAzG0A&amp;s,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Oleana,Wood,Attack,260,5,5,128,1,1,1,1,1,1,1,1,Max,10,1,-128,1235520000,1,5260,6,1,https://encrypted-tbn0.gstatic.com/images?q=tbn:ANd9GcQ02wmDjsAMofj1ObwwNW6Vhl_QQ-LUodGIKA&amp;s,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Spookaboo,Fire,Attack,210,3,3.2,10,1,1,1,0.4,0,1,1,20,,,0.302564102564103,670,4161420000,1,3410,14,2,https://encrypted-tbn0.gstatic.com/images?q=tbn:ANd9GcT29K673YTBvt_EofrppvnWB4sgt43DEq1pTw&amp;s,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Kungpaw,Water,Defend,190,4,4,30,1,1,1,1,0,1,1,1,Max,,0.487179487179487,470,4605720000,1,4190,13,2,https://encrypted-tbn0.gstatic.com/images?q=tbn:ANd9GcRV1HdRcNPUS4HjDBZ2YOXgaMW_I8FgZEP5xg&amp;s,,,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Baboom,Wood,Attack,210,2,2.1,10,1,1,0.2,0,0,5,1,1,,,0.0974358974358975,870,4161420000,1,2310,27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Pyregeist,Fire,Defend,,0,,,0,0,0,0,0,,,,,,0,975,5044093700,,0,34,,https://encrypted-tbn0.gstatic.com/images?q=tbn:ANd9GcQxjczIZhaTQV2VukHWlKoJMQ30DrUIwatAEw&amp;s,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Thundertooth,Electricity,Attack,140,5,5,0,1,1,1,1,1,1,1,1,Max,10,1,0,4999220000,1,5140,7,1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Mammolith,Wood,Defend,,0,,,0,0,0,0,0,,,,,,0,975,5044093700,,0,35,,https://encrypted-tbn0.gstatic.com/images?q=tbn:ANd9GcRR4T5jdtF_LaheoRmg2FLSWS4DS4QhqCFaAg&amp;s,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Palmon!B36 &amp; "," &amp; Palmon!C36 &amp; "," &amp; Palmon!D36 &amp; "," &amp; Palmon!E36 &amp; "," &amp; Palmon!G36 &amp; "," &amp; SUBSTITUTE(Palmon!H36,",",".") &amp; "," &amp; Palmon!I36 &amp; "," &amp; SUBSTITUTE(Palmon!P36,",",".") &amp; "," &amp; SUBSTITUTE(Palmon!Q36,",",".") &amp; "," &amp; SUBSTITUTE(Palmon!R36,",",".") &amp; "," &amp; SUBSTITUTE(Palmon!S36,",",".") &amp; "," &amp; SUBSTITUTE(Palmon!T36,",",".") &amp; "," &amp; Palmon!J36 &amp; "," &amp; Palmon!K36 &amp; "," &amp; Palmon!L36 &amp; "," &amp; Palmon!M36 &amp; "," &amp; Palmon!N36 &amp; "," &amp; SUBSTITUTE(Palmon!U36,",",".") &amp; "," &amp; Palmon!V36 &amp; "," &amp; Palmon!X36 &amp; "," &amp; Palmon!Y36 &amp; "," &amp; Palmon!AA36 &amp; "," &amp; Palmon!AB36 &amp; "," &amp; Palmon!AC36 &amp; "," &amp; Palmon!AE36 &amp; "," &amp; Palmon!AF36 &amp; "," &amp; Palmon!AI36 &amp; "," &amp; Palmon!AJ36</f>
        <v>Shadowkaeru,Water,Attack,,0,,,0,0,0,0,0,,,,,,0,975,5044093700,,0,36,,,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Mystiray,Electricity,Attack,,0,,,0,0,0,0,0,,,,,,0,975,5044093700,,0,39,,,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Predalynx,Wood,Attack,,0,,,0,0,0,0,0,,,,,,0,975,5044093700,,0,40,,,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Solhorn,Fire,Attack,,0,,,0,0,0,0,0,,,,,,0,975,5044093700,,0,41,,,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Leviadolph,Water,Attack,,0,,,0,0,0,0,0,,,,,,0,975,5044093700,,0,42,,,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Voltfang,Electricity,Attack,,0,,,0,0,0,0,0,,,,,,0,975,5044093700,,0,43,,,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Leafgarde,Wood,Attack,,0,,,0,0,0,0,0,,,,,,0,975,5044093700,,0,44,,,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Inferdrake,Fire,Attack,,0,,,0,0,0,0,0,,,,,,0,975,5044093700,,0,45,,,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Palmon!B47 &amp; "," &amp; Palmon!C47 &amp; "," &amp; Palmon!D47 &amp; "," &amp; Palmon!E47 &amp; "," &amp; Palmon!G47 &amp; "," &amp; SUBSTITUTE(Palmon!H47,",",".") &amp; "," &amp; Palmon!I47 &amp; "," &amp; SUBSTITUTE(Palmon!P47,",",".") &amp; "," &amp; SUBSTITUTE(Palmon!Q47,",",".") &amp; "," &amp; SUBSTITUTE(Palmon!R47,",",".") &amp; "," &amp; SUBSTITUTE(Palmon!S47,",",".") &amp; "," &amp; SUBSTITUTE(Palmon!T47,",",".") &amp; "," &amp; Palmon!J47 &amp; "," &amp; Palmon!K47 &amp; "," &amp; Palmon!L47 &amp; "," &amp; Palmon!M47 &amp; "," &amp; Palmon!N47 &amp; "," &amp; SUBSTITUTE(Palmon!U47,",",".") &amp; "," &amp; Palmon!V47 &amp; "," &amp; Palmon!X47 &amp; "," &amp; Palmon!Y47 &amp; "," &amp; Palmon!AA47 &amp; "," &amp; Palmon!AB47 &amp; "," &amp; Palmon!AC47 &amp; "," &amp; Palmon!AE47 &amp; "," &amp; Palmon!AF47 &amp; "," &amp; Palmon!AI47 &amp; "," &amp; Palmon!AJ47</f>
        <v>Revontulet,Fire,Attack,160,2,2.3,0,1,1,0.6,0,0,1,1,1,,,0.138461538461538,840,4919220000,1,2460,22,,, ,Vulpyrean,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237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Bufonobi,Water,Attack,270,,5,5,0,30,20,30,Max,10,,1,1,1,1,1,1,0,,135120000,,,5270,1,1,,https://encrypted-tbn0.gstatic.com/images?q=tbn:ANd9GcRXczs_Bjhslhr7Mf2HENU6MTyGpz0RJEMjNA&amp;s,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9</vt:i4>
      </vt:variant>
    </vt:vector>
  </HeadingPairs>
  <TitlesOfParts>
    <vt:vector size="20" baseType="lpstr">
      <vt:lpstr>Palmon</vt:lpstr>
      <vt:lpstr>Palmon_data</vt:lpstr>
      <vt:lpstr>TCD</vt:lpstr>
      <vt:lpstr>Details</vt:lpstr>
      <vt:lpstr>Tableaux</vt:lpstr>
      <vt:lpstr>Valeurs</vt:lpstr>
      <vt:lpstr>Equipement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2026-04-13T08:10:22Z</dcterms:modified>
</cp:coreProperties>
</file>