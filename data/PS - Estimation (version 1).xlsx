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64FDED73-3ED4-411D-899D-2E7501FF5A41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1" l="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H34" i="11"/>
  <c r="AI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AC37" i="2" s="1" a="1"/>
  <c r="AC37" i="2" s="1"/>
  <c r="Z2" i="11"/>
  <c r="AB36" i="2"/>
  <c r="AC36" i="2" s="1" a="1"/>
  <c r="AC36" i="2" s="1"/>
  <c r="J32" i="2"/>
  <c r="I31" i="11" s="1"/>
  <c r="J31" i="11"/>
  <c r="K31" i="11"/>
  <c r="Z13" i="11"/>
  <c r="AB38" i="2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B45" i="2"/>
  <c r="AB46" i="2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B16" i="2"/>
  <c r="AA15" i="11" s="1"/>
  <c r="AB43" i="2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B12" i="2"/>
  <c r="AA11" i="11" s="1"/>
  <c r="AB24" i="2"/>
  <c r="AA23" i="11" s="1"/>
  <c r="AB40" i="2"/>
  <c r="AB13" i="2"/>
  <c r="AA12" i="11" s="1"/>
  <c r="AB25" i="2"/>
  <c r="AA24" i="11" s="1"/>
  <c r="AB41" i="2"/>
  <c r="L2" i="4"/>
  <c r="K2" i="4"/>
  <c r="J2" i="4"/>
  <c r="I2" i="4"/>
  <c r="AC38" i="2" l="1" a="1"/>
  <c r="AC38" i="2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C40" i="2" a="1"/>
  <c r="AC40" i="2" s="1"/>
  <c r="AC41" i="2" a="1"/>
  <c r="AC41" i="2" s="1"/>
  <c r="AC42" i="2" a="1"/>
  <c r="AC42" i="2" s="1"/>
  <c r="AC43" i="2" a="1"/>
  <c r="AC43" i="2" s="1"/>
  <c r="AC44" i="2" a="1"/>
  <c r="AC44" i="2" s="1"/>
  <c r="AC45" i="2" a="1"/>
  <c r="AC45" i="2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<sst xmlns="http://schemas.openxmlformats.org/spreadsheetml/2006/main" count="405" uniqueCount="267">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</sst>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workbookViewId="0">
      <selection activeCell="B46" sqref="B3:B46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 t="s">
        <v>195</v>
      </c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cm="1">
        <f t="array" ref="F5">IsUpgradable(E5)</f>
        <v>1</v>
      </c>
      <c r="G5" s="127">
        <f t="shared" si="0"/>
        <v>5</v>
      </c>
      <c r="H5" s="198">
        <v>5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>
        <f t="shared" si="2"/>
        <v>10</v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1</v>
      </c>
      <c r="U5" s="9" cm="1">
        <f t="array" ref="U5">SUMPRODUCT(TRANSPOSE(Details!$D$4:$D$8),$P5:$T5)/Details!$D$9</f>
        <v>1</v>
      </c>
      <c r="V5" s="13" cm="1">
        <f t="array" ref="V5">Details!$D$9-SUMPRODUCT(TRANSPOSE(Details!$D$4:$D$8),$P5:$T5)-$I5</f>
        <v>-11</v>
      </c>
      <c r="X5" s="13" cm="1">
        <f t="array" ref="X5">LevelUpgradeCost($E5)</f>
        <v>1235520000</v>
      </c>
      <c r="Y5" s="61">
        <f t="shared" si="4"/>
        <v>1</v>
      </c>
      <c r="AA5" s="110">
        <f t="shared" si="5"/>
        <v>5260</v>
      </c>
      <c r="AB5" s="63">
        <f>RANK($AA5,$AA$3:$AA$46)+COUNTIF($AA$3:$AA5,AA5)-1</f>
        <v>5</v>
      </c>
      <c r="AC5" s="61" cm="1">
        <f t="array" ref="AC5">IFERROR(_xlfn.IFS($AB5&lt;8,1,$AB5&lt;15,2,$AB5&lt;21,3),"")</f>
        <v>1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12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14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198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2530</v>
      </c>
      <c r="AB11" s="63">
        <f>RANK($AA11,$AA$3:$AA$46)+COUNTIF($AA$3:$AA11,AA11)-1</f>
        <v>17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cm="1">
        <f t="array" ref="F13">IsUpgradable(E13)</f>
        <v>1</v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1235520000</v>
      </c>
      <c r="Y13" s="61">
        <f t="shared" si="4"/>
        <v>1</v>
      </c>
      <c r="AA13" s="110">
        <f t="shared" si="5"/>
        <v>4260</v>
      </c>
      <c r="AB13" s="63">
        <f>RANK($AA13,$AA$3:$AA$46)+COUNTIF($AA$3:$AA13,AA13)-1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6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198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RANK($AA16,$AA$3:$AA$46)+COUNTIF($AA$3:$AA16,AA16)-1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15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cm="1">
        <f t="array" ref="F19">IsUpgradable(E19)</f>
        <v>1</v>
      </c>
      <c r="G19" s="127">
        <f t="shared" si="0"/>
        <v>4</v>
      </c>
      <c r="H19" s="198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1235520000</v>
      </c>
      <c r="Y19" s="61">
        <f t="shared" si="4"/>
        <v>1</v>
      </c>
      <c r="AA19" s="110">
        <f t="shared" si="5"/>
        <v>4260</v>
      </c>
      <c r="AB19" s="63">
        <f>RANK($AA19,$AA$3:$AA$46)+COUNTIF($AA$3:$AA19,AA19)-1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207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16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4</v>
      </c>
      <c r="H27" s="199">
        <v>4.3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72.000000000000227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4560</v>
      </c>
      <c r="AB27" s="63">
        <f>RANK($AA27,$AA$3:$AA$46)+COUNTIF($AA$3:$AA27,AA27)-1</f>
        <v>7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13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3.2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634.99999999999989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3386</v>
      </c>
      <c r="AB29" s="63">
        <f>RANK($AA29,$AA$3:$AA$46)+COUNTIF($AA$3:$AA29,AA29)-1</f>
        <v>11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224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5044089200</v>
      </c>
      <c r="Y32" s="61">
        <f t="shared" si="4"/>
        <v>1</v>
      </c>
      <c r="AA32" s="110">
        <f t="shared" si="5"/>
        <v>10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265</v>
      </c>
      <c r="C36" s="162" t="s">
        <v>53</v>
      </c>
      <c r="D36" s="163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266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63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266</v>
      </c>
      <c r="AF37" s="166"/>
      <c r="AG37" s="167"/>
      <c r="AI37" s="170" t="s">
        <v>264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215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20</v>
      </c>
      <c r="AC46" s="62" cm="1">
        <f t="array" ref="AC46">IFERROR(_xlfn.IFS($AB46&lt;8,1,$AB46&lt;15,2,$AB46&lt;21,3),"")</f>
        <v>3</v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196</v>
      </c>
      <c r="AJ46" s="70" t="s">
        <v>187</v>
      </c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28</v>
      </c>
      <c r="F48" s="142"/>
      <c r="G48" s="142"/>
      <c r="I48" s="5"/>
      <c r="X48" s="5">
        <f>SUMPRODUCT(X3:X46,Y3:Y46)</f>
        <v>95576102900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205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204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2026</v>
      </c>
      <c r="R58" s="1">
        <f t="shared" ref="R58:R60" si="23">COUNTIFS($C$3:$C$46,"=" &amp; $P58,$E$3:$E$46,"&gt;0")</f>
        <v>9</v>
      </c>
      <c r="S58" s="1">
        <f t="shared" ref="S58:S60" si="24">Q58/R58</f>
        <v>225.11111111111111</v>
      </c>
      <c r="X58"/>
    </row>
    <row r="59" spans="2:24" ht="12" customHeight="1" x14ac:dyDescent="0.25">
      <c r="B59" s="240" t="s">
        <v>197</v>
      </c>
      <c r="C59" s="60">
        <v>400000</v>
      </c>
      <c r="D59" s="142"/>
      <c r="I59" s="5"/>
      <c r="P59" s="1" t="s">
        <v>50</v>
      </c>
      <c r="Q59" s="1">
        <f t="shared" si="22"/>
        <v>1880</v>
      </c>
      <c r="R59" s="1">
        <f t="shared" si="23"/>
        <v>8</v>
      </c>
      <c r="S59" s="1">
        <f t="shared" si="24"/>
        <v>235</v>
      </c>
      <c r="X59"/>
    </row>
    <row r="60" spans="2:24" ht="12" customHeight="1" x14ac:dyDescent="0.25">
      <c r="B60" s="204" t="s">
        <v>198</v>
      </c>
      <c r="C60" s="13">
        <v>300</v>
      </c>
      <c r="D60" s="142"/>
      <c r="I60" s="5"/>
      <c r="P60" s="1" t="s">
        <v>61</v>
      </c>
      <c r="Q60" s="1">
        <f t="shared" si="22"/>
        <v>1350</v>
      </c>
      <c r="R60" s="1">
        <f t="shared" si="23"/>
        <v>7</v>
      </c>
      <c r="S60" s="1">
        <f t="shared" si="24"/>
        <v>192.85714285714286</v>
      </c>
      <c r="X60"/>
    </row>
    <row r="61" spans="2:24" ht="12" customHeight="1" thickBot="1" x14ac:dyDescent="0.3">
      <c r="B61" s="241" t="s">
        <v>199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3 D57:D81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A45" sqref="A2:A4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>
        <f>Palmon!F5</f>
        <v>1</v>
      </c>
      <c r="F4">
        <f>Palmon!G5</f>
        <v>5</v>
      </c>
      <c r="G4">
        <f>Palmon!H5</f>
        <v>5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>
        <f>Palmon!N5</f>
        <v>10</v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1</v>
      </c>
      <c r="T4">
        <f>Palmon!U5</f>
        <v>1</v>
      </c>
      <c r="U4">
        <f>Palmon!V5</f>
        <v>-11</v>
      </c>
      <c r="V4">
        <f>Palmon!W5</f>
        <v>0</v>
      </c>
      <c r="W4">
        <f>Palmon!X5</f>
        <v>1235520000</v>
      </c>
      <c r="X4">
        <f>Palmon!Y5</f>
        <v>1</v>
      </c>
      <c r="Y4">
        <f>Palmon!Z5</f>
        <v>0</v>
      </c>
      <c r="Z4">
        <f>Palmon!AA5</f>
        <v>5260</v>
      </c>
      <c r="AA4">
        <f>Palmon!AB5</f>
        <v>5</v>
      </c>
      <c r="AB4">
        <f>Palmon!AC5</f>
        <v>1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12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14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17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>
        <f>Palmon!F13</f>
        <v>1</v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1235520000</v>
      </c>
      <c r="X12">
        <f>Palmon!Y13</f>
        <v>1</v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6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15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>
        <f>Palmon!F19</f>
        <v>1</v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1235520000</v>
      </c>
      <c r="X18">
        <f>Palmon!Y19</f>
        <v>1</v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16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4</v>
      </c>
      <c r="G26">
        <f>Palmon!H27</f>
        <v>4.3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72.000000000000227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4560</v>
      </c>
      <c r="AA26">
        <f>Palmon!AB27</f>
        <v>7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13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634.99999999999989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3386</v>
      </c>
      <c r="AA28">
        <f>Palmon!AB29</f>
        <v>11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5044089200</v>
      </c>
      <c r="X31">
        <f>Palmon!Y32</f>
        <v>1</v>
      </c>
      <c r="Y31">
        <f>Palmon!Z32</f>
        <v>0</v>
      </c>
      <c r="Z31">
        <f>Palmon!AA32</f>
        <v>10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>
        <f>Palmon!AI36</f>
        <v>0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Palmon!AI37</f>
        <v>Dreadmaw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Palmon!AI38</f>
        <v>Fleurizard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>
        <f>Palmon!AI44</f>
        <v>0</v>
      </c>
      <c r="AI43">
        <f>Palmon!AJ44</f>
        <v>0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>
        <f>Palmon!AI45</f>
        <v>0</v>
      </c>
      <c r="AI44">
        <f>Palmon!AJ45</f>
        <v>0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20</v>
      </c>
      <c r="AB45">
        <f>Palmon!AC46</f>
        <v>3</v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Palmon!AI46</f>
        <v>Vulpyrean</v>
      </c>
      <c r="AI45" t="str">
        <f>Palmon!AJ46</f>
        <v>Camouflynx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487</v>
      </c>
      <c r="P17" s="47">
        <v>487</v>
      </c>
      <c r="Q17" s="40"/>
      <c r="R17" s="1"/>
      <c r="U17" s="46" t="str">
        <v>Fire</v>
      </c>
      <c r="V17" s="192">
        <v>245.71428571428572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134.99999999999989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240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 t="str">
        <v/>
      </c>
      <c r="H20" s="33">
        <v>0</v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235.47619047619048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134.99999999999989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72.000000000000227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1</v>
      </c>
      <c r="P27" s="33">
        <v>2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4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Blazeal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Mantleray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Pipistrigoi</v>
      </c>
      <c r="N44" s="78" t="str">
        <v>Abuzzinian</v>
      </c>
      <c r="O44" s="1"/>
      <c r="P44" s="1" t="str">
        <v>Gnashley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Kungpaw</v>
      </c>
      <c r="N45" s="78" t="str">
        <v>Escarffier</v>
      </c>
      <c r="O45" s="1"/>
      <c r="P45" s="1" t="str">
        <v>Glacewing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Hoofrit</v>
      </c>
      <c r="M46" s="77" t="str">
        <v>Magmolin</v>
      </c>
      <c r="N46" s="78" t="str">
        <v>Ninjump</v>
      </c>
      <c r="O46" s="1"/>
      <c r="P46" s="1" t="str">
        <v>Hoofrit</v>
      </c>
      <c r="Q46" s="1" t="str">
        <v>Magmolin</v>
      </c>
      <c r="R46" s="1"/>
      <c r="T46"/>
      <c r="U46"/>
      <c r="V46"/>
      <c r="W46"/>
    </row>
    <row r="47" spans="2:23" x14ac:dyDescent="0.25">
      <c r="L47" s="76" t="str">
        <v>Fleurizard</v>
      </c>
      <c r="M47" s="77" t="str">
        <v>Spookaboo</v>
      </c>
      <c r="N47" s="78" t="str">
        <v>Revontulet</v>
      </c>
      <c r="O47" s="1"/>
      <c r="P47" s="1" t="str">
        <v>Fleurizard</v>
      </c>
      <c r="Q47" s="1" t="str">
        <v>Spookaboo</v>
      </c>
      <c r="R47" s="1"/>
      <c r="T47"/>
      <c r="U47"/>
      <c r="V47"/>
      <c r="W47"/>
    </row>
    <row r="48" spans="2:23" ht="15.75" thickBot="1" x14ac:dyDescent="0.3">
      <c r="L48" s="81" t="str">
        <v>Oleana</v>
      </c>
      <c r="M48" s="82" t="str">
        <v>Barkplug</v>
      </c>
      <c r="N48" s="83" t="str">
        <v>Limudroid</v>
      </c>
      <c r="O48" s="1"/>
      <c r="P48" s="1" t="str">
        <v>Oleana</v>
      </c>
      <c r="Q48" s="1" t="str">
        <v>Barkplug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15</v>
      </c>
      <c r="L52" s="1" t="str">
        <v>Abuzzinian</v>
      </c>
      <c r="M52" s="1" t="str">
        <v/>
      </c>
      <c r="N52" s="1">
        <v>17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12</v>
      </c>
      <c r="L54" s="1" t="str">
        <v>Barkplug</v>
      </c>
      <c r="M54" s="1" t="str">
        <v/>
      </c>
      <c r="N54" s="1">
        <v>14</v>
      </c>
      <c r="P54" s="1" t="str">
        <v/>
      </c>
      <c r="Q54" s="1">
        <v>5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13</v>
      </c>
      <c r="H56" s="1" t="str">
        <v/>
      </c>
      <c r="L56" s="1" t="str">
        <v>Blazeal</v>
      </c>
      <c r="M56" s="1">
        <v>15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4</v>
      </c>
      <c r="H61" s="1" t="str">
        <v/>
      </c>
      <c r="L61" s="1" t="str">
        <v>Fleurizard</v>
      </c>
      <c r="M61" s="1">
        <v>6</v>
      </c>
      <c r="N61" s="1" t="str">
        <v/>
      </c>
      <c r="P61" s="1">
        <v>3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3</v>
      </c>
      <c r="H65" s="1" t="str">
        <v/>
      </c>
      <c r="L65" s="1" t="str">
        <v>Hoofrit</v>
      </c>
      <c r="M65" s="1">
        <v>5</v>
      </c>
      <c r="N65" s="1" t="str">
        <v/>
      </c>
      <c r="P65" s="1">
        <v>2</v>
      </c>
      <c r="Q65" s="1" t="str">
        <v/>
      </c>
    </row>
    <row r="66" spans="7:20" s="1" customFormat="1" ht="12" x14ac:dyDescent="0.2">
      <c r="G66" s="1" t="str">
        <v/>
      </c>
      <c r="H66" s="1">
        <v>9</v>
      </c>
      <c r="L66" s="1" t="str">
        <v>Kungpaw</v>
      </c>
      <c r="M66" s="1" t="str">
        <v/>
      </c>
      <c r="N66" s="1">
        <v>11</v>
      </c>
      <c r="P66" s="1" t="str">
        <v/>
      </c>
      <c r="Q66" s="1">
        <v>3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10</v>
      </c>
      <c r="L69" s="1" t="str">
        <v>Magmolin</v>
      </c>
      <c r="M69" s="1" t="str">
        <v/>
      </c>
      <c r="N69" s="1">
        <v>12</v>
      </c>
      <c r="P69" s="1" t="str">
        <v/>
      </c>
      <c r="Q69" s="1">
        <v>4</v>
      </c>
    </row>
    <row r="70" spans="7:20" s="1" customFormat="1" ht="12" x14ac:dyDescent="0.2">
      <c r="G70" s="1">
        <v>14</v>
      </c>
      <c r="H70" s="1" t="str">
        <v/>
      </c>
      <c r="L70" s="1" t="str">
        <v>Mantleray</v>
      </c>
      <c r="M70" s="1">
        <v>16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5</v>
      </c>
      <c r="H72" s="1" t="str">
        <v/>
      </c>
      <c r="L72" s="1" t="str">
        <v>Oleana</v>
      </c>
      <c r="M72" s="1">
        <v>7</v>
      </c>
      <c r="N72" s="1" t="str">
        <v/>
      </c>
      <c r="P72" s="1">
        <v>4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11</v>
      </c>
      <c r="H76" s="1" t="str">
        <v/>
      </c>
      <c r="L76" s="1" t="str">
        <v>Spookaboo</v>
      </c>
      <c r="M76" s="1">
        <v>13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Y3" sqref="Y3:AC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229</v>
      </c>
      <c r="AA18" s="238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227</v>
      </c>
      <c r="AC20" s="238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200</v>
      </c>
      <c r="Z30" s="236" t="s">
        <v>201</v>
      </c>
      <c r="AA30" s="236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200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J8" sqref="J8"/>
    </sheetView>
  </sheetViews>
  <sheetFormatPr baseColWidth="10" defaultRowHeight="15" x14ac:dyDescent="0.25"/>
  <sheetData>
    <row r="1" spans="1:30" ht="15.75" thickBot="1" x14ac:dyDescent="0.3">
      <c r="A1" s="253" t="s">
        <v>204</v>
      </c>
      <c r="B1" s="254"/>
      <c r="D1" s="292" t="s">
        <v>241</v>
      </c>
      <c r="E1" s="293"/>
      <c r="F1" s="293"/>
      <c r="H1" s="292" t="s">
        <v>241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258</v>
      </c>
      <c r="AA1" s="254"/>
      <c r="AC1" s="253" t="s">
        <v>263</v>
      </c>
      <c r="AD1" s="254"/>
    </row>
    <row r="2" spans="1:30" x14ac:dyDescent="0.25">
      <c r="A2" s="240" t="s">
        <v>197</v>
      </c>
      <c r="B2" s="60">
        <v>400000</v>
      </c>
      <c r="D2" s="223" t="s">
        <v>17</v>
      </c>
      <c r="E2" s="222" t="s">
        <v>20</v>
      </c>
      <c r="F2" s="222" t="s">
        <v>239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242</v>
      </c>
      <c r="M2" s="222" t="s">
        <v>243</v>
      </c>
      <c r="N2" s="222" t="s">
        <v>244</v>
      </c>
      <c r="O2" s="222" t="s">
        <v>245</v>
      </c>
      <c r="P2" s="222" t="s">
        <v>246</v>
      </c>
      <c r="Q2" s="222" t="s">
        <v>144</v>
      </c>
      <c r="S2" s="223" t="s">
        <v>257</v>
      </c>
      <c r="T2" s="222" t="s">
        <v>242</v>
      </c>
      <c r="U2" s="222" t="s">
        <v>243</v>
      </c>
      <c r="V2" s="222" t="s">
        <v>244</v>
      </c>
      <c r="W2" s="222" t="s">
        <v>245</v>
      </c>
      <c r="X2" s="222" t="s">
        <v>246</v>
      </c>
      <c r="Z2" s="223" t="s">
        <v>79</v>
      </c>
      <c r="AA2" s="222" t="s">
        <v>259</v>
      </c>
      <c r="AC2" s="223" t="s">
        <v>79</v>
      </c>
      <c r="AD2" s="222" t="s">
        <v>12</v>
      </c>
    </row>
    <row r="3" spans="1:30" x14ac:dyDescent="0.25">
      <c r="A3" s="204" t="s">
        <v>198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247</v>
      </c>
      <c r="I3" s="248" t="s">
        <v>249</v>
      </c>
      <c r="J3" s="237">
        <v>1</v>
      </c>
      <c r="K3" s="246">
        <v>0</v>
      </c>
      <c r="L3" s="237">
        <v>0</v>
      </c>
      <c r="M3" s="237">
        <v>0</v>
      </c>
      <c r="N3" s="237">
        <v>0</v>
      </c>
      <c r="O3" s="237">
        <v>0</v>
      </c>
      <c r="P3" s="237">
        <v>0</v>
      </c>
      <c r="Q3" s="237" t="s">
        <v>253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199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248</v>
      </c>
      <c r="I4" s="248" t="s">
        <v>50</v>
      </c>
      <c r="J4" s="237">
        <v>1</v>
      </c>
      <c r="K4" s="246">
        <v>0</v>
      </c>
      <c r="L4" s="237">
        <v>0</v>
      </c>
      <c r="M4" s="237">
        <v>0</v>
      </c>
      <c r="N4" s="237">
        <v>0</v>
      </c>
      <c r="O4" s="237">
        <v>0</v>
      </c>
      <c r="P4" s="237">
        <v>0</v>
      </c>
      <c r="Q4" s="237" t="s">
        <v>255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236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250</v>
      </c>
      <c r="I5" s="248" t="s">
        <v>61</v>
      </c>
      <c r="J5" s="237">
        <v>1</v>
      </c>
      <c r="K5" s="246">
        <v>0</v>
      </c>
      <c r="L5" s="237">
        <v>0</v>
      </c>
      <c r="M5" s="237">
        <v>0</v>
      </c>
      <c r="N5" s="237">
        <v>0</v>
      </c>
      <c r="O5" s="237">
        <v>0</v>
      </c>
      <c r="P5" s="237">
        <v>0</v>
      </c>
      <c r="Q5" s="237" t="s">
        <v>262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251</v>
      </c>
      <c r="I6" s="248" t="s">
        <v>53</v>
      </c>
      <c r="J6" s="237">
        <v>120</v>
      </c>
      <c r="K6" s="246">
        <v>2.2999999999999998</v>
      </c>
      <c r="L6" s="237">
        <v>5</v>
      </c>
      <c r="M6" s="237">
        <v>0</v>
      </c>
      <c r="N6" s="237">
        <v>0</v>
      </c>
      <c r="O6" s="237">
        <v>0</v>
      </c>
      <c r="P6" s="237">
        <v>0</v>
      </c>
      <c r="Q6" s="237" t="s">
        <v>254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252</v>
      </c>
      <c r="I7" s="248" t="s">
        <v>55</v>
      </c>
      <c r="J7" s="237">
        <v>1</v>
      </c>
      <c r="K7" s="246">
        <v>0</v>
      </c>
      <c r="L7" s="237">
        <v>0</v>
      </c>
      <c r="M7" s="237">
        <v>0</v>
      </c>
      <c r="N7" s="237">
        <v>0</v>
      </c>
      <c r="O7" s="237">
        <v>0</v>
      </c>
      <c r="P7" s="237">
        <v>0</v>
      </c>
      <c r="Q7" s="237" t="s">
        <v>256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25">
      <formula>$C2="Fire"</formula>
    </cfRule>
    <cfRule type="expression" dxfId="26" priority="26">
      <formula>$C2="Water"</formula>
    </cfRule>
    <cfRule type="expression" dxfId="25" priority="27">
      <formula>$C2="Electricity"</formula>
    </cfRule>
    <cfRule type="expression" dxfId="24" priority="28">
      <formula>$C2="Wood"</formula>
    </cfRule>
  </conditionalFormatting>
  <conditionalFormatting sqref="E2:E4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J2:J4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K2:P3 Q2:Q7 K4 L4:P7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T2:X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conditionalFormatting sqref="AA2">
    <cfRule type="expression" dxfId="7" priority="5">
      <formula>$C2="Fire"</formula>
    </cfRule>
    <cfRule type="expression" dxfId="6" priority="6">
      <formula>$C2="Water"</formula>
    </cfRule>
    <cfRule type="expression" dxfId="5" priority="7">
      <formula>$C2="Electricity"</formula>
    </cfRule>
    <cfRule type="expression" dxfId="4" priority="8">
      <formula>$C2="Wood"</formula>
    </cfRule>
  </conditionalFormatting>
  <conditionalFormatting sqref="AD2">
    <cfRule type="expression" dxfId="3" priority="1">
      <formula>$C2="Fire"</formula>
    </cfRule>
    <cfRule type="expression" dxfId="2" priority="2">
      <formula>$C2="Water"</formula>
    </cfRule>
    <cfRule type="expression" dxfId="1" priority="3">
      <formula>$C2="Electricity"</formula>
    </cfRule>
    <cfRule type="expression" dxfId="0" priority="4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239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239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233</v>
      </c>
      <c r="D1" s="244" t="s">
        <v>234</v>
      </c>
      <c r="F1" s="244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260,5,5,11,1,1,1,1,1,15,15,15,Max,10,1,-11,1235520000,1,5260,5,1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Magmolin,Fire,Defend,240,3,3.1,61,1,1,1,0.2,0,10,5,15,,,0.241025641025641,679,2831420000,1,3340,12,2,https://encrypted-tbn0.gstatic.com/images?q=tbn:ANd9GcRebc6KbOAxblleg_L3rr2K13bt-Yyzq1bAaw&amp;s,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0.179487179487179,800,2123020000,1,3250,14,2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0.138461538461538,826,3390620000,1,2530,17,3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Lucidina,Water,Attack,260,4,4,0,1,1,1,1,0,5,5,15,Max,,0.487179487179487,500,1235520000,1,4260,9,2,https://encrypted-tbn0.gstatic.com/images?q=tbn:ANd9GcR9A_xtftnwTH1zCnLIOcgmJKNZtFnB-e8QOw&amp;s,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Fleurizard,Wood,Attack,260,5,5,0,1,1,1,1,1,1,1,1,Max,10,1,0,1235520000,1,5260,6,1,https://encrypted-tbn0.gstatic.com/images?q=tbn:ANd9GcQCf63iS9oq-SMn3DO74UTS2j_zSrzNVTRMOQ&amp;s,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0.179487179487179,790,2123020000,1,3250,15,3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Pipistrigoi,Fire,Attack,260,4,4,13,1,1,1,1,0,15,15,15,Max,,0.487179487179487,487,1235520000,1,4260,10,2,https://encrypted-tbn0.gstatic.com/images?q=tbn:ANd9GcSSdARGNHB_mPJlsb0v4ULv5HaXw2movjzNTNSrkzsi&amp;s,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Oleana,Wood,Attack,260,4,4.3,128,1,1,1,1,0.6,1,1,1,Max,,0.794871794871795,72,0000000000002,1235520000,1,4560,7,1,https://encrypted-tbn0.gstatic.com/images?q=tbn:ANd9GcQ02wmDjsAMofj1ObwwNW6Vhl_QQ-LUodGIKA&amp;s,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Spookaboo,Fire,Attack,210,3,3.1,10,1,1,1,0.2,0,1,1,1,,,0.241025641025641,730,4161420000,1,3310,13,2,https://encrypted-tbn0.gstatic.com/images?q=tbn:ANd9GcT29K673YTBvt_EofrppvnWB4sgt43DEq1pTw&amp;s,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Kungpaw,Water,Defend,186,3,3.2,45,1,1,1,0.4,0,1,1,1,,,0.302564102564103,635,4667020000,1,3386,11,2,https://encrypted-tbn0.gstatic.com/images?q=tbn:ANd9GcRV1HdRcNPUS4HjDBZ2YOXgaMW_I8FgZEP5xg&amp;s,,,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10,0,0,250,0,0,0,0,0,1,1,1,,,0,725,5044089200,1,10,31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2026-03-24T08:55:23Z</dcterms:modified>
</cp:coreProperties>
</file>