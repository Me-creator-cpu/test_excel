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xvjm020\Documents\Personnel\"/>
    </mc:Choice>
  </mc:AlternateContent>
  <xr:revisionPtr revIDLastSave="0" documentId="13_ncr:1_{B222438A-2567-49C6-8EEC-EA8CCF656B7D}" xr6:coauthVersionLast="47" xr6:coauthVersionMax="47" xr10:uidLastSave="{00000000-0000-0000-0000-000000000000}"/>
  <bookViews>
    <workbookView xWindow="-120" yWindow="-120" windowWidth="29040" windowHeight="15720" xr2:uid="{9D83D047-1CAD-4BF9-942E-B289F790400E}"/>
  </bookViews>
  <sheets>
    <sheet name="Palmon" sheetId="2" r:id="rId1"/>
    <sheet name="Palmon_data" sheetId="11" r:id="rId2"/>
    <sheet name="TCD" sheetId="7" r:id="rId3"/>
    <sheet name="Details" sheetId="6" r:id="rId4"/>
    <sheet name="Tableaux" sheetId="4" r:id="rId5"/>
    <sheet name="Valeurs" sheetId="10" r:id="rId6"/>
    <sheet name="Equipement" sheetId="14" r:id="rId7"/>
    <sheet name="Stars" sheetId="13" r:id="rId8"/>
    <sheet name="Tests" sheetId="5" r:id="rId9"/>
    <sheet name="CSV tableaux" sheetId="9" r:id="rId10"/>
    <sheet name="Tests Concat" sheetId="12" r:id="rId11"/>
  </sheets>
  <definedNames>
    <definedName name="_xlnm._FilterDatabase" localSheetId="0" hidden="1">Palmon!$B$2:$G$51</definedName>
    <definedName name="CostScreen">_xlfn.LAMBDA(_xlpm.CostBrut,IFERROR(ROUND(_xlpm.CostBrut/CHOOSE(INT((LEN(_xlpm.CostBrut)-1)/3)+1,1,1000,1000000,1000000000),2) &amp; CHOOSE(INT((LEN(_xlpm.CostBrut)-1)/3)+1,"","K","M","B"),""))</definedName>
    <definedName name="GetMutationLevel">_xlfn.LAMBDA(_xlpm.palname,IF(IFERROR(VLOOKUP(_xlpm.palname,_xlfn.CHOOSECOLS(PalmonList,34),1,FALSE),-1)&gt;0,1,IF(IFERROR(VLOOKUP(_xlpm.palname,_xlfn.CHOOSECOLS(PalmonList,35),1,FALSE),-1)&gt;0,2,"")))</definedName>
    <definedName name="HallLevel">Palmon!$C$50</definedName>
    <definedName name="IsBetween">_xlfn.LAMBDA(_xlpm.valeur,_xlpm.mini,_xlpm.maxi,AND(_xlpm.valeur&lt;=_xlpm.maxi,_xlpm.valeur&gt;=_xlpm.mini))</definedName>
    <definedName name="IsUpgradable">_xlfn.LAMBDA(_xlpm.level,IF(AND(_xlpm.level&gt;0,_xlpm.level&lt;HallLevel*10),1,""))</definedName>
    <definedName name="LevelUpgradeCost">_xlfn.LAMBDA(_xlpm.CurrentLevel,MAX(VLOOKUP(HallLevel*10,PalmonUpgradeCost,5,FALSE)-VLOOKUP(MAX(_xlpm.CurrentLevel-1,0),PalmonUpgradeCost,5,FALSE),0))</definedName>
    <definedName name="NeedsFull">Details!$D$9</definedName>
    <definedName name="PalmonList">Palmon!$B$3:$AK$47</definedName>
    <definedName name="PalmonListCols">Palmon!$B$2:$I$2</definedName>
    <definedName name="PalmonListWIthHeaders">Palmon!$B$2:$O$47</definedName>
    <definedName name="PalmonMutationArray">_xlfn.LAMBDA(_xlpm.level1,_xlpm.level2,_xlpm.level3,_xlfn.MAKEARRAY(   _xlpm.level1*_xlpm.level2*_xlpm.level3+_xlpm.level1,   3,   _xlfn.LAMBDA(_xlpm.row,_xlpm.col,     IF(_xlpm.row&lt;=_xlpm.level1*_xlpm.level2*_xlpm.level3,       IF(_xlpm.col=3,         IF(MOD(_xlpm.row,_xlpm.level3)=0,           _xlpm.level3,           MOD(_xlpm.row,_xlpm.level3)         ),         IF(_xlpm.col=2,           IF((1+INT(MOD(_xlpm.row,_xlpm.level2*_xlpm.level3)/_xlpm.level3)-IF(MOD(_xlpm.row,_xlpm.level3)=0,1,0)=0),             1+INT(MOD(_xlpm.row-1,_xlpm.level2*_xlpm.level3)/_xlpm.level3),             1+INT(MOD(_xlpm.row,_xlpm.level2*_xlpm.level3)/_xlpm.level3)-IF(MOD(_xlpm.row,_xlpm.level3)=0,1,0)           ),           INT((_xlpm.row-1)/(_xlpm.level2*_xlpm.level3))+1         )       ),       IF(_xlpm.col=1,         _xlpm.row-(_xlpm.level1*_xlpm.level2*_xlpm.level3),         0       )      )   ) ))</definedName>
    <definedName name="PalmonMutationCost">Tableaux!$N$2:$R$226</definedName>
    <definedName name="PalmonNames">_xlfn._xlws.SORT(Palmon!$B$3:$B$47)</definedName>
    <definedName name="PalmonNamesSorted">Tableaux!$U$3:$U$42</definedName>
    <definedName name="PalmonSkill">{"Attack";"Defend"}</definedName>
    <definedName name="PalmonUpgradeCost">Tableaux!$A$3:$F$302</definedName>
    <definedName name="StepNeeds">Details!$B$4:$E$8</definedName>
    <definedName name="TestNom">_xlfn._xlws.SORT(_xlfn._xlws.FILTER(Palmon!$B$3:$B$47,Palmon!$G$3:$G$47&gt;0))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2" i="4" l="1"/>
  <c r="I281" i="4"/>
  <c r="I280" i="4"/>
  <c r="I279" i="4"/>
  <c r="I278" i="4"/>
  <c r="I277" i="4"/>
  <c r="I276" i="4"/>
  <c r="I275" i="4"/>
  <c r="I274" i="4"/>
  <c r="I273" i="4"/>
  <c r="AF37" i="2"/>
  <c r="AF38" i="2"/>
  <c r="A6" i="11"/>
  <c r="B6" i="11"/>
  <c r="C6" i="11"/>
  <c r="D6" i="11"/>
  <c r="G6" i="11"/>
  <c r="H6" i="11"/>
  <c r="I6" i="11"/>
  <c r="J6" i="11"/>
  <c r="K6" i="11"/>
  <c r="N6" i="11"/>
  <c r="V6" i="11"/>
  <c r="Y6" i="11"/>
  <c r="AC6" i="11"/>
  <c r="AD6" i="11"/>
  <c r="AE6" i="11"/>
  <c r="AF6" i="11"/>
  <c r="AG6" i="11"/>
  <c r="AH6" i="11"/>
  <c r="AI6" i="11"/>
  <c r="AJ6" i="11"/>
  <c r="A7" i="11"/>
  <c r="B7" i="11"/>
  <c r="C7" i="11"/>
  <c r="D7" i="11"/>
  <c r="G7" i="11"/>
  <c r="H7" i="11"/>
  <c r="I7" i="11"/>
  <c r="J7" i="11"/>
  <c r="K7" i="11"/>
  <c r="N7" i="11"/>
  <c r="V7" i="11"/>
  <c r="Y7" i="11"/>
  <c r="AC7" i="11"/>
  <c r="AD7" i="11"/>
  <c r="AE7" i="11"/>
  <c r="AF7" i="11"/>
  <c r="AG7" i="11"/>
  <c r="AH7" i="11"/>
  <c r="AI7" i="11"/>
  <c r="AJ7" i="11"/>
  <c r="A8" i="11"/>
  <c r="B8" i="11"/>
  <c r="C8" i="11"/>
  <c r="D8" i="11"/>
  <c r="G8" i="11"/>
  <c r="H8" i="11"/>
  <c r="I8" i="11"/>
  <c r="J8" i="11"/>
  <c r="K8" i="11"/>
  <c r="N8" i="11"/>
  <c r="V8" i="11"/>
  <c r="Y8" i="11"/>
  <c r="AC8" i="11"/>
  <c r="AD8" i="11"/>
  <c r="AE8" i="11"/>
  <c r="AF8" i="11"/>
  <c r="AG8" i="11"/>
  <c r="AH8" i="11"/>
  <c r="AI8" i="11"/>
  <c r="AJ8" i="11"/>
  <c r="A9" i="11"/>
  <c r="B9" i="11"/>
  <c r="C9" i="11"/>
  <c r="D9" i="11"/>
  <c r="G9" i="11"/>
  <c r="H9" i="11"/>
  <c r="I9" i="11"/>
  <c r="J9" i="11"/>
  <c r="K9" i="11"/>
  <c r="N9" i="11"/>
  <c r="V9" i="11"/>
  <c r="Y9" i="11"/>
  <c r="AC9" i="11"/>
  <c r="AD9" i="11"/>
  <c r="AE9" i="11"/>
  <c r="AF9" i="11"/>
  <c r="AG9" i="11"/>
  <c r="AH9" i="11"/>
  <c r="AI9" i="11"/>
  <c r="AJ9" i="11"/>
  <c r="A10" i="11"/>
  <c r="B10" i="11"/>
  <c r="C10" i="11"/>
  <c r="D10" i="11"/>
  <c r="G10" i="11"/>
  <c r="H10" i="11"/>
  <c r="I10" i="11"/>
  <c r="J10" i="11"/>
  <c r="K10" i="11"/>
  <c r="N10" i="11"/>
  <c r="V10" i="11"/>
  <c r="Y10" i="11"/>
  <c r="AC10" i="11"/>
  <c r="AD10" i="11"/>
  <c r="AE10" i="11"/>
  <c r="AF10" i="11"/>
  <c r="AG10" i="11"/>
  <c r="AH10" i="11"/>
  <c r="AI10" i="11"/>
  <c r="AJ10" i="11"/>
  <c r="A11" i="11"/>
  <c r="B11" i="11"/>
  <c r="C11" i="11"/>
  <c r="D11" i="11"/>
  <c r="G11" i="11"/>
  <c r="H11" i="11"/>
  <c r="I11" i="11"/>
  <c r="J11" i="11"/>
  <c r="K11" i="11"/>
  <c r="N11" i="11"/>
  <c r="V11" i="11"/>
  <c r="Y11" i="11"/>
  <c r="AC11" i="11"/>
  <c r="AD11" i="11"/>
  <c r="AE11" i="11"/>
  <c r="AF11" i="11"/>
  <c r="AG11" i="11"/>
  <c r="AH11" i="11"/>
  <c r="AI11" i="11"/>
  <c r="AJ11" i="11"/>
  <c r="A12" i="11"/>
  <c r="B12" i="11"/>
  <c r="C12" i="11"/>
  <c r="D12" i="11"/>
  <c r="G12" i="11"/>
  <c r="H12" i="11"/>
  <c r="I12" i="11"/>
  <c r="J12" i="11"/>
  <c r="K12" i="11"/>
  <c r="N12" i="11"/>
  <c r="V12" i="11"/>
  <c r="Y12" i="11"/>
  <c r="AC12" i="11"/>
  <c r="AD12" i="11"/>
  <c r="AE12" i="11"/>
  <c r="AF12" i="11"/>
  <c r="AG12" i="11"/>
  <c r="AH12" i="11"/>
  <c r="AI12" i="11"/>
  <c r="AJ12" i="11"/>
  <c r="A13" i="11"/>
  <c r="B13" i="11"/>
  <c r="C13" i="11"/>
  <c r="D13" i="11"/>
  <c r="G13" i="11"/>
  <c r="H13" i="11"/>
  <c r="I13" i="11"/>
  <c r="J13" i="11"/>
  <c r="K13" i="11"/>
  <c r="N13" i="11"/>
  <c r="V13" i="11"/>
  <c r="Y13" i="11"/>
  <c r="AC13" i="11"/>
  <c r="AD13" i="11"/>
  <c r="AE13" i="11"/>
  <c r="AF13" i="11"/>
  <c r="AG13" i="11"/>
  <c r="AH13" i="11"/>
  <c r="AI13" i="11"/>
  <c r="AJ13" i="11"/>
  <c r="A14" i="11"/>
  <c r="B14" i="11"/>
  <c r="C14" i="11"/>
  <c r="D14" i="11"/>
  <c r="G14" i="11"/>
  <c r="H14" i="11"/>
  <c r="I14" i="11"/>
  <c r="J14" i="11"/>
  <c r="K14" i="11"/>
  <c r="N14" i="11"/>
  <c r="V14" i="11"/>
  <c r="Y14" i="11"/>
  <c r="AC14" i="11"/>
  <c r="AD14" i="11"/>
  <c r="AE14" i="11"/>
  <c r="AF14" i="11"/>
  <c r="AG14" i="11"/>
  <c r="AH14" i="11"/>
  <c r="AI14" i="11"/>
  <c r="AJ14" i="11"/>
  <c r="A15" i="11"/>
  <c r="B15" i="11"/>
  <c r="C15" i="11"/>
  <c r="D15" i="11"/>
  <c r="G15" i="11"/>
  <c r="H15" i="11"/>
  <c r="I15" i="11"/>
  <c r="J15" i="11"/>
  <c r="K15" i="11"/>
  <c r="N15" i="11"/>
  <c r="V15" i="11"/>
  <c r="Y15" i="11"/>
  <c r="AC15" i="11"/>
  <c r="AD15" i="11"/>
  <c r="AE15" i="11"/>
  <c r="AF15" i="11"/>
  <c r="AG15" i="11"/>
  <c r="AH15" i="11"/>
  <c r="AI15" i="11"/>
  <c r="AJ15" i="11"/>
  <c r="A16" i="11"/>
  <c r="B16" i="11"/>
  <c r="C16" i="11"/>
  <c r="D16" i="11"/>
  <c r="G16" i="11"/>
  <c r="H16" i="11"/>
  <c r="I16" i="11"/>
  <c r="J16" i="11"/>
  <c r="K16" i="11"/>
  <c r="N16" i="11"/>
  <c r="V16" i="11"/>
  <c r="Y16" i="11"/>
  <c r="AC16" i="11"/>
  <c r="AD16" i="11"/>
  <c r="AE16" i="11"/>
  <c r="AF16" i="11"/>
  <c r="AG16" i="11"/>
  <c r="AH16" i="11"/>
  <c r="AI16" i="11"/>
  <c r="AJ16" i="11"/>
  <c r="A17" i="11"/>
  <c r="B17" i="11"/>
  <c r="C17" i="11"/>
  <c r="D17" i="11"/>
  <c r="G17" i="11"/>
  <c r="H17" i="11"/>
  <c r="I17" i="11"/>
  <c r="J17" i="11"/>
  <c r="K17" i="11"/>
  <c r="N17" i="11"/>
  <c r="V17" i="11"/>
  <c r="Y17" i="11"/>
  <c r="AC17" i="11"/>
  <c r="AD17" i="11"/>
  <c r="AE17" i="11"/>
  <c r="AF17" i="11"/>
  <c r="AG17" i="11"/>
  <c r="AH17" i="11"/>
  <c r="AI17" i="11"/>
  <c r="AJ17" i="11"/>
  <c r="A18" i="11"/>
  <c r="B18" i="11"/>
  <c r="C18" i="11"/>
  <c r="D18" i="11"/>
  <c r="G18" i="11"/>
  <c r="H18" i="11"/>
  <c r="I18" i="11"/>
  <c r="J18" i="11"/>
  <c r="K18" i="11"/>
  <c r="N18" i="11"/>
  <c r="V18" i="11"/>
  <c r="Y18" i="11"/>
  <c r="AC18" i="11"/>
  <c r="AD18" i="11"/>
  <c r="AE18" i="11"/>
  <c r="AF18" i="11"/>
  <c r="AG18" i="11"/>
  <c r="AH18" i="11"/>
  <c r="AI18" i="11"/>
  <c r="AJ18" i="11"/>
  <c r="A19" i="11"/>
  <c r="B19" i="11"/>
  <c r="C19" i="11"/>
  <c r="D19" i="11"/>
  <c r="G19" i="11"/>
  <c r="H19" i="11"/>
  <c r="I19" i="11"/>
  <c r="J19" i="11"/>
  <c r="K19" i="11"/>
  <c r="N19" i="11"/>
  <c r="V19" i="11"/>
  <c r="Y19" i="11"/>
  <c r="AC19" i="11"/>
  <c r="AD19" i="11"/>
  <c r="AE19" i="11"/>
  <c r="AF19" i="11"/>
  <c r="AG19" i="11"/>
  <c r="AH19" i="11"/>
  <c r="AI19" i="11"/>
  <c r="AJ19" i="11"/>
  <c r="A20" i="11"/>
  <c r="B20" i="11"/>
  <c r="C20" i="11"/>
  <c r="D20" i="11"/>
  <c r="G20" i="11"/>
  <c r="H20" i="11"/>
  <c r="I20" i="11"/>
  <c r="J20" i="11"/>
  <c r="K20" i="11"/>
  <c r="N20" i="11"/>
  <c r="V20" i="11"/>
  <c r="Y20" i="11"/>
  <c r="AC20" i="11"/>
  <c r="AD20" i="11"/>
  <c r="AE20" i="11"/>
  <c r="AF20" i="11"/>
  <c r="AG20" i="11"/>
  <c r="AH20" i="11"/>
  <c r="AI20" i="11"/>
  <c r="AJ20" i="11"/>
  <c r="A21" i="11"/>
  <c r="B21" i="11"/>
  <c r="C21" i="11"/>
  <c r="D21" i="11"/>
  <c r="G21" i="11"/>
  <c r="H21" i="11"/>
  <c r="I21" i="11"/>
  <c r="J21" i="11"/>
  <c r="K21" i="11"/>
  <c r="N21" i="11"/>
  <c r="V21" i="11"/>
  <c r="Y21" i="11"/>
  <c r="AC21" i="11"/>
  <c r="AD21" i="11"/>
  <c r="AE21" i="11"/>
  <c r="AF21" i="11"/>
  <c r="AG21" i="11"/>
  <c r="AH21" i="11"/>
  <c r="AI21" i="11"/>
  <c r="AJ21" i="11"/>
  <c r="A22" i="11"/>
  <c r="B22" i="11"/>
  <c r="C22" i="11"/>
  <c r="D22" i="11"/>
  <c r="G22" i="11"/>
  <c r="H22" i="11"/>
  <c r="I22" i="11"/>
  <c r="J22" i="11"/>
  <c r="K22" i="11"/>
  <c r="N22" i="11"/>
  <c r="V22" i="11"/>
  <c r="Y22" i="11"/>
  <c r="AC22" i="11"/>
  <c r="AD22" i="11"/>
  <c r="AE22" i="11"/>
  <c r="AF22" i="11"/>
  <c r="AG22" i="11"/>
  <c r="AH22" i="11"/>
  <c r="AI22" i="11"/>
  <c r="AJ22" i="11"/>
  <c r="A23" i="11"/>
  <c r="B23" i="11"/>
  <c r="C23" i="11"/>
  <c r="D23" i="11"/>
  <c r="G23" i="11"/>
  <c r="H23" i="11"/>
  <c r="I23" i="11"/>
  <c r="J23" i="11"/>
  <c r="K23" i="11"/>
  <c r="N23" i="11"/>
  <c r="V23" i="11"/>
  <c r="Y23" i="11"/>
  <c r="AC23" i="11"/>
  <c r="AD23" i="11"/>
  <c r="AE23" i="11"/>
  <c r="AF23" i="11"/>
  <c r="AG23" i="11"/>
  <c r="AH23" i="11"/>
  <c r="AI23" i="11"/>
  <c r="AJ23" i="11"/>
  <c r="A24" i="11"/>
  <c r="B24" i="11"/>
  <c r="C24" i="11"/>
  <c r="D24" i="11"/>
  <c r="G24" i="11"/>
  <c r="H24" i="11"/>
  <c r="I24" i="11"/>
  <c r="J24" i="11"/>
  <c r="K24" i="11"/>
  <c r="N24" i="11"/>
  <c r="V24" i="11"/>
  <c r="Y24" i="11"/>
  <c r="AC24" i="11"/>
  <c r="AD24" i="11"/>
  <c r="AE24" i="11"/>
  <c r="AF24" i="11"/>
  <c r="AG24" i="11"/>
  <c r="AH24" i="11"/>
  <c r="AI24" i="11"/>
  <c r="AJ24" i="11"/>
  <c r="A25" i="11"/>
  <c r="B25" i="11"/>
  <c r="C25" i="11"/>
  <c r="D25" i="11"/>
  <c r="G25" i="11"/>
  <c r="H25" i="11"/>
  <c r="I25" i="11"/>
  <c r="J25" i="11"/>
  <c r="K25" i="11"/>
  <c r="N25" i="11"/>
  <c r="V25" i="11"/>
  <c r="Y25" i="11"/>
  <c r="AC25" i="11"/>
  <c r="AD25" i="11"/>
  <c r="AE25" i="11"/>
  <c r="AF25" i="11"/>
  <c r="AG25" i="11"/>
  <c r="AH25" i="11"/>
  <c r="AI25" i="11"/>
  <c r="AJ25" i="11"/>
  <c r="A26" i="11"/>
  <c r="B26" i="11"/>
  <c r="C26" i="11"/>
  <c r="D26" i="11"/>
  <c r="G26" i="11"/>
  <c r="H26" i="11"/>
  <c r="I26" i="11"/>
  <c r="J26" i="11"/>
  <c r="K26" i="11"/>
  <c r="N26" i="11"/>
  <c r="V26" i="11"/>
  <c r="Y26" i="11"/>
  <c r="AC26" i="11"/>
  <c r="AD26" i="11"/>
  <c r="AE26" i="11"/>
  <c r="AF26" i="11"/>
  <c r="AG26" i="11"/>
  <c r="AH26" i="11"/>
  <c r="AI26" i="11"/>
  <c r="AJ26" i="11"/>
  <c r="A27" i="11"/>
  <c r="B27" i="11"/>
  <c r="C27" i="11"/>
  <c r="D27" i="11"/>
  <c r="G27" i="11"/>
  <c r="H27" i="11"/>
  <c r="I27" i="11"/>
  <c r="J27" i="11"/>
  <c r="K27" i="11"/>
  <c r="N27" i="11"/>
  <c r="V27" i="11"/>
  <c r="Y27" i="11"/>
  <c r="AC27" i="11"/>
  <c r="AD27" i="11"/>
  <c r="AE27" i="11"/>
  <c r="AF27" i="11"/>
  <c r="AG27" i="11"/>
  <c r="AH27" i="11"/>
  <c r="AI27" i="11"/>
  <c r="AJ27" i="11"/>
  <c r="A28" i="11"/>
  <c r="B28" i="11"/>
  <c r="C28" i="11"/>
  <c r="D28" i="11"/>
  <c r="G28" i="11"/>
  <c r="H28" i="11"/>
  <c r="I28" i="11"/>
  <c r="J28" i="11"/>
  <c r="K28" i="11"/>
  <c r="N28" i="11"/>
  <c r="V28" i="11"/>
  <c r="Y28" i="11"/>
  <c r="AC28" i="11"/>
  <c r="AD28" i="11"/>
  <c r="AE28" i="11"/>
  <c r="AF28" i="11"/>
  <c r="AG28" i="11"/>
  <c r="AH28" i="11"/>
  <c r="AI28" i="11"/>
  <c r="AJ28" i="11"/>
  <c r="A29" i="11"/>
  <c r="B29" i="11"/>
  <c r="C29" i="11"/>
  <c r="D29" i="11"/>
  <c r="G29" i="11"/>
  <c r="H29" i="11"/>
  <c r="I29" i="11"/>
  <c r="J29" i="11"/>
  <c r="K29" i="11"/>
  <c r="N29" i="11"/>
  <c r="V29" i="11"/>
  <c r="Y29" i="11"/>
  <c r="AC29" i="11"/>
  <c r="AD29" i="11"/>
  <c r="AE29" i="11"/>
  <c r="AF29" i="11"/>
  <c r="AG29" i="11"/>
  <c r="AH29" i="11"/>
  <c r="AI29" i="11"/>
  <c r="AJ29" i="11"/>
  <c r="A30" i="11"/>
  <c r="B30" i="11"/>
  <c r="C30" i="11"/>
  <c r="D30" i="11"/>
  <c r="G30" i="11"/>
  <c r="H30" i="11"/>
  <c r="I30" i="11"/>
  <c r="J30" i="11"/>
  <c r="K30" i="11"/>
  <c r="N30" i="11"/>
  <c r="V30" i="11"/>
  <c r="Y30" i="11"/>
  <c r="AC30" i="11"/>
  <c r="AD30" i="11"/>
  <c r="AE30" i="11"/>
  <c r="AF30" i="11"/>
  <c r="AG30" i="11"/>
  <c r="AH30" i="11"/>
  <c r="AI30" i="11"/>
  <c r="AJ30" i="11"/>
  <c r="A31" i="11"/>
  <c r="B31" i="11"/>
  <c r="C31" i="11"/>
  <c r="D31" i="11"/>
  <c r="G31" i="11"/>
  <c r="H31" i="11"/>
  <c r="J31" i="11"/>
  <c r="K31" i="11"/>
  <c r="N31" i="11"/>
  <c r="V31" i="11"/>
  <c r="Y31" i="11"/>
  <c r="AC31" i="11"/>
  <c r="AD31" i="11"/>
  <c r="AE31" i="11"/>
  <c r="AF31" i="11"/>
  <c r="AG31" i="11"/>
  <c r="AH31" i="11"/>
  <c r="AI31" i="11"/>
  <c r="AJ31" i="11"/>
  <c r="A32" i="11"/>
  <c r="B32" i="11"/>
  <c r="C32" i="11"/>
  <c r="D32" i="11"/>
  <c r="G32" i="11"/>
  <c r="H32" i="11"/>
  <c r="N32" i="11"/>
  <c r="V32" i="11"/>
  <c r="Y32" i="11"/>
  <c r="AC32" i="11"/>
  <c r="AD32" i="11"/>
  <c r="AE32" i="11"/>
  <c r="AF32" i="11"/>
  <c r="AG32" i="11"/>
  <c r="AH32" i="11"/>
  <c r="AI32" i="11"/>
  <c r="AJ32" i="11"/>
  <c r="A33" i="11"/>
  <c r="B33" i="11"/>
  <c r="C33" i="11"/>
  <c r="D33" i="11"/>
  <c r="G33" i="11"/>
  <c r="H33" i="11"/>
  <c r="J33" i="11"/>
  <c r="K33" i="11"/>
  <c r="N33" i="11"/>
  <c r="V33" i="11"/>
  <c r="Y33" i="11"/>
  <c r="AC33" i="11"/>
  <c r="AD33" i="11"/>
  <c r="AE33" i="11"/>
  <c r="AF33" i="11"/>
  <c r="AG33" i="11"/>
  <c r="AH33" i="11"/>
  <c r="AI33" i="11"/>
  <c r="AJ33" i="11"/>
  <c r="A34" i="11"/>
  <c r="B34" i="11"/>
  <c r="C34" i="11"/>
  <c r="D34" i="11"/>
  <c r="G34" i="11"/>
  <c r="H34" i="11"/>
  <c r="I34" i="11"/>
  <c r="J34" i="11"/>
  <c r="K34" i="11"/>
  <c r="N34" i="11"/>
  <c r="V34" i="11"/>
  <c r="Y34" i="11"/>
  <c r="AC34" i="11"/>
  <c r="AD34" i="11"/>
  <c r="AE34" i="11"/>
  <c r="AF34" i="11"/>
  <c r="AG34" i="11"/>
  <c r="AH34" i="11"/>
  <c r="AI34" i="11"/>
  <c r="AJ34" i="11"/>
  <c r="A35" i="11"/>
  <c r="B35" i="11"/>
  <c r="C35" i="11"/>
  <c r="D35" i="11"/>
  <c r="G35" i="11"/>
  <c r="H35" i="11"/>
  <c r="J35" i="11"/>
  <c r="K35" i="11"/>
  <c r="N35" i="11"/>
  <c r="V35" i="11"/>
  <c r="Y35" i="11"/>
  <c r="AC35" i="11"/>
  <c r="AD35" i="11"/>
  <c r="AE35" i="11"/>
  <c r="AF35" i="11"/>
  <c r="AG35" i="11"/>
  <c r="AH35" i="11"/>
  <c r="AI35" i="11"/>
  <c r="AJ35" i="11"/>
  <c r="A36" i="11"/>
  <c r="B36" i="11"/>
  <c r="C36" i="11"/>
  <c r="D36" i="11"/>
  <c r="G36" i="11"/>
  <c r="H36" i="11"/>
  <c r="J36" i="11"/>
  <c r="K36" i="11"/>
  <c r="N36" i="11"/>
  <c r="V36" i="11"/>
  <c r="Y36" i="11"/>
  <c r="AC36" i="11"/>
  <c r="AD36" i="11"/>
  <c r="AE36" i="11"/>
  <c r="AF36" i="11"/>
  <c r="AG36" i="11"/>
  <c r="AH36" i="11"/>
  <c r="AI36" i="11"/>
  <c r="AJ36" i="11"/>
  <c r="A37" i="11"/>
  <c r="B37" i="11"/>
  <c r="C37" i="11"/>
  <c r="D37" i="11"/>
  <c r="G37" i="11"/>
  <c r="H37" i="11"/>
  <c r="J37" i="11"/>
  <c r="K37" i="11"/>
  <c r="N37" i="11"/>
  <c r="V37" i="11"/>
  <c r="Y37" i="11"/>
  <c r="AC37" i="11"/>
  <c r="AD37" i="11"/>
  <c r="AE37" i="11"/>
  <c r="AF37" i="11"/>
  <c r="AG37" i="11"/>
  <c r="AH37" i="11"/>
  <c r="AI37" i="11"/>
  <c r="AJ37" i="11"/>
  <c r="A38" i="11"/>
  <c r="B38" i="11"/>
  <c r="C38" i="11"/>
  <c r="D38" i="11"/>
  <c r="G38" i="11"/>
  <c r="H38" i="11"/>
  <c r="N38" i="11"/>
  <c r="V38" i="11"/>
  <c r="Y38" i="11"/>
  <c r="AC38" i="11"/>
  <c r="AD38" i="11"/>
  <c r="AE38" i="11"/>
  <c r="AF38" i="11"/>
  <c r="AG38" i="11"/>
  <c r="AH38" i="11"/>
  <c r="AI38" i="11"/>
  <c r="AJ38" i="11"/>
  <c r="A39" i="11"/>
  <c r="B39" i="11"/>
  <c r="C39" i="11"/>
  <c r="D39" i="11"/>
  <c r="G39" i="11"/>
  <c r="H39" i="11"/>
  <c r="J39" i="11"/>
  <c r="K39" i="11"/>
  <c r="N39" i="11"/>
  <c r="V39" i="11"/>
  <c r="Y39" i="11"/>
  <c r="AC39" i="11"/>
  <c r="AD39" i="11"/>
  <c r="AE39" i="11"/>
  <c r="AF39" i="11"/>
  <c r="AG39" i="11"/>
  <c r="AH39" i="11"/>
  <c r="AI39" i="11"/>
  <c r="AJ39" i="11"/>
  <c r="A40" i="11"/>
  <c r="B40" i="11"/>
  <c r="C40" i="11"/>
  <c r="D40" i="11"/>
  <c r="G40" i="11"/>
  <c r="H40" i="11"/>
  <c r="J40" i="11"/>
  <c r="K40" i="11"/>
  <c r="N40" i="11"/>
  <c r="V40" i="11"/>
  <c r="Y40" i="11"/>
  <c r="AC40" i="11"/>
  <c r="AD40" i="11"/>
  <c r="AE40" i="11"/>
  <c r="AF40" i="11"/>
  <c r="AG40" i="11"/>
  <c r="AH40" i="11"/>
  <c r="AI40" i="11"/>
  <c r="AJ40" i="11"/>
  <c r="A41" i="11"/>
  <c r="B41" i="11"/>
  <c r="C41" i="11"/>
  <c r="D41" i="11"/>
  <c r="G41" i="11"/>
  <c r="H41" i="11"/>
  <c r="J41" i="11"/>
  <c r="K41" i="11"/>
  <c r="N41" i="11"/>
  <c r="V41" i="11"/>
  <c r="Y41" i="11"/>
  <c r="AC41" i="11"/>
  <c r="AD41" i="11"/>
  <c r="AE41" i="11"/>
  <c r="AF41" i="11"/>
  <c r="AG41" i="11"/>
  <c r="AH41" i="11"/>
  <c r="AI41" i="11"/>
  <c r="AJ41" i="11"/>
  <c r="A42" i="11"/>
  <c r="B42" i="11"/>
  <c r="C42" i="11"/>
  <c r="D42" i="11"/>
  <c r="G42" i="11"/>
  <c r="H42" i="11"/>
  <c r="J42" i="11"/>
  <c r="K42" i="11"/>
  <c r="N42" i="11"/>
  <c r="V42" i="11"/>
  <c r="Y42" i="11"/>
  <c r="AC42" i="11"/>
  <c r="AD42" i="11"/>
  <c r="AE42" i="11"/>
  <c r="AF42" i="11"/>
  <c r="AG42" i="11"/>
  <c r="AH42" i="11"/>
  <c r="AI42" i="11"/>
  <c r="AJ42" i="11"/>
  <c r="A43" i="11"/>
  <c r="B43" i="11"/>
  <c r="C43" i="11"/>
  <c r="D43" i="11"/>
  <c r="G43" i="11"/>
  <c r="H43" i="11"/>
  <c r="J43" i="11"/>
  <c r="K43" i="11"/>
  <c r="N43" i="11"/>
  <c r="V43" i="11"/>
  <c r="Y43" i="11"/>
  <c r="AC43" i="11"/>
  <c r="AD43" i="11"/>
  <c r="AE43" i="11"/>
  <c r="AF43" i="11"/>
  <c r="AG43" i="11"/>
  <c r="AH43" i="11"/>
  <c r="AI43" i="11"/>
  <c r="AJ43" i="11"/>
  <c r="A44" i="11"/>
  <c r="B44" i="11"/>
  <c r="C44" i="11"/>
  <c r="D44" i="11"/>
  <c r="G44" i="11"/>
  <c r="H44" i="11"/>
  <c r="J44" i="11"/>
  <c r="K44" i="11"/>
  <c r="N44" i="11"/>
  <c r="V44" i="11"/>
  <c r="Y44" i="11"/>
  <c r="AC44" i="11"/>
  <c r="AD44" i="11"/>
  <c r="AE44" i="11"/>
  <c r="AF44" i="11"/>
  <c r="AG44" i="11"/>
  <c r="AH44" i="11"/>
  <c r="AI44" i="11"/>
  <c r="AJ44" i="11"/>
  <c r="A45" i="11"/>
  <c r="B45" i="11"/>
  <c r="C45" i="11"/>
  <c r="D45" i="11"/>
  <c r="G45" i="11"/>
  <c r="H45" i="11"/>
  <c r="J45" i="11"/>
  <c r="K45" i="11"/>
  <c r="N45" i="11"/>
  <c r="V45" i="11"/>
  <c r="Y45" i="11"/>
  <c r="AC45" i="11"/>
  <c r="AD45" i="11"/>
  <c r="AE45" i="11"/>
  <c r="AF45" i="11"/>
  <c r="AG45" i="11"/>
  <c r="AH45" i="11"/>
  <c r="AI45" i="11"/>
  <c r="AJ45" i="11"/>
  <c r="A46" i="11"/>
  <c r="B46" i="11"/>
  <c r="C46" i="11"/>
  <c r="D46" i="11"/>
  <c r="G46" i="11"/>
  <c r="H46" i="11"/>
  <c r="N46" i="11"/>
  <c r="V46" i="11"/>
  <c r="Y46" i="11"/>
  <c r="AC46" i="11"/>
  <c r="AD46" i="11"/>
  <c r="AE46" i="11"/>
  <c r="AF46" i="11"/>
  <c r="AG46" i="11"/>
  <c r="AH46" i="11"/>
  <c r="AI46" i="11"/>
  <c r="AJ46" i="11"/>
  <c r="AF7" i="2"/>
  <c r="AG7" i="2"/>
  <c r="AA7" i="2"/>
  <c r="Z6" i="11" s="1"/>
  <c r="T7" i="2"/>
  <c r="S6" i="11" s="1"/>
  <c r="S7" i="2"/>
  <c r="R6" i="11" s="1"/>
  <c r="R7" i="2"/>
  <c r="Q6" i="11" s="1"/>
  <c r="Q7" i="2"/>
  <c r="P7" i="2"/>
  <c r="O6" i="11" s="1"/>
  <c r="N7" i="2"/>
  <c r="M6" i="11" s="1"/>
  <c r="G7" i="2"/>
  <c r="M7" i="2" s="1"/>
  <c r="L6" i="11" s="1"/>
  <c r="F7" i="2" a="1"/>
  <c r="F7" i="2" s="1"/>
  <c r="Y7" i="2" s="1"/>
  <c r="X6" i="11" s="1"/>
  <c r="A7" i="2" a="1"/>
  <c r="A7" i="2" s="1"/>
  <c r="V7" i="2" l="1" a="1"/>
  <c r="V7" i="2" s="1"/>
  <c r="U6" i="11" s="1"/>
  <c r="F6" i="11"/>
  <c r="P6" i="11"/>
  <c r="E6" i="11"/>
  <c r="U7" i="2" a="1"/>
  <c r="U7" i="2" s="1"/>
  <c r="T6" i="11" s="1"/>
  <c r="AE3" i="11"/>
  <c r="AE4" i="11"/>
  <c r="AD3" i="11"/>
  <c r="AD4" i="11"/>
  <c r="AD5" i="11"/>
  <c r="AH3" i="11"/>
  <c r="AI3" i="11"/>
  <c r="AH4" i="11"/>
  <c r="AI4" i="11"/>
  <c r="AH5" i="11"/>
  <c r="AI5" i="11"/>
  <c r="AI2" i="11"/>
  <c r="AH2" i="11"/>
  <c r="J38" i="2" a="1"/>
  <c r="J38" i="2" s="1"/>
  <c r="I37" i="11" s="1"/>
  <c r="J37" i="2" a="1"/>
  <c r="J37" i="2" s="1"/>
  <c r="I36" i="11" s="1"/>
  <c r="J36" i="2" a="1"/>
  <c r="J36" i="2" s="1"/>
  <c r="I35" i="11" s="1"/>
  <c r="F38" i="2" a="1"/>
  <c r="F38" i="2" s="1"/>
  <c r="G38" i="2"/>
  <c r="F37" i="11" s="1"/>
  <c r="M38" i="2"/>
  <c r="L37" i="11" s="1"/>
  <c r="N38" i="2"/>
  <c r="M37" i="11" s="1"/>
  <c r="P38" i="2"/>
  <c r="O37" i="11" s="1"/>
  <c r="Q38" i="2"/>
  <c r="P37" i="11" s="1"/>
  <c r="R38" i="2"/>
  <c r="Q37" i="11" s="1"/>
  <c r="S38" i="2"/>
  <c r="R37" i="11" s="1"/>
  <c r="T38" i="2"/>
  <c r="S37" i="11" s="1"/>
  <c r="AA38" i="2"/>
  <c r="Z37" i="11" s="1"/>
  <c r="AA37" i="2"/>
  <c r="Z36" i="11" s="1"/>
  <c r="P37" i="2"/>
  <c r="O36" i="11" s="1"/>
  <c r="Q37" i="2"/>
  <c r="P36" i="11" s="1"/>
  <c r="R37" i="2"/>
  <c r="Q36" i="11" s="1"/>
  <c r="S37" i="2"/>
  <c r="R36" i="11" s="1"/>
  <c r="T37" i="2"/>
  <c r="S36" i="11" s="1"/>
  <c r="N37" i="2"/>
  <c r="M36" i="11" s="1"/>
  <c r="G37" i="2"/>
  <c r="F37" i="2" a="1"/>
  <c r="F37" i="2" s="1"/>
  <c r="I272" i="4"/>
  <c r="I271" i="4"/>
  <c r="I270" i="4"/>
  <c r="I269" i="4"/>
  <c r="I268" i="4"/>
  <c r="I267" i="4"/>
  <c r="I266" i="4"/>
  <c r="I265" i="4"/>
  <c r="I264" i="4"/>
  <c r="M37" i="2" l="1"/>
  <c r="L36" i="11" s="1"/>
  <c r="F36" i="11"/>
  <c r="Y37" i="2"/>
  <c r="X36" i="11" s="1"/>
  <c r="E36" i="11"/>
  <c r="Y38" i="2"/>
  <c r="X37" i="11" s="1"/>
  <c r="E37" i="11"/>
  <c r="U38" i="2" a="1"/>
  <c r="U38" i="2" s="1"/>
  <c r="T37" i="11" s="1"/>
  <c r="V38" i="2" a="1"/>
  <c r="V38" i="2" s="1"/>
  <c r="U37" i="11" s="1"/>
  <c r="U37" i="2" a="1"/>
  <c r="U37" i="2" s="1"/>
  <c r="T36" i="11" s="1"/>
  <c r="V37" i="2" a="1"/>
  <c r="V37" i="2" s="1"/>
  <c r="U36" i="11" s="1"/>
  <c r="I263" i="4"/>
  <c r="J302" i="4"/>
  <c r="J292" i="4"/>
  <c r="J282" i="4"/>
  <c r="J272" i="4"/>
  <c r="F7" i="10"/>
  <c r="F6" i="10"/>
  <c r="F5" i="10"/>
  <c r="F4" i="10"/>
  <c r="F3" i="10"/>
  <c r="AG39" i="2" l="1"/>
  <c r="AF39" i="2"/>
  <c r="AA39" i="2"/>
  <c r="Z38" i="11" s="1"/>
  <c r="T39" i="2"/>
  <c r="S38" i="11" s="1"/>
  <c r="S39" i="2"/>
  <c r="R38" i="11" s="1"/>
  <c r="R39" i="2"/>
  <c r="Q38" i="11" s="1"/>
  <c r="Q39" i="2"/>
  <c r="P38" i="11" s="1"/>
  <c r="P39" i="2"/>
  <c r="O38" i="11" s="1"/>
  <c r="N39" i="2"/>
  <c r="M38" i="11" s="1"/>
  <c r="J39" i="2" a="1"/>
  <c r="G39" i="2"/>
  <c r="F38" i="11" s="1"/>
  <c r="F39" i="2" a="1"/>
  <c r="F39" i="2" s="1"/>
  <c r="E38" i="11" s="1"/>
  <c r="C7" i="13"/>
  <c r="C6" i="13"/>
  <c r="C5" i="13"/>
  <c r="C4" i="13"/>
  <c r="C3" i="13"/>
  <c r="C2" i="13"/>
  <c r="A2" i="11"/>
  <c r="B2" i="11"/>
  <c r="C2" i="11"/>
  <c r="D2" i="11"/>
  <c r="G2" i="11"/>
  <c r="H2" i="11"/>
  <c r="I2" i="11"/>
  <c r="J2" i="11"/>
  <c r="K2" i="11"/>
  <c r="N2" i="11"/>
  <c r="V2" i="11"/>
  <c r="Y2" i="11"/>
  <c r="AC2" i="11"/>
  <c r="AG2" i="11"/>
  <c r="AJ2" i="11"/>
  <c r="A3" i="11"/>
  <c r="B3" i="11"/>
  <c r="C3" i="11"/>
  <c r="D3" i="11"/>
  <c r="G3" i="11"/>
  <c r="H3" i="11"/>
  <c r="I3" i="11"/>
  <c r="J3" i="11"/>
  <c r="K3" i="11"/>
  <c r="N3" i="11"/>
  <c r="V3" i="11"/>
  <c r="Y3" i="11"/>
  <c r="AC3" i="11"/>
  <c r="AG3" i="11"/>
  <c r="AJ3" i="11"/>
  <c r="A4" i="11"/>
  <c r="B4" i="11"/>
  <c r="C4" i="11"/>
  <c r="D4" i="11"/>
  <c r="G4" i="11"/>
  <c r="H4" i="11"/>
  <c r="I4" i="11"/>
  <c r="J4" i="11"/>
  <c r="K4" i="11"/>
  <c r="N4" i="11"/>
  <c r="V4" i="11"/>
  <c r="Y4" i="11"/>
  <c r="AC4" i="11"/>
  <c r="AG4" i="11"/>
  <c r="AJ4" i="11"/>
  <c r="A5" i="11"/>
  <c r="B5" i="11"/>
  <c r="C5" i="11"/>
  <c r="D5" i="11"/>
  <c r="G5" i="11"/>
  <c r="H5" i="11"/>
  <c r="I5" i="11"/>
  <c r="J5" i="11"/>
  <c r="K5" i="11"/>
  <c r="N5" i="11"/>
  <c r="V5" i="11"/>
  <c r="Y5" i="11"/>
  <c r="AC5" i="11"/>
  <c r="AG5" i="11"/>
  <c r="AJ5" i="11"/>
  <c r="A7" i="12" a="1"/>
  <c r="A7" i="12" s="1"/>
  <c r="A2" i="12" a="1"/>
  <c r="A2" i="12" s="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1" i="11"/>
  <c r="U3" i="4" a="1"/>
  <c r="U3" i="4" s="1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AG30" i="2"/>
  <c r="AA30" i="2"/>
  <c r="Z29" i="11" s="1"/>
  <c r="T30" i="2"/>
  <c r="S29" i="11" s="1"/>
  <c r="S30" i="2"/>
  <c r="R29" i="11" s="1"/>
  <c r="R30" i="2"/>
  <c r="Q29" i="11" s="1"/>
  <c r="Q30" i="2"/>
  <c r="P29" i="11" s="1"/>
  <c r="P30" i="2"/>
  <c r="O29" i="11" s="1"/>
  <c r="N30" i="2"/>
  <c r="M29" i="11" s="1"/>
  <c r="G30" i="2"/>
  <c r="F30" i="2" a="1"/>
  <c r="F30" i="2" s="1"/>
  <c r="A30" i="2" a="1"/>
  <c r="A30" i="2" s="1"/>
  <c r="I256" i="4"/>
  <c r="I257" i="4"/>
  <c r="I258" i="4"/>
  <c r="I259" i="4"/>
  <c r="I260" i="4"/>
  <c r="I261" i="4"/>
  <c r="I262" i="4"/>
  <c r="I255" i="4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F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2" i="9"/>
  <c r="Z36" i="4"/>
  <c r="Z37" i="4"/>
  <c r="R59" i="2"/>
  <c r="R60" i="2"/>
  <c r="R61" i="2"/>
  <c r="R58" i="2"/>
  <c r="Q59" i="2"/>
  <c r="Q60" i="2"/>
  <c r="Q61" i="2"/>
  <c r="Q58" i="2"/>
  <c r="AA31" i="4"/>
  <c r="AB21" i="4"/>
  <c r="AB23" i="4" s="1"/>
  <c r="AA21" i="4"/>
  <c r="AA20" i="4"/>
  <c r="AA19" i="4"/>
  <c r="B123" i="5" a="1"/>
  <c r="B123" i="5" s="1"/>
  <c r="C123" i="5" a="1"/>
  <c r="C123" i="5" s="1"/>
  <c r="C120" i="5" a="1"/>
  <c r="C120" i="5" s="1"/>
  <c r="C119" i="5" a="1"/>
  <c r="C119" i="5" s="1"/>
  <c r="B119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C75" i="5"/>
  <c r="C105" i="5" a="1"/>
  <c r="C105" i="5" s="1"/>
  <c r="B44" i="5"/>
  <c r="B59" i="5"/>
  <c r="B74" i="5"/>
  <c r="B89" i="5"/>
  <c r="B104" i="5"/>
  <c r="B105" i="5" a="1"/>
  <c r="B105" i="5" s="1"/>
  <c r="C104" i="5" a="1"/>
  <c r="C104" i="5" s="1"/>
  <c r="C90" i="5" a="1"/>
  <c r="C90" i="5" s="1"/>
  <c r="B90" i="5" a="1"/>
  <c r="B90" i="5" s="1"/>
  <c r="C89" i="5" a="1"/>
  <c r="C89" i="5" s="1"/>
  <c r="A5" i="12" a="1"/>
  <c r="A4" i="12"/>
  <c r="B4" i="12" a="1"/>
  <c r="J38" i="11" l="1"/>
  <c r="K38" i="11"/>
  <c r="M30" i="2"/>
  <c r="L29" i="11" s="1"/>
  <c r="F29" i="11"/>
  <c r="Y30" i="2"/>
  <c r="X29" i="11" s="1"/>
  <c r="E29" i="11"/>
  <c r="J39" i="2"/>
  <c r="I38" i="11" s="1"/>
  <c r="U39" i="2" a="1"/>
  <c r="U39" i="2" s="1"/>
  <c r="T38" i="11" s="1"/>
  <c r="M39" i="2"/>
  <c r="L38" i="11" s="1"/>
  <c r="Y39" i="2"/>
  <c r="X38" i="11" s="1"/>
  <c r="V39" i="2" a="1"/>
  <c r="V39" i="2" s="1"/>
  <c r="U38" i="11" s="1"/>
  <c r="V30" i="2" a="1"/>
  <c r="V30" i="2" s="1"/>
  <c r="U29" i="11" s="1"/>
  <c r="U30" i="2" a="1"/>
  <c r="U30" i="2" s="1"/>
  <c r="T29" i="11" s="1"/>
  <c r="B4" i="12"/>
  <c r="A5" i="12"/>
  <c r="AC24" i="4"/>
  <c r="S59" i="2"/>
  <c r="S58" i="2"/>
  <c r="S61" i="2"/>
  <c r="S60" i="2"/>
  <c r="AC22" i="4"/>
  <c r="A47" i="2" a="1"/>
  <c r="A47" i="2" s="1"/>
  <c r="A46" i="2" a="1"/>
  <c r="A46" i="2" s="1"/>
  <c r="A45" i="2" a="1"/>
  <c r="A45" i="2" s="1"/>
  <c r="A44" i="2" a="1"/>
  <c r="A44" i="2" s="1"/>
  <c r="A43" i="2" a="1"/>
  <c r="A43" i="2" s="1"/>
  <c r="A42" i="2" a="1"/>
  <c r="A42" i="2" s="1"/>
  <c r="A41" i="2" a="1"/>
  <c r="A41" i="2" s="1"/>
  <c r="A40" i="2" a="1"/>
  <c r="A40" i="2" s="1"/>
  <c r="A36" i="2" a="1"/>
  <c r="A36" i="2" s="1"/>
  <c r="A35" i="2" a="1"/>
  <c r="A35" i="2" s="1"/>
  <c r="A34" i="2" a="1"/>
  <c r="A34" i="2" s="1"/>
  <c r="A33" i="2" a="1"/>
  <c r="A33" i="2" s="1"/>
  <c r="A32" i="2" a="1"/>
  <c r="A32" i="2" s="1"/>
  <c r="A31" i="2" a="1"/>
  <c r="A31" i="2" s="1"/>
  <c r="A29" i="2" a="1"/>
  <c r="A29" i="2" s="1"/>
  <c r="A28" i="2" a="1"/>
  <c r="A28" i="2" s="1"/>
  <c r="A27" i="2" a="1"/>
  <c r="A27" i="2" s="1"/>
  <c r="A26" i="2" a="1"/>
  <c r="A26" i="2" s="1"/>
  <c r="A25" i="2" a="1"/>
  <c r="A25" i="2" s="1"/>
  <c r="A24" i="2" a="1"/>
  <c r="A24" i="2" s="1"/>
  <c r="A23" i="2" a="1"/>
  <c r="A23" i="2" s="1"/>
  <c r="A22" i="2" a="1"/>
  <c r="A22" i="2" s="1"/>
  <c r="A21" i="2" a="1"/>
  <c r="A21" i="2" s="1"/>
  <c r="A20" i="2" a="1"/>
  <c r="A20" i="2" s="1"/>
  <c r="A19" i="2" a="1"/>
  <c r="A19" i="2" s="1"/>
  <c r="A18" i="2" a="1"/>
  <c r="A18" i="2" s="1"/>
  <c r="A17" i="2" a="1"/>
  <c r="A17" i="2" s="1"/>
  <c r="A16" i="2" a="1"/>
  <c r="A16" i="2" s="1"/>
  <c r="A15" i="2" a="1"/>
  <c r="A15" i="2" s="1"/>
  <c r="A14" i="2" a="1"/>
  <c r="A14" i="2" s="1"/>
  <c r="A13" i="2" a="1"/>
  <c r="A13" i="2" s="1"/>
  <c r="A12" i="2" a="1"/>
  <c r="A12" i="2" s="1"/>
  <c r="A11" i="2" a="1"/>
  <c r="A11" i="2" s="1"/>
  <c r="A10" i="2" a="1"/>
  <c r="A10" i="2" s="1"/>
  <c r="A9" i="2" a="1"/>
  <c r="A9" i="2" s="1"/>
  <c r="A8" i="2" a="1"/>
  <c r="A8" i="2" s="1"/>
  <c r="A6" i="2" a="1"/>
  <c r="A6" i="2" s="1"/>
  <c r="A5" i="2" a="1"/>
  <c r="A5" i="2" s="1"/>
  <c r="A4" i="2" a="1"/>
  <c r="A4" i="2" s="1"/>
  <c r="A3" i="2" a="1"/>
  <c r="A3" i="2" s="1"/>
  <c r="D8" i="6"/>
  <c r="D7" i="6"/>
  <c r="E7" i="6" s="1"/>
  <c r="E6" i="6"/>
  <c r="D6" i="6"/>
  <c r="E5" i="6"/>
  <c r="D5" i="6"/>
  <c r="E4" i="6"/>
  <c r="D4" i="6"/>
  <c r="D9" i="6" s="1"/>
  <c r="G3" i="6"/>
  <c r="F5" i="6" s="1"/>
  <c r="H2" i="6"/>
  <c r="G2" i="6"/>
  <c r="U15" i="7" l="1" a="1"/>
  <c r="U15" i="7" s="1"/>
  <c r="F7" i="6"/>
  <c r="E8" i="6"/>
  <c r="E9" i="6" s="1"/>
  <c r="F6" i="6"/>
  <c r="F4" i="6"/>
  <c r="F8" i="6"/>
  <c r="G9" i="6" l="1"/>
  <c r="F9" i="6"/>
  <c r="AK48" i="2" l="1"/>
  <c r="AJ48" i="2"/>
  <c r="AI48" i="2"/>
  <c r="J47" i="2" l="1" a="1"/>
  <c r="J46" i="2" a="1"/>
  <c r="J46" i="2" s="1"/>
  <c r="I45" i="11" s="1"/>
  <c r="J45" i="2" a="1"/>
  <c r="J45" i="2" s="1"/>
  <c r="I44" i="11" s="1"/>
  <c r="J44" i="2" a="1"/>
  <c r="J44" i="2" s="1"/>
  <c r="I43" i="11" s="1"/>
  <c r="J43" i="2" a="1"/>
  <c r="J43" i="2" s="1"/>
  <c r="I42" i="11" s="1"/>
  <c r="J42" i="2" a="1"/>
  <c r="J42" i="2" s="1"/>
  <c r="I41" i="11" s="1"/>
  <c r="J41" i="2" a="1"/>
  <c r="J41" i="2" s="1"/>
  <c r="I40" i="11" s="1"/>
  <c r="J40" i="2" a="1"/>
  <c r="J40" i="2" s="1"/>
  <c r="I39" i="11" s="1"/>
  <c r="J34" i="2" a="1"/>
  <c r="J34" i="2" s="1"/>
  <c r="I33" i="11" s="1"/>
  <c r="J33" i="2" a="1"/>
  <c r="J32" i="2" a="1"/>
  <c r="J32" i="2" s="1"/>
  <c r="I31" i="11" s="1"/>
  <c r="Q33" i="7" a="1"/>
  <c r="Q33" i="7" s="1"/>
  <c r="AE3" i="2"/>
  <c r="AD2" i="11" s="1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AF47" i="2"/>
  <c r="AF46" i="2"/>
  <c r="AF45" i="2"/>
  <c r="AF44" i="2"/>
  <c r="AF43" i="2"/>
  <c r="AF42" i="2"/>
  <c r="AF41" i="2"/>
  <c r="AF40" i="2"/>
  <c r="AF36" i="2"/>
  <c r="AF34" i="2"/>
  <c r="AF32" i="2"/>
  <c r="AF29" i="2"/>
  <c r="AF28" i="2"/>
  <c r="AF27" i="2"/>
  <c r="AF20" i="2"/>
  <c r="AF16" i="2"/>
  <c r="AF15" i="2"/>
  <c r="AF14" i="2"/>
  <c r="AF13" i="2"/>
  <c r="AF9" i="2"/>
  <c r="AF6" i="2"/>
  <c r="AE5" i="11" s="1"/>
  <c r="AF3" i="2"/>
  <c r="AE2" i="11" s="1"/>
  <c r="AG47" i="2"/>
  <c r="AG46" i="2"/>
  <c r="AG45" i="2"/>
  <c r="AG44" i="2"/>
  <c r="AG43" i="2"/>
  <c r="AG42" i="2"/>
  <c r="AG41" i="2"/>
  <c r="AG40" i="2"/>
  <c r="AG36" i="2"/>
  <c r="AG35" i="2"/>
  <c r="AG34" i="2"/>
  <c r="AG33" i="2"/>
  <c r="AG32" i="2"/>
  <c r="AG31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6" i="2"/>
  <c r="AF5" i="11" s="1"/>
  <c r="AG5" i="2"/>
  <c r="AF4" i="11" s="1"/>
  <c r="AG4" i="2"/>
  <c r="AF3" i="11" s="1"/>
  <c r="AG3" i="2"/>
  <c r="AF2" i="11" s="1"/>
  <c r="C48" i="2"/>
  <c r="B48" i="2"/>
  <c r="AA47" i="2"/>
  <c r="Z46" i="11" s="1"/>
  <c r="AA46" i="2"/>
  <c r="Z45" i="11" s="1"/>
  <c r="AA45" i="2"/>
  <c r="Z44" i="11" s="1"/>
  <c r="AA44" i="2"/>
  <c r="Z43" i="11" s="1"/>
  <c r="AA43" i="2"/>
  <c r="Z42" i="11" s="1"/>
  <c r="AA42" i="2"/>
  <c r="Z41" i="11" s="1"/>
  <c r="AA41" i="2"/>
  <c r="Z40" i="11" s="1"/>
  <c r="AA40" i="2"/>
  <c r="Z39" i="11" s="1"/>
  <c r="AA36" i="2"/>
  <c r="Z35" i="11" s="1"/>
  <c r="AA35" i="2"/>
  <c r="Z34" i="11" s="1"/>
  <c r="AA34" i="2"/>
  <c r="Z33" i="11" s="1"/>
  <c r="AA33" i="2"/>
  <c r="Z32" i="11" s="1"/>
  <c r="AA32" i="2"/>
  <c r="Z31" i="11" s="1"/>
  <c r="AA31" i="2"/>
  <c r="Z30" i="11" s="1"/>
  <c r="AA29" i="2"/>
  <c r="Z28" i="11" s="1"/>
  <c r="AA28" i="2"/>
  <c r="Z27" i="11" s="1"/>
  <c r="AA27" i="2"/>
  <c r="Z26" i="11" s="1"/>
  <c r="AA26" i="2"/>
  <c r="Z25" i="11" s="1"/>
  <c r="AA25" i="2"/>
  <c r="Z24" i="11" s="1"/>
  <c r="AA24" i="2"/>
  <c r="Z23" i="11" s="1"/>
  <c r="AA23" i="2"/>
  <c r="Z22" i="11" s="1"/>
  <c r="AA22" i="2"/>
  <c r="Z21" i="11" s="1"/>
  <c r="AA21" i="2"/>
  <c r="Z20" i="11" s="1"/>
  <c r="AA20" i="2"/>
  <c r="Z19" i="11" s="1"/>
  <c r="AA19" i="2"/>
  <c r="Z18" i="11" s="1"/>
  <c r="AA18" i="2"/>
  <c r="Z17" i="11" s="1"/>
  <c r="AA17" i="2"/>
  <c r="Z16" i="11" s="1"/>
  <c r="AA16" i="2"/>
  <c r="Z15" i="11" s="1"/>
  <c r="AA15" i="2"/>
  <c r="Z14" i="11" s="1"/>
  <c r="AA14" i="2"/>
  <c r="Z13" i="11" s="1"/>
  <c r="AA13" i="2"/>
  <c r="Z12" i="11" s="1"/>
  <c r="AA12" i="2"/>
  <c r="Z11" i="11" s="1"/>
  <c r="AA11" i="2"/>
  <c r="Z10" i="11" s="1"/>
  <c r="AA10" i="2"/>
  <c r="Z9" i="11" s="1"/>
  <c r="AA9" i="2"/>
  <c r="Z8" i="11" s="1"/>
  <c r="AA8" i="2"/>
  <c r="Z7" i="11" s="1"/>
  <c r="AA6" i="2"/>
  <c r="Z5" i="11" s="1"/>
  <c r="AA5" i="2"/>
  <c r="Z4" i="11" s="1"/>
  <c r="AA4" i="2"/>
  <c r="Z3" i="11" s="1"/>
  <c r="Q31" i="2"/>
  <c r="P30" i="11" s="1"/>
  <c r="Q32" i="2"/>
  <c r="P31" i="11" s="1"/>
  <c r="Q33" i="2"/>
  <c r="P32" i="11" s="1"/>
  <c r="Q34" i="2"/>
  <c r="P33" i="11" s="1"/>
  <c r="Q35" i="2"/>
  <c r="P34" i="11" s="1"/>
  <c r="Q36" i="2"/>
  <c r="P35" i="11" s="1"/>
  <c r="Q40" i="2"/>
  <c r="P39" i="11" s="1"/>
  <c r="Q41" i="2"/>
  <c r="P40" i="11" s="1"/>
  <c r="Q42" i="2"/>
  <c r="P41" i="11" s="1"/>
  <c r="Q43" i="2"/>
  <c r="P42" i="11" s="1"/>
  <c r="Q44" i="2"/>
  <c r="P43" i="11" s="1"/>
  <c r="Q45" i="2"/>
  <c r="P44" i="11" s="1"/>
  <c r="Q46" i="2"/>
  <c r="P45" i="11" s="1"/>
  <c r="Q47" i="2"/>
  <c r="P46" i="11" s="1"/>
  <c r="AA3" i="2"/>
  <c r="J32" i="11" l="1"/>
  <c r="K32" i="11"/>
  <c r="K46" i="11"/>
  <c r="J46" i="11"/>
  <c r="AB7" i="2"/>
  <c r="AB38" i="2"/>
  <c r="AA37" i="11" s="1"/>
  <c r="Z2" i="11"/>
  <c r="AB37" i="2"/>
  <c r="AA36" i="11" s="1"/>
  <c r="J33" i="2"/>
  <c r="I32" i="11" s="1"/>
  <c r="AB39" i="2"/>
  <c r="AA38" i="11" s="1"/>
  <c r="J47" i="2"/>
  <c r="I46" i="11" s="1"/>
  <c r="AB30" i="2"/>
  <c r="AA29" i="11" s="1"/>
  <c r="AB35" i="2"/>
  <c r="AA34" i="11" s="1"/>
  <c r="AB22" i="2"/>
  <c r="AA21" i="11" s="1"/>
  <c r="AB3" i="2"/>
  <c r="AB4" i="2"/>
  <c r="AA3" i="11" s="1"/>
  <c r="AB18" i="2"/>
  <c r="AA17" i="11" s="1"/>
  <c r="AB19" i="2"/>
  <c r="AA18" i="11" s="1"/>
  <c r="AB20" i="2"/>
  <c r="AA19" i="11" s="1"/>
  <c r="AB27" i="2"/>
  <c r="AA26" i="11" s="1"/>
  <c r="AB45" i="2"/>
  <c r="AA44" i="11" s="1"/>
  <c r="AB46" i="2"/>
  <c r="AA45" i="11" s="1"/>
  <c r="AB47" i="2"/>
  <c r="AA46" i="11" s="1"/>
  <c r="AB21" i="2"/>
  <c r="AA20" i="11" s="1"/>
  <c r="AB5" i="2"/>
  <c r="AA4" i="11" s="1"/>
  <c r="AB28" i="2"/>
  <c r="AA27" i="11" s="1"/>
  <c r="AB6" i="2"/>
  <c r="AA5" i="11" s="1"/>
  <c r="AB29" i="2"/>
  <c r="AA28" i="11" s="1"/>
  <c r="AB8" i="2"/>
  <c r="AA7" i="11" s="1"/>
  <c r="AB31" i="2"/>
  <c r="AA30" i="11" s="1"/>
  <c r="AB9" i="2"/>
  <c r="AA8" i="11" s="1"/>
  <c r="AB34" i="2"/>
  <c r="AA33" i="11" s="1"/>
  <c r="AB10" i="2"/>
  <c r="AA9" i="11" s="1"/>
  <c r="AB43" i="2"/>
  <c r="AA42" i="11" s="1"/>
  <c r="AB17" i="2"/>
  <c r="AA16" i="11" s="1"/>
  <c r="AB44" i="2"/>
  <c r="AA43" i="11" s="1"/>
  <c r="AB15" i="2"/>
  <c r="AA14" i="11" s="1"/>
  <c r="AB32" i="2"/>
  <c r="AA31" i="11" s="1"/>
  <c r="AB16" i="2"/>
  <c r="AA15" i="11" s="1"/>
  <c r="AB33" i="2"/>
  <c r="AA32" i="11" s="1"/>
  <c r="AB11" i="2"/>
  <c r="AA10" i="11" s="1"/>
  <c r="AB23" i="2"/>
  <c r="AA22" i="11" s="1"/>
  <c r="AB36" i="2"/>
  <c r="AA35" i="11" s="1"/>
  <c r="AB12" i="2"/>
  <c r="AA11" i="11" s="1"/>
  <c r="AB24" i="2"/>
  <c r="AA23" i="11" s="1"/>
  <c r="AB40" i="2"/>
  <c r="AA39" i="11" s="1"/>
  <c r="AB13" i="2"/>
  <c r="AA12" i="11" s="1"/>
  <c r="AB25" i="2"/>
  <c r="AA24" i="11" s="1"/>
  <c r="AB41" i="2"/>
  <c r="AA40" i="11" s="1"/>
  <c r="AB14" i="2"/>
  <c r="AA13" i="11" s="1"/>
  <c r="AB26" i="2"/>
  <c r="AA25" i="11" s="1"/>
  <c r="AB42" i="2"/>
  <c r="AA41" i="11" s="1"/>
  <c r="L2" i="4"/>
  <c r="K2" i="4"/>
  <c r="J2" i="4"/>
  <c r="I2" i="4"/>
  <c r="AC7" i="2" l="1" a="1"/>
  <c r="AC7" i="2" s="1"/>
  <c r="AB6" i="11" s="1"/>
  <c r="AA6" i="11"/>
  <c r="AC37" i="2" a="1"/>
  <c r="AC37" i="2" s="1"/>
  <c r="AB36" i="11" s="1"/>
  <c r="AC38" i="2" a="1"/>
  <c r="AC38" i="2" s="1"/>
  <c r="AB37" i="11" s="1"/>
  <c r="AC39" i="2" a="1"/>
  <c r="AC39" i="2" s="1"/>
  <c r="AB38" i="11" s="1"/>
  <c r="AA2" i="11"/>
  <c r="AC30" i="2" a="1"/>
  <c r="AC30" i="2" s="1"/>
  <c r="AB29" i="11" s="1"/>
  <c r="L51" i="7" a="1"/>
  <c r="P42" i="7" a="1"/>
  <c r="P42" i="7" s="1"/>
  <c r="L42" i="7" a="1"/>
  <c r="L42" i="7" s="1"/>
  <c r="B75" i="5" a="1"/>
  <c r="B75" i="5" s="1"/>
  <c r="C74" i="5" a="1"/>
  <c r="C74" i="5" s="1"/>
  <c r="C59" i="5" a="1"/>
  <c r="C59" i="5" s="1"/>
  <c r="B60" i="5" a="1"/>
  <c r="B60" i="5" s="1"/>
  <c r="K3" i="5"/>
  <c r="L51" i="7" l="1"/>
  <c r="Q52" i="7" a="1"/>
  <c r="Q52" i="7" s="1"/>
  <c r="P52" i="7" a="1"/>
  <c r="P52" i="7" s="1"/>
  <c r="Q51" i="7"/>
  <c r="T51" i="7" s="1"/>
  <c r="P51" i="7"/>
  <c r="S51" i="7" s="1"/>
  <c r="G52" i="7" a="1"/>
  <c r="G52" i="7" s="1"/>
  <c r="O4" i="5" a="1"/>
  <c r="O4" i="5" s="1"/>
  <c r="B45" i="5" a="1"/>
  <c r="B45" i="5" s="1"/>
  <c r="B30" i="5" a="1"/>
  <c r="B30" i="5" s="1"/>
  <c r="C44" i="5" a="1"/>
  <c r="C44" i="5" s="1"/>
  <c r="C29" i="5" a="1"/>
  <c r="C29" i="5" s="1"/>
  <c r="S52" i="7" l="1" a="1"/>
  <c r="S52" i="7" s="1"/>
  <c r="T52" i="7" a="1"/>
  <c r="T52" i="7" s="1"/>
  <c r="C30" i="5" a="1"/>
  <c r="C30" i="5" s="1"/>
  <c r="L3" i="5" a="1"/>
  <c r="L3" i="5" s="1"/>
  <c r="C45" i="5" a="1"/>
  <c r="C45" i="5" s="1"/>
  <c r="AC28" i="2" a="1"/>
  <c r="AC28" i="2" s="1"/>
  <c r="AB27" i="11" s="1"/>
  <c r="AC29" i="2" a="1"/>
  <c r="AC29" i="2" s="1"/>
  <c r="AB28" i="11" s="1"/>
  <c r="P28" i="2"/>
  <c r="O27" i="11" s="1"/>
  <c r="Q28" i="2"/>
  <c r="P27" i="11" s="1"/>
  <c r="R28" i="2"/>
  <c r="Q27" i="11" s="1"/>
  <c r="S28" i="2"/>
  <c r="R27" i="11" s="1"/>
  <c r="T28" i="2"/>
  <c r="S27" i="11" s="1"/>
  <c r="P29" i="2"/>
  <c r="O28" i="11" s="1"/>
  <c r="Q29" i="2"/>
  <c r="P28" i="11" s="1"/>
  <c r="R29" i="2"/>
  <c r="Q28" i="11" s="1"/>
  <c r="S29" i="2"/>
  <c r="R28" i="11" s="1"/>
  <c r="T29" i="2"/>
  <c r="S28" i="11" s="1"/>
  <c r="N28" i="2"/>
  <c r="M27" i="11" s="1"/>
  <c r="N29" i="2"/>
  <c r="M28" i="11" s="1"/>
  <c r="G28" i="2"/>
  <c r="F27" i="11" s="1"/>
  <c r="G29" i="2"/>
  <c r="F28" i="11" s="1"/>
  <c r="F28" i="2" a="1"/>
  <c r="F28" i="2" s="1"/>
  <c r="E27" i="11" s="1"/>
  <c r="F29" i="2" a="1"/>
  <c r="F29" i="2" s="1"/>
  <c r="E28" i="11" s="1"/>
  <c r="Y28" i="2" l="1"/>
  <c r="X27" i="11" s="1"/>
  <c r="M29" i="2"/>
  <c r="L28" i="11" s="1"/>
  <c r="Y29" i="2"/>
  <c r="X28" i="11" s="1"/>
  <c r="U29" i="2" a="1"/>
  <c r="U29" i="2" s="1"/>
  <c r="T28" i="11" s="1"/>
  <c r="K16" i="5"/>
  <c r="M16" i="5" s="1"/>
  <c r="K9" i="5"/>
  <c r="M9" i="5" s="1"/>
  <c r="K15" i="5"/>
  <c r="M15" i="5" s="1"/>
  <c r="K13" i="5"/>
  <c r="M13" i="5" s="1"/>
  <c r="K12" i="5"/>
  <c r="M12" i="5" s="1"/>
  <c r="K8" i="5"/>
  <c r="M8" i="5" s="1"/>
  <c r="K6" i="5"/>
  <c r="K5" i="5"/>
  <c r="K14" i="5"/>
  <c r="M14" i="5" s="1"/>
  <c r="M28" i="2"/>
  <c r="L27" i="11" s="1"/>
  <c r="U28" i="2" a="1"/>
  <c r="U28" i="2" s="1"/>
  <c r="T27" i="11" s="1"/>
  <c r="V28" i="2" a="1"/>
  <c r="V28" i="2" s="1"/>
  <c r="U27" i="11" s="1"/>
  <c r="V29" i="2" a="1"/>
  <c r="V29" i="2" s="1"/>
  <c r="U28" i="11" s="1"/>
  <c r="AC36" i="2" a="1"/>
  <c r="AC36" i="2" s="1"/>
  <c r="AB35" i="11" s="1"/>
  <c r="AC40" i="2" a="1"/>
  <c r="AC40" i="2" s="1"/>
  <c r="AB39" i="11" s="1"/>
  <c r="AC41" i="2" a="1"/>
  <c r="AC41" i="2" s="1"/>
  <c r="AB40" i="11" s="1"/>
  <c r="AC42" i="2" a="1"/>
  <c r="AC42" i="2" s="1"/>
  <c r="AB41" i="11" s="1"/>
  <c r="AC43" i="2" a="1"/>
  <c r="AC43" i="2" s="1"/>
  <c r="AB42" i="11" s="1"/>
  <c r="AC44" i="2" a="1"/>
  <c r="AC44" i="2" s="1"/>
  <c r="AB43" i="11" s="1"/>
  <c r="AC45" i="2" a="1"/>
  <c r="AC45" i="2" s="1"/>
  <c r="AB44" i="11" s="1"/>
  <c r="AC46" i="2" a="1"/>
  <c r="AC46" i="2" s="1"/>
  <c r="AB45" i="11" s="1"/>
  <c r="N35" i="2"/>
  <c r="M34" i="11" s="1"/>
  <c r="N36" i="2"/>
  <c r="M35" i="11" s="1"/>
  <c r="N40" i="2"/>
  <c r="M39" i="11" s="1"/>
  <c r="N41" i="2"/>
  <c r="M40" i="11" s="1"/>
  <c r="N42" i="2"/>
  <c r="M41" i="11" s="1"/>
  <c r="N43" i="2"/>
  <c r="M42" i="11" s="1"/>
  <c r="N44" i="2"/>
  <c r="M43" i="11" s="1"/>
  <c r="N45" i="2"/>
  <c r="M44" i="11" s="1"/>
  <c r="N46" i="2"/>
  <c r="M45" i="11" s="1"/>
  <c r="G36" i="2"/>
  <c r="F35" i="11" s="1"/>
  <c r="G40" i="2"/>
  <c r="F39" i="11" s="1"/>
  <c r="G41" i="2"/>
  <c r="F40" i="11" s="1"/>
  <c r="G42" i="2"/>
  <c r="F41" i="11" s="1"/>
  <c r="G43" i="2"/>
  <c r="F42" i="11" s="1"/>
  <c r="G44" i="2"/>
  <c r="F43" i="11" s="1"/>
  <c r="G45" i="2"/>
  <c r="F44" i="11" s="1"/>
  <c r="F36" i="2" a="1"/>
  <c r="F36" i="2" s="1"/>
  <c r="E35" i="11" s="1"/>
  <c r="F40" i="2" a="1"/>
  <c r="F40" i="2" s="1"/>
  <c r="E39" i="11" s="1"/>
  <c r="F41" i="2" a="1"/>
  <c r="F41" i="2" s="1"/>
  <c r="E40" i="11" s="1"/>
  <c r="F42" i="2" a="1"/>
  <c r="F42" i="2" s="1"/>
  <c r="E41" i="11" s="1"/>
  <c r="F43" i="2" a="1"/>
  <c r="F43" i="2" s="1"/>
  <c r="E42" i="11" s="1"/>
  <c r="F44" i="2" a="1"/>
  <c r="F44" i="2" s="1"/>
  <c r="E43" i="11" s="1"/>
  <c r="F45" i="2" a="1"/>
  <c r="F45" i="2" s="1"/>
  <c r="E44" i="11" s="1"/>
  <c r="F46" i="2" a="1"/>
  <c r="F46" i="2" s="1"/>
  <c r="E45" i="11" s="1"/>
  <c r="AC35" i="2" a="1"/>
  <c r="AC35" i="2" s="1"/>
  <c r="AB34" i="11" s="1"/>
  <c r="G46" i="2"/>
  <c r="F45" i="11" s="1"/>
  <c r="F32" i="2" a="1"/>
  <c r="F32" i="2" s="1"/>
  <c r="E31" i="11" s="1"/>
  <c r="G32" i="2"/>
  <c r="F31" i="11" s="1"/>
  <c r="F33" i="2" a="1"/>
  <c r="F33" i="2" s="1"/>
  <c r="E32" i="11" s="1"/>
  <c r="G33" i="2"/>
  <c r="F32" i="11" s="1"/>
  <c r="F34" i="2" a="1"/>
  <c r="F34" i="2" s="1"/>
  <c r="E33" i="11" s="1"/>
  <c r="G34" i="2"/>
  <c r="F33" i="11" s="1"/>
  <c r="F35" i="2" a="1"/>
  <c r="F35" i="2" s="1"/>
  <c r="E34" i="11" s="1"/>
  <c r="G35" i="2"/>
  <c r="F34" i="11" s="1"/>
  <c r="Y40" i="2" l="1"/>
  <c r="X39" i="11" s="1"/>
  <c r="Y41" i="2"/>
  <c r="X40" i="11" s="1"/>
  <c r="Y33" i="2"/>
  <c r="X32" i="11" s="1"/>
  <c r="M45" i="2"/>
  <c r="L44" i="11" s="1"/>
  <c r="Y43" i="2"/>
  <c r="X42" i="11" s="1"/>
  <c r="Y36" i="2"/>
  <c r="X35" i="11" s="1"/>
  <c r="M44" i="2"/>
  <c r="L43" i="11" s="1"/>
  <c r="M46" i="2"/>
  <c r="L45" i="11" s="1"/>
  <c r="M43" i="2"/>
  <c r="L42" i="11" s="1"/>
  <c r="Y35" i="2"/>
  <c r="X34" i="11" s="1"/>
  <c r="Y32" i="2"/>
  <c r="X31" i="11" s="1"/>
  <c r="M42" i="2"/>
  <c r="L41" i="11" s="1"/>
  <c r="M41" i="2"/>
  <c r="L40" i="11" s="1"/>
  <c r="M35" i="2"/>
  <c r="L34" i="11" s="1"/>
  <c r="Y42" i="2"/>
  <c r="X41" i="11" s="1"/>
  <c r="Y34" i="2"/>
  <c r="X33" i="11" s="1"/>
  <c r="Y46" i="2"/>
  <c r="X45" i="11" s="1"/>
  <c r="Y45" i="2"/>
  <c r="X44" i="11" s="1"/>
  <c r="M40" i="2"/>
  <c r="L39" i="11" s="1"/>
  <c r="Y44" i="2"/>
  <c r="X43" i="11" s="1"/>
  <c r="M36" i="2"/>
  <c r="L35" i="11" s="1"/>
  <c r="M5" i="5"/>
  <c r="C60" i="5" a="1"/>
  <c r="C60" i="5" s="1"/>
  <c r="K7" i="5"/>
  <c r="M7" i="5" s="1"/>
  <c r="K11" i="5"/>
  <c r="M11" i="5" s="1"/>
  <c r="M6" i="5"/>
  <c r="K10" i="5"/>
  <c r="M10" i="5" s="1"/>
  <c r="X20" i="4"/>
  <c r="X21" i="4" s="1"/>
  <c r="AD10" i="4"/>
  <c r="AC10" i="4"/>
  <c r="AE12" i="4" s="1"/>
  <c r="AF12" i="4" s="1"/>
  <c r="Z5" i="4"/>
  <c r="AA5" i="4" s="1"/>
  <c r="AB5" i="4" s="1"/>
  <c r="AC5" i="4" s="1"/>
  <c r="Y5" i="4"/>
  <c r="AB4" i="4"/>
  <c r="AA4" i="4" s="1"/>
  <c r="Z4" i="4" s="1"/>
  <c r="Y4" i="4" s="1"/>
  <c r="Z3" i="4"/>
  <c r="AA3" i="4" s="1"/>
  <c r="AB3" i="4" s="1"/>
  <c r="AC3" i="4" s="1"/>
  <c r="M12" i="7"/>
  <c r="E49" i="2"/>
  <c r="AC47" i="2" a="1"/>
  <c r="AC47" i="2" s="1"/>
  <c r="AB46" i="11" s="1"/>
  <c r="AC34" i="2" a="1"/>
  <c r="AC34" i="2" s="1"/>
  <c r="AB33" i="11" s="1"/>
  <c r="AC33" i="2" a="1"/>
  <c r="AC33" i="2" s="1"/>
  <c r="AB32" i="11" s="1"/>
  <c r="AC32" i="2" a="1"/>
  <c r="AC32" i="2" s="1"/>
  <c r="AB31" i="11" s="1"/>
  <c r="AC31" i="2" a="1"/>
  <c r="AC31" i="2" s="1"/>
  <c r="AB30" i="11" s="1"/>
  <c r="AC27" i="2" a="1"/>
  <c r="AC27" i="2" s="1"/>
  <c r="AB26" i="11" s="1"/>
  <c r="AC26" i="2" a="1"/>
  <c r="AC26" i="2" s="1"/>
  <c r="AB25" i="11" s="1"/>
  <c r="AC25" i="2" a="1"/>
  <c r="AC25" i="2" s="1"/>
  <c r="AB24" i="11" s="1"/>
  <c r="AC24" i="2" a="1"/>
  <c r="AC24" i="2" s="1"/>
  <c r="AB23" i="11" s="1"/>
  <c r="AC23" i="2" a="1"/>
  <c r="AC23" i="2" s="1"/>
  <c r="AB22" i="11" s="1"/>
  <c r="AC22" i="2" a="1"/>
  <c r="AC22" i="2" s="1"/>
  <c r="AB21" i="11" s="1"/>
  <c r="AC21" i="2" a="1"/>
  <c r="AC21" i="2" s="1"/>
  <c r="AB20" i="11" s="1"/>
  <c r="AC20" i="2" a="1"/>
  <c r="AC20" i="2" s="1"/>
  <c r="AB19" i="11" s="1"/>
  <c r="AC19" i="2" a="1"/>
  <c r="AC19" i="2" s="1"/>
  <c r="AB18" i="11" s="1"/>
  <c r="AC18" i="2" a="1"/>
  <c r="AC18" i="2" s="1"/>
  <c r="AB17" i="11" s="1"/>
  <c r="AC17" i="2" a="1"/>
  <c r="AC17" i="2" s="1"/>
  <c r="AB16" i="11" s="1"/>
  <c r="AC16" i="2" a="1"/>
  <c r="AC16" i="2" s="1"/>
  <c r="AB15" i="11" s="1"/>
  <c r="AC15" i="2" a="1"/>
  <c r="AC15" i="2" s="1"/>
  <c r="AB14" i="11" s="1"/>
  <c r="AC14" i="2" a="1"/>
  <c r="AC14" i="2" s="1"/>
  <c r="AB13" i="11" s="1"/>
  <c r="AC13" i="2" a="1"/>
  <c r="AC13" i="2" s="1"/>
  <c r="AB12" i="11" s="1"/>
  <c r="AC12" i="2" a="1"/>
  <c r="AC12" i="2" s="1"/>
  <c r="AB11" i="11" s="1"/>
  <c r="AC11" i="2" a="1"/>
  <c r="AC11" i="2" s="1"/>
  <c r="AB10" i="11" s="1"/>
  <c r="AC10" i="2" a="1"/>
  <c r="AC10" i="2" s="1"/>
  <c r="AB9" i="11" s="1"/>
  <c r="AC9" i="2" a="1"/>
  <c r="AC9" i="2" s="1"/>
  <c r="AB8" i="11" s="1"/>
  <c r="AC8" i="2" a="1"/>
  <c r="AC8" i="2" s="1"/>
  <c r="AB7" i="11" s="1"/>
  <c r="AC6" i="2" a="1"/>
  <c r="AC6" i="2" s="1"/>
  <c r="AB5" i="11" s="1"/>
  <c r="AC5" i="2" a="1"/>
  <c r="AC5" i="2" s="1"/>
  <c r="AB4" i="11" s="1"/>
  <c r="AC4" i="2" a="1"/>
  <c r="AC4" i="2" s="1"/>
  <c r="AB3" i="11" s="1"/>
  <c r="AE15" i="4" l="1"/>
  <c r="AF15" i="4" s="1"/>
  <c r="AE14" i="4"/>
  <c r="AF14" i="4" s="1"/>
  <c r="AE13" i="4"/>
  <c r="AF13" i="4" s="1"/>
  <c r="AE11" i="4"/>
  <c r="AF11" i="4" s="1"/>
  <c r="AE16" i="4"/>
  <c r="AF16" i="4" s="1"/>
  <c r="B2" i="5" a="1"/>
  <c r="B2" i="5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J3" i="4"/>
  <c r="H2" i="4"/>
  <c r="P167" i="4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106" i="4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45" i="4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4" i="4"/>
  <c r="N3" i="4"/>
  <c r="L32" i="4" a="1"/>
  <c r="L32" i="4" s="1"/>
  <c r="J32" i="4"/>
  <c r="L31" i="4" a="1"/>
  <c r="L31" i="4" s="1"/>
  <c r="J31" i="4"/>
  <c r="L30" i="4" a="1"/>
  <c r="L30" i="4" s="1"/>
  <c r="J30" i="4"/>
  <c r="L29" i="4" a="1"/>
  <c r="L29" i="4" s="1"/>
  <c r="J29" i="4"/>
  <c r="L28" i="4" a="1"/>
  <c r="L28" i="4" s="1"/>
  <c r="J28" i="4"/>
  <c r="L27" i="4" a="1"/>
  <c r="L27" i="4" s="1"/>
  <c r="J27" i="4"/>
  <c r="L26" i="4" a="1"/>
  <c r="L26" i="4" s="1"/>
  <c r="J26" i="4"/>
  <c r="L25" i="4" a="1"/>
  <c r="L25" i="4" s="1"/>
  <c r="J25" i="4"/>
  <c r="L24" i="4" a="1"/>
  <c r="L24" i="4" s="1"/>
  <c r="J24" i="4"/>
  <c r="L23" i="4" a="1"/>
  <c r="L23" i="4" s="1"/>
  <c r="J23" i="4"/>
  <c r="L22" i="4" a="1"/>
  <c r="L22" i="4" s="1"/>
  <c r="J22" i="4"/>
  <c r="L21" i="4" a="1"/>
  <c r="L21" i="4" s="1"/>
  <c r="J21" i="4"/>
  <c r="L20" i="4" a="1"/>
  <c r="L20" i="4" s="1"/>
  <c r="J20" i="4"/>
  <c r="L19" i="4" a="1"/>
  <c r="L19" i="4" s="1"/>
  <c r="J19" i="4"/>
  <c r="L18" i="4" a="1"/>
  <c r="L18" i="4" s="1"/>
  <c r="J18" i="4"/>
  <c r="L17" i="4" a="1"/>
  <c r="L17" i="4" s="1"/>
  <c r="J17" i="4"/>
  <c r="L16" i="4" a="1"/>
  <c r="L16" i="4" s="1"/>
  <c r="J16" i="4"/>
  <c r="L15" i="4" a="1"/>
  <c r="L15" i="4" s="1"/>
  <c r="J15" i="4"/>
  <c r="L14" i="4" a="1"/>
  <c r="L14" i="4" s="1"/>
  <c r="J14" i="4"/>
  <c r="L13" i="4" a="1"/>
  <c r="L13" i="4" s="1"/>
  <c r="J13" i="4"/>
  <c r="L12" i="4" a="1"/>
  <c r="L12" i="4" s="1"/>
  <c r="J12" i="4"/>
  <c r="L11" i="4" a="1"/>
  <c r="L11" i="4" s="1"/>
  <c r="J11" i="4"/>
  <c r="L10" i="4" a="1"/>
  <c r="L10" i="4" s="1"/>
  <c r="J10" i="4"/>
  <c r="L9" i="4" a="1"/>
  <c r="L9" i="4" s="1"/>
  <c r="J9" i="4"/>
  <c r="L8" i="4" a="1"/>
  <c r="L8" i="4" s="1"/>
  <c r="J8" i="4"/>
  <c r="L7" i="4" a="1"/>
  <c r="L7" i="4" s="1"/>
  <c r="J7" i="4"/>
  <c r="L6" i="4" a="1"/>
  <c r="L6" i="4" s="1"/>
  <c r="J6" i="4"/>
  <c r="L5" i="4" a="1"/>
  <c r="L5" i="4" s="1"/>
  <c r="J5" i="4"/>
  <c r="L4" i="4" a="1"/>
  <c r="L4" i="4" s="1"/>
  <c r="J4" i="4"/>
  <c r="L3" i="4" a="1"/>
  <c r="L3" i="4" s="1"/>
  <c r="B4" i="4"/>
  <c r="A4" i="4" s="1"/>
  <c r="B5" i="4"/>
  <c r="A5" i="4" s="1"/>
  <c r="B6" i="4"/>
  <c r="A6" i="4" s="1"/>
  <c r="B7" i="4"/>
  <c r="A7" i="4" s="1"/>
  <c r="B8" i="4"/>
  <c r="B9" i="4"/>
  <c r="B10" i="4"/>
  <c r="B11" i="4"/>
  <c r="A11" i="4" s="1"/>
  <c r="B12" i="4"/>
  <c r="B13" i="4"/>
  <c r="B14" i="4"/>
  <c r="B15" i="4"/>
  <c r="A15" i="4" s="1"/>
  <c r="B16" i="4"/>
  <c r="A16" i="4" s="1"/>
  <c r="B17" i="4"/>
  <c r="A17" i="4" s="1"/>
  <c r="B18" i="4"/>
  <c r="A18" i="4" s="1"/>
  <c r="B19" i="4"/>
  <c r="A19" i="4" s="1"/>
  <c r="B20" i="4"/>
  <c r="A20" i="4" s="1"/>
  <c r="B21" i="4"/>
  <c r="B22" i="4"/>
  <c r="B23" i="4"/>
  <c r="B24" i="4"/>
  <c r="B25" i="4"/>
  <c r="A25" i="4" s="1"/>
  <c r="B26" i="4"/>
  <c r="A26" i="4" s="1"/>
  <c r="B27" i="4"/>
  <c r="A27" i="4" s="1"/>
  <c r="B28" i="4"/>
  <c r="B29" i="4"/>
  <c r="A29" i="4" s="1"/>
  <c r="B30" i="4"/>
  <c r="A30" i="4" s="1"/>
  <c r="B31" i="4"/>
  <c r="A31" i="4" s="1"/>
  <c r="B32" i="4"/>
  <c r="B33" i="4"/>
  <c r="B34" i="4"/>
  <c r="B35" i="4"/>
  <c r="B36" i="4"/>
  <c r="B37" i="4"/>
  <c r="A37" i="4" s="1"/>
  <c r="B38" i="4"/>
  <c r="A38" i="4" s="1"/>
  <c r="B39" i="4"/>
  <c r="A39" i="4" s="1"/>
  <c r="B40" i="4"/>
  <c r="A40" i="4" s="1"/>
  <c r="B41" i="4"/>
  <c r="A41" i="4" s="1"/>
  <c r="B42" i="4"/>
  <c r="A42" i="4" s="1"/>
  <c r="B43" i="4"/>
  <c r="A43" i="4" s="1"/>
  <c r="B44" i="4"/>
  <c r="A44" i="4" s="1"/>
  <c r="B45" i="4"/>
  <c r="B46" i="4"/>
  <c r="B47" i="4"/>
  <c r="A47" i="4" s="1"/>
  <c r="B48" i="4"/>
  <c r="B49" i="4"/>
  <c r="B50" i="4"/>
  <c r="A50" i="4" s="1"/>
  <c r="B51" i="4"/>
  <c r="A51" i="4" s="1"/>
  <c r="B52" i="4"/>
  <c r="A52" i="4" s="1"/>
  <c r="B53" i="4"/>
  <c r="A53" i="4" s="1"/>
  <c r="B54" i="4"/>
  <c r="A54" i="4" s="1"/>
  <c r="B55" i="4"/>
  <c r="A55" i="4" s="1"/>
  <c r="B56" i="4"/>
  <c r="B57" i="4"/>
  <c r="B58" i="4"/>
  <c r="B59" i="4"/>
  <c r="B60" i="4"/>
  <c r="B61" i="4"/>
  <c r="A61" i="4" s="1"/>
  <c r="B62" i="4"/>
  <c r="A62" i="4" s="1"/>
  <c r="B63" i="4"/>
  <c r="A63" i="4" s="1"/>
  <c r="B64" i="4"/>
  <c r="A64" i="4" s="1"/>
  <c r="B65" i="4"/>
  <c r="A65" i="4" s="1"/>
  <c r="B66" i="4"/>
  <c r="A66" i="4" s="1"/>
  <c r="B67" i="4"/>
  <c r="A67" i="4" s="1"/>
  <c r="B68" i="4"/>
  <c r="A68" i="4" s="1"/>
  <c r="B69" i="4"/>
  <c r="B70" i="4"/>
  <c r="B71" i="4"/>
  <c r="B72" i="4"/>
  <c r="B73" i="4"/>
  <c r="A73" i="4" s="1"/>
  <c r="B74" i="4"/>
  <c r="A74" i="4" s="1"/>
  <c r="B75" i="4"/>
  <c r="A75" i="4" s="1"/>
  <c r="B76" i="4"/>
  <c r="A76" i="4" s="1"/>
  <c r="B77" i="4"/>
  <c r="A77" i="4" s="1"/>
  <c r="B78" i="4"/>
  <c r="A78" i="4" s="1"/>
  <c r="B79" i="4"/>
  <c r="A79" i="4" s="1"/>
  <c r="B80" i="4"/>
  <c r="B81" i="4"/>
  <c r="B82" i="4"/>
  <c r="B83" i="4"/>
  <c r="A83" i="4" s="1"/>
  <c r="B84" i="4"/>
  <c r="B85" i="4"/>
  <c r="B86" i="4"/>
  <c r="A86" i="4" s="1"/>
  <c r="B87" i="4"/>
  <c r="A87" i="4" s="1"/>
  <c r="B88" i="4"/>
  <c r="A88" i="4" s="1"/>
  <c r="B89" i="4"/>
  <c r="A89" i="4" s="1"/>
  <c r="B90" i="4"/>
  <c r="A90" i="4" s="1"/>
  <c r="B91" i="4"/>
  <c r="A91" i="4" s="1"/>
  <c r="B92" i="4"/>
  <c r="A92" i="4" s="1"/>
  <c r="B93" i="4"/>
  <c r="B94" i="4"/>
  <c r="B95" i="4"/>
  <c r="A95" i="4" s="1"/>
  <c r="B96" i="4"/>
  <c r="B97" i="4"/>
  <c r="B98" i="4"/>
  <c r="A98" i="4" s="1"/>
  <c r="B99" i="4"/>
  <c r="A99" i="4" s="1"/>
  <c r="B100" i="4"/>
  <c r="A100" i="4" s="1"/>
  <c r="B101" i="4"/>
  <c r="A101" i="4" s="1"/>
  <c r="B102" i="4"/>
  <c r="A102" i="4" s="1"/>
  <c r="B103" i="4"/>
  <c r="A103" i="4" s="1"/>
  <c r="B104" i="4"/>
  <c r="B105" i="4"/>
  <c r="B106" i="4"/>
  <c r="B107" i="4"/>
  <c r="B108" i="4"/>
  <c r="B109" i="4"/>
  <c r="A109" i="4" s="1"/>
  <c r="B110" i="4"/>
  <c r="A110" i="4" s="1"/>
  <c r="B111" i="4"/>
  <c r="A111" i="4" s="1"/>
  <c r="B112" i="4"/>
  <c r="A112" i="4" s="1"/>
  <c r="B113" i="4"/>
  <c r="A113" i="4" s="1"/>
  <c r="B114" i="4"/>
  <c r="A114" i="4" s="1"/>
  <c r="B115" i="4"/>
  <c r="A115" i="4" s="1"/>
  <c r="B116" i="4"/>
  <c r="A116" i="4" s="1"/>
  <c r="B117" i="4"/>
  <c r="A117" i="4" s="1"/>
  <c r="B118" i="4"/>
  <c r="B119" i="4"/>
  <c r="A119" i="4" s="1"/>
  <c r="B120" i="4"/>
  <c r="B121" i="4"/>
  <c r="B122" i="4"/>
  <c r="A122" i="4" s="1"/>
  <c r="B123" i="4"/>
  <c r="A123" i="4" s="1"/>
  <c r="B124" i="4"/>
  <c r="A124" i="4" s="1"/>
  <c r="B125" i="4"/>
  <c r="A125" i="4" s="1"/>
  <c r="B126" i="4"/>
  <c r="A126" i="4" s="1"/>
  <c r="B127" i="4"/>
  <c r="A127" i="4" s="1"/>
  <c r="B128" i="4"/>
  <c r="B129" i="4"/>
  <c r="B130" i="4"/>
  <c r="B131" i="4"/>
  <c r="A131" i="4" s="1"/>
  <c r="B132" i="4"/>
  <c r="B133" i="4"/>
  <c r="A133" i="4" s="1"/>
  <c r="B134" i="4"/>
  <c r="B135" i="4"/>
  <c r="A135" i="4" s="1"/>
  <c r="B136" i="4"/>
  <c r="A136" i="4" s="1"/>
  <c r="B137" i="4"/>
  <c r="A137" i="4" s="1"/>
  <c r="B138" i="4"/>
  <c r="A138" i="4" s="1"/>
  <c r="B139" i="4"/>
  <c r="A139" i="4" s="1"/>
  <c r="B140" i="4"/>
  <c r="A140" i="4" s="1"/>
  <c r="B141" i="4"/>
  <c r="A141" i="4" s="1"/>
  <c r="B142" i="4"/>
  <c r="B143" i="4"/>
  <c r="A143" i="4" s="1"/>
  <c r="B144" i="4"/>
  <c r="B145" i="4"/>
  <c r="B146" i="4"/>
  <c r="A146" i="4" s="1"/>
  <c r="B147" i="4"/>
  <c r="A147" i="4" s="1"/>
  <c r="B148" i="4"/>
  <c r="A148" i="4" s="1"/>
  <c r="B149" i="4"/>
  <c r="A149" i="4" s="1"/>
  <c r="B150" i="4"/>
  <c r="A150" i="4" s="1"/>
  <c r="B151" i="4"/>
  <c r="A151" i="4" s="1"/>
  <c r="B152" i="4"/>
  <c r="B153" i="4"/>
  <c r="A153" i="4" s="1"/>
  <c r="B154" i="4"/>
  <c r="A154" i="4" s="1"/>
  <c r="B155" i="4"/>
  <c r="A155" i="4" s="1"/>
  <c r="B156" i="4"/>
  <c r="B157" i="4"/>
  <c r="A157" i="4" s="1"/>
  <c r="B158" i="4"/>
  <c r="A158" i="4" s="1"/>
  <c r="B159" i="4"/>
  <c r="A159" i="4" s="1"/>
  <c r="B160" i="4"/>
  <c r="B161" i="4"/>
  <c r="A161" i="4" s="1"/>
  <c r="B162" i="4"/>
  <c r="A162" i="4" s="1"/>
  <c r="B163" i="4"/>
  <c r="A163" i="4" s="1"/>
  <c r="B164" i="4"/>
  <c r="A164" i="4" s="1"/>
  <c r="B165" i="4"/>
  <c r="B166" i="4"/>
  <c r="B167" i="4"/>
  <c r="B168" i="4"/>
  <c r="B169" i="4"/>
  <c r="A169" i="4" s="1"/>
  <c r="B170" i="4"/>
  <c r="A170" i="4" s="1"/>
  <c r="B171" i="4"/>
  <c r="A171" i="4" s="1"/>
  <c r="B172" i="4"/>
  <c r="B173" i="4"/>
  <c r="A173" i="4" s="1"/>
  <c r="B174" i="4"/>
  <c r="A174" i="4" s="1"/>
  <c r="B175" i="4"/>
  <c r="A175" i="4" s="1"/>
  <c r="B176" i="4"/>
  <c r="B177" i="4"/>
  <c r="A177" i="4" s="1"/>
  <c r="B178" i="4"/>
  <c r="B179" i="4"/>
  <c r="A179" i="4" s="1"/>
  <c r="B180" i="4"/>
  <c r="B181" i="4"/>
  <c r="A181" i="4" s="1"/>
  <c r="B182" i="4"/>
  <c r="A182" i="4" s="1"/>
  <c r="B183" i="4"/>
  <c r="A183" i="4" s="1"/>
  <c r="B184" i="4"/>
  <c r="A184" i="4" s="1"/>
  <c r="B185" i="4"/>
  <c r="A185" i="4" s="1"/>
  <c r="B186" i="4"/>
  <c r="A186" i="4" s="1"/>
  <c r="B187" i="4"/>
  <c r="A187" i="4" s="1"/>
  <c r="B188" i="4"/>
  <c r="A188" i="4" s="1"/>
  <c r="B189" i="4"/>
  <c r="B190" i="4"/>
  <c r="B191" i="4"/>
  <c r="B192" i="4"/>
  <c r="B193" i="4"/>
  <c r="A193" i="4" s="1"/>
  <c r="B194" i="4"/>
  <c r="A194" i="4" s="1"/>
  <c r="B195" i="4"/>
  <c r="A195" i="4" s="1"/>
  <c r="B196" i="4"/>
  <c r="A196" i="4" s="1"/>
  <c r="B197" i="4"/>
  <c r="A197" i="4" s="1"/>
  <c r="B198" i="4"/>
  <c r="A198" i="4" s="1"/>
  <c r="B199" i="4"/>
  <c r="A199" i="4" s="1"/>
  <c r="B200" i="4"/>
  <c r="A200" i="4" s="1"/>
  <c r="B201" i="4"/>
  <c r="A201" i="4" s="1"/>
  <c r="B202" i="4"/>
  <c r="B203" i="4"/>
  <c r="A203" i="4" s="1"/>
  <c r="B204" i="4"/>
  <c r="B205" i="4"/>
  <c r="A205" i="4" s="1"/>
  <c r="B206" i="4"/>
  <c r="A206" i="4" s="1"/>
  <c r="B207" i="4"/>
  <c r="A207" i="4" s="1"/>
  <c r="B208" i="4"/>
  <c r="A208" i="4" s="1"/>
  <c r="B209" i="4"/>
  <c r="A209" i="4" s="1"/>
  <c r="B210" i="4"/>
  <c r="A210" i="4" s="1"/>
  <c r="B211" i="4"/>
  <c r="A211" i="4" s="1"/>
  <c r="B212" i="4"/>
  <c r="B213" i="4"/>
  <c r="A213" i="4" s="1"/>
  <c r="B214" i="4"/>
  <c r="A214" i="4" s="1"/>
  <c r="B215" i="4"/>
  <c r="B216" i="4"/>
  <c r="B217" i="4"/>
  <c r="B218" i="4"/>
  <c r="A218" i="4" s="1"/>
  <c r="B219" i="4"/>
  <c r="A219" i="4" s="1"/>
  <c r="B220" i="4"/>
  <c r="A220" i="4" s="1"/>
  <c r="B221" i="4"/>
  <c r="A221" i="4" s="1"/>
  <c r="B222" i="4"/>
  <c r="A222" i="4" s="1"/>
  <c r="B223" i="4"/>
  <c r="A223" i="4" s="1"/>
  <c r="B224" i="4"/>
  <c r="A224" i="4" s="1"/>
  <c r="B225" i="4"/>
  <c r="A225" i="4" s="1"/>
  <c r="B226" i="4"/>
  <c r="A226" i="4" s="1"/>
  <c r="B227" i="4"/>
  <c r="B228" i="4"/>
  <c r="B229" i="4"/>
  <c r="A229" i="4" s="1"/>
  <c r="B230" i="4"/>
  <c r="A230" i="4" s="1"/>
  <c r="B231" i="4"/>
  <c r="A231" i="4" s="1"/>
  <c r="B232" i="4"/>
  <c r="B233" i="4"/>
  <c r="A233" i="4" s="1"/>
  <c r="B234" i="4"/>
  <c r="A234" i="4" s="1"/>
  <c r="B235" i="4"/>
  <c r="A235" i="4" s="1"/>
  <c r="B236" i="4"/>
  <c r="A236" i="4" s="1"/>
  <c r="B237" i="4"/>
  <c r="B238" i="4"/>
  <c r="A238" i="4" s="1"/>
  <c r="B239" i="4"/>
  <c r="A239" i="4" s="1"/>
  <c r="B240" i="4"/>
  <c r="B241" i="4"/>
  <c r="A241" i="4" s="1"/>
  <c r="B242" i="4"/>
  <c r="A242" i="4" s="1"/>
  <c r="B243" i="4"/>
  <c r="A243" i="4" s="1"/>
  <c r="B244" i="4"/>
  <c r="B245" i="4"/>
  <c r="A245" i="4" s="1"/>
  <c r="B246" i="4"/>
  <c r="A246" i="4" s="1"/>
  <c r="B247" i="4"/>
  <c r="A247" i="4" s="1"/>
  <c r="B248" i="4"/>
  <c r="A248" i="4" s="1"/>
  <c r="B249" i="4"/>
  <c r="A249" i="4" s="1"/>
  <c r="B250" i="4"/>
  <c r="A250" i="4" s="1"/>
  <c r="B251" i="4"/>
  <c r="A251" i="4" s="1"/>
  <c r="B252" i="4"/>
  <c r="B253" i="4"/>
  <c r="A253" i="4" s="1"/>
  <c r="B254" i="4"/>
  <c r="A254" i="4" s="1"/>
  <c r="B255" i="4"/>
  <c r="A255" i="4" s="1"/>
  <c r="B256" i="4"/>
  <c r="B257" i="4"/>
  <c r="A257" i="4" s="1"/>
  <c r="B258" i="4"/>
  <c r="A258" i="4" s="1"/>
  <c r="B259" i="4"/>
  <c r="A259" i="4" s="1"/>
  <c r="B260" i="4"/>
  <c r="A260" i="4" s="1"/>
  <c r="B261" i="4"/>
  <c r="B262" i="4"/>
  <c r="B263" i="4"/>
  <c r="A263" i="4" s="1"/>
  <c r="B264" i="4"/>
  <c r="B265" i="4"/>
  <c r="A265" i="4" s="1"/>
  <c r="B266" i="4"/>
  <c r="A266" i="4" s="1"/>
  <c r="B267" i="4"/>
  <c r="A267" i="4" s="1"/>
  <c r="B268" i="4"/>
  <c r="B269" i="4"/>
  <c r="A269" i="4" s="1"/>
  <c r="B270" i="4"/>
  <c r="A270" i="4" s="1"/>
  <c r="B271" i="4"/>
  <c r="A271" i="4" s="1"/>
  <c r="B272" i="4"/>
  <c r="B273" i="4"/>
  <c r="A273" i="4" s="1"/>
  <c r="B274" i="4"/>
  <c r="A274" i="4" s="1"/>
  <c r="B275" i="4"/>
  <c r="A275" i="4" s="1"/>
  <c r="B276" i="4"/>
  <c r="B277" i="4"/>
  <c r="B278" i="4"/>
  <c r="A278" i="4" s="1"/>
  <c r="B279" i="4"/>
  <c r="A279" i="4" s="1"/>
  <c r="B280" i="4"/>
  <c r="A280" i="4" s="1"/>
  <c r="B281" i="4"/>
  <c r="A281" i="4" s="1"/>
  <c r="B282" i="4"/>
  <c r="A282" i="4" s="1"/>
  <c r="B283" i="4"/>
  <c r="A283" i="4" s="1"/>
  <c r="B284" i="4"/>
  <c r="A284" i="4" s="1"/>
  <c r="B285" i="4"/>
  <c r="B286" i="4"/>
  <c r="B287" i="4"/>
  <c r="A287" i="4" s="1"/>
  <c r="B288" i="4"/>
  <c r="A288" i="4" s="1"/>
  <c r="B289" i="4"/>
  <c r="A289" i="4" s="1"/>
  <c r="B290" i="4"/>
  <c r="A290" i="4" s="1"/>
  <c r="B291" i="4"/>
  <c r="A291" i="4" s="1"/>
  <c r="B292" i="4"/>
  <c r="A292" i="4" s="1"/>
  <c r="B293" i="4"/>
  <c r="A293" i="4" s="1"/>
  <c r="B294" i="4"/>
  <c r="A294" i="4" s="1"/>
  <c r="B295" i="4"/>
  <c r="A295" i="4" s="1"/>
  <c r="B296" i="4"/>
  <c r="A296" i="4" s="1"/>
  <c r="B297" i="4"/>
  <c r="A297" i="4" s="1"/>
  <c r="B298" i="4"/>
  <c r="B299" i="4"/>
  <c r="A299" i="4" s="1"/>
  <c r="B300" i="4"/>
  <c r="A300" i="4" s="1"/>
  <c r="B301" i="4"/>
  <c r="A301" i="4" s="1"/>
  <c r="B302" i="4"/>
  <c r="A302" i="4" s="1"/>
  <c r="B3" i="4"/>
  <c r="A3" i="4" s="1"/>
  <c r="F302" i="4" a="1"/>
  <c r="F302" i="4" s="1"/>
  <c r="D302" i="4"/>
  <c r="F301" i="4" a="1"/>
  <c r="F301" i="4" s="1"/>
  <c r="D301" i="4"/>
  <c r="F300" i="4" a="1"/>
  <c r="F300" i="4" s="1"/>
  <c r="D300" i="4"/>
  <c r="F299" i="4" a="1"/>
  <c r="F299" i="4" s="1"/>
  <c r="D299" i="4"/>
  <c r="F298" i="4" a="1"/>
  <c r="F298" i="4" s="1"/>
  <c r="D298" i="4"/>
  <c r="A298" i="4"/>
  <c r="F297" i="4" a="1"/>
  <c r="F297" i="4" s="1"/>
  <c r="D297" i="4"/>
  <c r="F296" i="4" a="1"/>
  <c r="F296" i="4" s="1"/>
  <c r="D296" i="4"/>
  <c r="F295" i="4" a="1"/>
  <c r="F295" i="4" s="1"/>
  <c r="D295" i="4"/>
  <c r="F294" i="4" a="1"/>
  <c r="F294" i="4" s="1"/>
  <c r="D294" i="4"/>
  <c r="F293" i="4" a="1"/>
  <c r="F293" i="4" s="1"/>
  <c r="D293" i="4"/>
  <c r="F292" i="4" a="1"/>
  <c r="F292" i="4" s="1"/>
  <c r="D292" i="4"/>
  <c r="F291" i="4" a="1"/>
  <c r="F291" i="4" s="1"/>
  <c r="D291" i="4"/>
  <c r="F290" i="4" a="1"/>
  <c r="F290" i="4" s="1"/>
  <c r="D290" i="4"/>
  <c r="F289" i="4" a="1"/>
  <c r="F289" i="4" s="1"/>
  <c r="D289" i="4"/>
  <c r="F288" i="4" a="1"/>
  <c r="F288" i="4" s="1"/>
  <c r="D288" i="4"/>
  <c r="F287" i="4" a="1"/>
  <c r="F287" i="4" s="1"/>
  <c r="D287" i="4"/>
  <c r="F286" i="4" a="1"/>
  <c r="F286" i="4" s="1"/>
  <c r="D286" i="4"/>
  <c r="A286" i="4"/>
  <c r="F285" i="4" a="1"/>
  <c r="F285" i="4" s="1"/>
  <c r="D285" i="4"/>
  <c r="A285" i="4"/>
  <c r="F284" i="4" a="1"/>
  <c r="F284" i="4" s="1"/>
  <c r="D284" i="4"/>
  <c r="F283" i="4" a="1"/>
  <c r="F283" i="4" s="1"/>
  <c r="D283" i="4"/>
  <c r="F282" i="4" a="1"/>
  <c r="F282" i="4" s="1"/>
  <c r="D282" i="4"/>
  <c r="F281" i="4" a="1"/>
  <c r="F281" i="4" s="1"/>
  <c r="D281" i="4"/>
  <c r="F280" i="4" a="1"/>
  <c r="F280" i="4" s="1"/>
  <c r="D280" i="4"/>
  <c r="F279" i="4" a="1"/>
  <c r="F279" i="4" s="1"/>
  <c r="D279" i="4"/>
  <c r="F278" i="4" a="1"/>
  <c r="F278" i="4" s="1"/>
  <c r="D278" i="4"/>
  <c r="F277" i="4" a="1"/>
  <c r="F277" i="4" s="1"/>
  <c r="D277" i="4"/>
  <c r="A277" i="4"/>
  <c r="F276" i="4" a="1"/>
  <c r="F276" i="4" s="1"/>
  <c r="D276" i="4"/>
  <c r="A276" i="4"/>
  <c r="F275" i="4" a="1"/>
  <c r="F275" i="4" s="1"/>
  <c r="D275" i="4"/>
  <c r="F274" i="4" a="1"/>
  <c r="F274" i="4" s="1"/>
  <c r="D274" i="4"/>
  <c r="F273" i="4" a="1"/>
  <c r="F273" i="4" s="1"/>
  <c r="D273" i="4"/>
  <c r="F272" i="4" a="1"/>
  <c r="F272" i="4" s="1"/>
  <c r="D272" i="4"/>
  <c r="A272" i="4"/>
  <c r="F271" i="4" a="1"/>
  <c r="F271" i="4" s="1"/>
  <c r="D271" i="4"/>
  <c r="F270" i="4" a="1"/>
  <c r="F270" i="4" s="1"/>
  <c r="D270" i="4"/>
  <c r="F269" i="4" a="1"/>
  <c r="F269" i="4" s="1"/>
  <c r="D269" i="4"/>
  <c r="F268" i="4" a="1"/>
  <c r="F268" i="4" s="1"/>
  <c r="D268" i="4"/>
  <c r="A268" i="4"/>
  <c r="F267" i="4" a="1"/>
  <c r="F267" i="4" s="1"/>
  <c r="D267" i="4"/>
  <c r="F266" i="4" a="1"/>
  <c r="F266" i="4" s="1"/>
  <c r="D266" i="4"/>
  <c r="F265" i="4" a="1"/>
  <c r="F265" i="4" s="1"/>
  <c r="D265" i="4"/>
  <c r="F264" i="4" a="1"/>
  <c r="F264" i="4" s="1"/>
  <c r="D264" i="4"/>
  <c r="A264" i="4"/>
  <c r="F263" i="4" a="1"/>
  <c r="F263" i="4" s="1"/>
  <c r="D263" i="4"/>
  <c r="F262" i="4" a="1"/>
  <c r="F262" i="4" s="1"/>
  <c r="D262" i="4"/>
  <c r="A262" i="4"/>
  <c r="F261" i="4" a="1"/>
  <c r="F261" i="4" s="1"/>
  <c r="D261" i="4"/>
  <c r="A261" i="4"/>
  <c r="F260" i="4" a="1"/>
  <c r="F260" i="4" s="1"/>
  <c r="D260" i="4"/>
  <c r="F259" i="4" a="1"/>
  <c r="F259" i="4" s="1"/>
  <c r="D259" i="4"/>
  <c r="F258" i="4" a="1"/>
  <c r="F258" i="4" s="1"/>
  <c r="D258" i="4"/>
  <c r="F257" i="4" a="1"/>
  <c r="F257" i="4" s="1"/>
  <c r="D257" i="4"/>
  <c r="F256" i="4" a="1"/>
  <c r="F256" i="4" s="1"/>
  <c r="D256" i="4"/>
  <c r="A256" i="4"/>
  <c r="F255" i="4" a="1"/>
  <c r="F255" i="4" s="1"/>
  <c r="D255" i="4"/>
  <c r="F254" i="4" a="1"/>
  <c r="F254" i="4" s="1"/>
  <c r="D254" i="4"/>
  <c r="F253" i="4" a="1"/>
  <c r="F253" i="4" s="1"/>
  <c r="D253" i="4"/>
  <c r="F252" i="4" a="1"/>
  <c r="F252" i="4" s="1"/>
  <c r="D252" i="4"/>
  <c r="A252" i="4"/>
  <c r="F251" i="4" a="1"/>
  <c r="F251" i="4" s="1"/>
  <c r="D251" i="4"/>
  <c r="F250" i="4" a="1"/>
  <c r="F250" i="4" s="1"/>
  <c r="D250" i="4"/>
  <c r="F249" i="4" a="1"/>
  <c r="F249" i="4" s="1"/>
  <c r="D249" i="4"/>
  <c r="F248" i="4" a="1"/>
  <c r="F248" i="4" s="1"/>
  <c r="D248" i="4"/>
  <c r="F247" i="4" a="1"/>
  <c r="F247" i="4" s="1"/>
  <c r="D247" i="4"/>
  <c r="F246" i="4" a="1"/>
  <c r="F246" i="4" s="1"/>
  <c r="D246" i="4"/>
  <c r="F245" i="4" a="1"/>
  <c r="F245" i="4" s="1"/>
  <c r="D245" i="4"/>
  <c r="F244" i="4" a="1"/>
  <c r="F244" i="4" s="1"/>
  <c r="D244" i="4"/>
  <c r="A244" i="4"/>
  <c r="F243" i="4" a="1"/>
  <c r="F243" i="4" s="1"/>
  <c r="D243" i="4"/>
  <c r="F242" i="4" a="1"/>
  <c r="F242" i="4" s="1"/>
  <c r="D242" i="4"/>
  <c r="F241" i="4" a="1"/>
  <c r="F241" i="4" s="1"/>
  <c r="D241" i="4"/>
  <c r="F240" i="4" a="1"/>
  <c r="F240" i="4" s="1"/>
  <c r="D240" i="4"/>
  <c r="A240" i="4"/>
  <c r="F239" i="4" a="1"/>
  <c r="F239" i="4" s="1"/>
  <c r="D239" i="4"/>
  <c r="F238" i="4" a="1"/>
  <c r="F238" i="4" s="1"/>
  <c r="D238" i="4"/>
  <c r="F237" i="4" a="1"/>
  <c r="F237" i="4" s="1"/>
  <c r="D237" i="4"/>
  <c r="A237" i="4"/>
  <c r="F236" i="4" a="1"/>
  <c r="F236" i="4" s="1"/>
  <c r="D236" i="4"/>
  <c r="F235" i="4" a="1"/>
  <c r="F235" i="4" s="1"/>
  <c r="D235" i="4"/>
  <c r="F234" i="4" a="1"/>
  <c r="F234" i="4" s="1"/>
  <c r="D234" i="4"/>
  <c r="F233" i="4" a="1"/>
  <c r="F233" i="4" s="1"/>
  <c r="D233" i="4"/>
  <c r="F232" i="4" a="1"/>
  <c r="F232" i="4" s="1"/>
  <c r="D232" i="4"/>
  <c r="A232" i="4"/>
  <c r="F231" i="4" a="1"/>
  <c r="F231" i="4" s="1"/>
  <c r="D231" i="4"/>
  <c r="F230" i="4" a="1"/>
  <c r="F230" i="4" s="1"/>
  <c r="D230" i="4"/>
  <c r="F229" i="4" a="1"/>
  <c r="F229" i="4" s="1"/>
  <c r="D229" i="4"/>
  <c r="F228" i="4" a="1"/>
  <c r="F228" i="4" s="1"/>
  <c r="D228" i="4"/>
  <c r="A228" i="4"/>
  <c r="F227" i="4" a="1"/>
  <c r="F227" i="4" s="1"/>
  <c r="D227" i="4"/>
  <c r="A227" i="4"/>
  <c r="F226" i="4" a="1"/>
  <c r="F226" i="4" s="1"/>
  <c r="D226" i="4"/>
  <c r="F225" i="4" a="1"/>
  <c r="F225" i="4" s="1"/>
  <c r="D225" i="4"/>
  <c r="F224" i="4" a="1"/>
  <c r="F224" i="4" s="1"/>
  <c r="D224" i="4"/>
  <c r="F223" i="4" a="1"/>
  <c r="F223" i="4" s="1"/>
  <c r="D223" i="4"/>
  <c r="F222" i="4" a="1"/>
  <c r="F222" i="4" s="1"/>
  <c r="D222" i="4"/>
  <c r="F221" i="4" a="1"/>
  <c r="F221" i="4" s="1"/>
  <c r="D221" i="4"/>
  <c r="F220" i="4" a="1"/>
  <c r="F220" i="4" s="1"/>
  <c r="D220" i="4"/>
  <c r="F219" i="4" a="1"/>
  <c r="F219" i="4" s="1"/>
  <c r="D219" i="4"/>
  <c r="F218" i="4" a="1"/>
  <c r="F218" i="4" s="1"/>
  <c r="D218" i="4"/>
  <c r="F217" i="4" a="1"/>
  <c r="F217" i="4" s="1"/>
  <c r="D217" i="4"/>
  <c r="A217" i="4"/>
  <c r="F216" i="4" a="1"/>
  <c r="F216" i="4" s="1"/>
  <c r="D216" i="4"/>
  <c r="A216" i="4"/>
  <c r="F215" i="4" a="1"/>
  <c r="F215" i="4" s="1"/>
  <c r="D215" i="4"/>
  <c r="A215" i="4"/>
  <c r="F214" i="4" a="1"/>
  <c r="F214" i="4" s="1"/>
  <c r="D214" i="4"/>
  <c r="F213" i="4" a="1"/>
  <c r="F213" i="4" s="1"/>
  <c r="D213" i="4"/>
  <c r="F212" i="4" a="1"/>
  <c r="F212" i="4" s="1"/>
  <c r="D212" i="4"/>
  <c r="A212" i="4"/>
  <c r="F211" i="4" a="1"/>
  <c r="F211" i="4" s="1"/>
  <c r="D211" i="4"/>
  <c r="F210" i="4" a="1"/>
  <c r="F210" i="4" s="1"/>
  <c r="D210" i="4"/>
  <c r="F209" i="4" a="1"/>
  <c r="F209" i="4" s="1"/>
  <c r="D209" i="4"/>
  <c r="F208" i="4" a="1"/>
  <c r="F208" i="4" s="1"/>
  <c r="D208" i="4"/>
  <c r="F207" i="4" a="1"/>
  <c r="F207" i="4" s="1"/>
  <c r="D207" i="4"/>
  <c r="F206" i="4" a="1"/>
  <c r="F206" i="4" s="1"/>
  <c r="D206" i="4"/>
  <c r="F205" i="4" a="1"/>
  <c r="F205" i="4" s="1"/>
  <c r="D205" i="4"/>
  <c r="F204" i="4" a="1"/>
  <c r="F204" i="4" s="1"/>
  <c r="D204" i="4"/>
  <c r="A204" i="4"/>
  <c r="F203" i="4" a="1"/>
  <c r="F203" i="4" s="1"/>
  <c r="D203" i="4"/>
  <c r="F202" i="4" a="1"/>
  <c r="F202" i="4" s="1"/>
  <c r="D202" i="4"/>
  <c r="A202" i="4"/>
  <c r="F201" i="4" a="1"/>
  <c r="F201" i="4" s="1"/>
  <c r="D201" i="4"/>
  <c r="F200" i="4" a="1"/>
  <c r="F200" i="4" s="1"/>
  <c r="D200" i="4"/>
  <c r="F199" i="4" a="1"/>
  <c r="F199" i="4" s="1"/>
  <c r="D199" i="4"/>
  <c r="F198" i="4" a="1"/>
  <c r="F198" i="4" s="1"/>
  <c r="D198" i="4"/>
  <c r="F197" i="4" a="1"/>
  <c r="F197" i="4" s="1"/>
  <c r="D197" i="4"/>
  <c r="F196" i="4" a="1"/>
  <c r="F196" i="4" s="1"/>
  <c r="D196" i="4"/>
  <c r="F195" i="4" a="1"/>
  <c r="F195" i="4" s="1"/>
  <c r="D195" i="4"/>
  <c r="F194" i="4" a="1"/>
  <c r="F194" i="4" s="1"/>
  <c r="D194" i="4"/>
  <c r="F193" i="4" a="1"/>
  <c r="F193" i="4" s="1"/>
  <c r="D193" i="4"/>
  <c r="F192" i="4" a="1"/>
  <c r="F192" i="4" s="1"/>
  <c r="D192" i="4"/>
  <c r="A192" i="4"/>
  <c r="F191" i="4" a="1"/>
  <c r="F191" i="4" s="1"/>
  <c r="D191" i="4"/>
  <c r="A191" i="4"/>
  <c r="F190" i="4" a="1"/>
  <c r="F190" i="4" s="1"/>
  <c r="D190" i="4"/>
  <c r="A190" i="4"/>
  <c r="F189" i="4" a="1"/>
  <c r="F189" i="4" s="1"/>
  <c r="D189" i="4"/>
  <c r="A189" i="4"/>
  <c r="F188" i="4" a="1"/>
  <c r="F188" i="4" s="1"/>
  <c r="D188" i="4"/>
  <c r="F187" i="4" a="1"/>
  <c r="F187" i="4" s="1"/>
  <c r="D187" i="4"/>
  <c r="F186" i="4" a="1"/>
  <c r="F186" i="4" s="1"/>
  <c r="D186" i="4"/>
  <c r="F185" i="4" a="1"/>
  <c r="F185" i="4" s="1"/>
  <c r="D185" i="4"/>
  <c r="F184" i="4" a="1"/>
  <c r="F184" i="4" s="1"/>
  <c r="D184" i="4"/>
  <c r="F183" i="4" a="1"/>
  <c r="F183" i="4" s="1"/>
  <c r="D183" i="4"/>
  <c r="F182" i="4" a="1"/>
  <c r="F182" i="4" s="1"/>
  <c r="D182" i="4"/>
  <c r="F181" i="4" a="1"/>
  <c r="F181" i="4" s="1"/>
  <c r="D181" i="4"/>
  <c r="F180" i="4" a="1"/>
  <c r="F180" i="4" s="1"/>
  <c r="D180" i="4"/>
  <c r="A180" i="4"/>
  <c r="F179" i="4" a="1"/>
  <c r="F179" i="4" s="1"/>
  <c r="D179" i="4"/>
  <c r="F178" i="4" a="1"/>
  <c r="F178" i="4" s="1"/>
  <c r="D178" i="4"/>
  <c r="A178" i="4"/>
  <c r="F177" i="4" a="1"/>
  <c r="F177" i="4" s="1"/>
  <c r="D177" i="4"/>
  <c r="F176" i="4" a="1"/>
  <c r="F176" i="4" s="1"/>
  <c r="D176" i="4"/>
  <c r="A176" i="4"/>
  <c r="F175" i="4" a="1"/>
  <c r="F175" i="4" s="1"/>
  <c r="D175" i="4"/>
  <c r="F174" i="4" a="1"/>
  <c r="F174" i="4" s="1"/>
  <c r="D174" i="4"/>
  <c r="F173" i="4" a="1"/>
  <c r="F173" i="4" s="1"/>
  <c r="D173" i="4"/>
  <c r="F172" i="4" a="1"/>
  <c r="F172" i="4" s="1"/>
  <c r="D172" i="4"/>
  <c r="A172" i="4"/>
  <c r="F171" i="4" a="1"/>
  <c r="F171" i="4" s="1"/>
  <c r="D171" i="4"/>
  <c r="F170" i="4" a="1"/>
  <c r="F170" i="4" s="1"/>
  <c r="D170" i="4"/>
  <c r="F169" i="4" a="1"/>
  <c r="F169" i="4" s="1"/>
  <c r="D169" i="4"/>
  <c r="F168" i="4" a="1"/>
  <c r="F168" i="4" s="1"/>
  <c r="D168" i="4"/>
  <c r="A168" i="4"/>
  <c r="F167" i="4" a="1"/>
  <c r="F167" i="4" s="1"/>
  <c r="D167" i="4"/>
  <c r="A167" i="4"/>
  <c r="F166" i="4" a="1"/>
  <c r="F166" i="4" s="1"/>
  <c r="D166" i="4"/>
  <c r="A166" i="4"/>
  <c r="F165" i="4" a="1"/>
  <c r="F165" i="4" s="1"/>
  <c r="D165" i="4"/>
  <c r="A165" i="4"/>
  <c r="F164" i="4" a="1"/>
  <c r="F164" i="4" s="1"/>
  <c r="D164" i="4"/>
  <c r="F163" i="4" a="1"/>
  <c r="F163" i="4" s="1"/>
  <c r="D163" i="4"/>
  <c r="F162" i="4" a="1"/>
  <c r="F162" i="4" s="1"/>
  <c r="D162" i="4"/>
  <c r="F161" i="4" a="1"/>
  <c r="F161" i="4" s="1"/>
  <c r="D161" i="4"/>
  <c r="F160" i="4" a="1"/>
  <c r="F160" i="4" s="1"/>
  <c r="D160" i="4"/>
  <c r="A160" i="4"/>
  <c r="F159" i="4" a="1"/>
  <c r="F159" i="4" s="1"/>
  <c r="D159" i="4"/>
  <c r="F158" i="4" a="1"/>
  <c r="F158" i="4" s="1"/>
  <c r="D158" i="4"/>
  <c r="F157" i="4" a="1"/>
  <c r="F157" i="4" s="1"/>
  <c r="D157" i="4"/>
  <c r="F156" i="4" a="1"/>
  <c r="F156" i="4" s="1"/>
  <c r="D156" i="4"/>
  <c r="A156" i="4"/>
  <c r="F155" i="4" a="1"/>
  <c r="F155" i="4" s="1"/>
  <c r="D155" i="4"/>
  <c r="F154" i="4" a="1"/>
  <c r="F154" i="4" s="1"/>
  <c r="D154" i="4"/>
  <c r="F153" i="4" a="1"/>
  <c r="F153" i="4" s="1"/>
  <c r="D153" i="4"/>
  <c r="F152" i="4" a="1"/>
  <c r="F152" i="4" s="1"/>
  <c r="D152" i="4"/>
  <c r="A152" i="4"/>
  <c r="F151" i="4" a="1"/>
  <c r="F151" i="4" s="1"/>
  <c r="D151" i="4"/>
  <c r="F150" i="4" a="1"/>
  <c r="F150" i="4" s="1"/>
  <c r="D150" i="4"/>
  <c r="F149" i="4" a="1"/>
  <c r="F149" i="4" s="1"/>
  <c r="D149" i="4"/>
  <c r="F148" i="4" a="1"/>
  <c r="F148" i="4" s="1"/>
  <c r="D148" i="4"/>
  <c r="F147" i="4" a="1"/>
  <c r="F147" i="4" s="1"/>
  <c r="D147" i="4"/>
  <c r="F146" i="4" a="1"/>
  <c r="F146" i="4" s="1"/>
  <c r="D146" i="4"/>
  <c r="F145" i="4" a="1"/>
  <c r="F145" i="4" s="1"/>
  <c r="D145" i="4"/>
  <c r="A145" i="4"/>
  <c r="F144" i="4" a="1"/>
  <c r="F144" i="4" s="1"/>
  <c r="D144" i="4"/>
  <c r="A144" i="4"/>
  <c r="F143" i="4" a="1"/>
  <c r="F143" i="4" s="1"/>
  <c r="D143" i="4"/>
  <c r="F142" i="4" a="1"/>
  <c r="F142" i="4" s="1"/>
  <c r="D142" i="4"/>
  <c r="A142" i="4"/>
  <c r="F141" i="4" a="1"/>
  <c r="F141" i="4" s="1"/>
  <c r="D141" i="4"/>
  <c r="F140" i="4" a="1"/>
  <c r="F140" i="4" s="1"/>
  <c r="D140" i="4"/>
  <c r="F139" i="4" a="1"/>
  <c r="F139" i="4" s="1"/>
  <c r="D139" i="4"/>
  <c r="F138" i="4" a="1"/>
  <c r="F138" i="4" s="1"/>
  <c r="D138" i="4"/>
  <c r="F137" i="4" a="1"/>
  <c r="F137" i="4" s="1"/>
  <c r="D137" i="4"/>
  <c r="F136" i="4" a="1"/>
  <c r="F136" i="4" s="1"/>
  <c r="D136" i="4"/>
  <c r="F135" i="4" a="1"/>
  <c r="F135" i="4" s="1"/>
  <c r="D135" i="4"/>
  <c r="F134" i="4" a="1"/>
  <c r="F134" i="4" s="1"/>
  <c r="D134" i="4"/>
  <c r="A134" i="4"/>
  <c r="F133" i="4" a="1"/>
  <c r="F133" i="4" s="1"/>
  <c r="D133" i="4"/>
  <c r="F132" i="4" a="1"/>
  <c r="F132" i="4" s="1"/>
  <c r="D132" i="4"/>
  <c r="A132" i="4"/>
  <c r="F131" i="4" a="1"/>
  <c r="F131" i="4" s="1"/>
  <c r="D131" i="4"/>
  <c r="F130" i="4" a="1"/>
  <c r="F130" i="4" s="1"/>
  <c r="D130" i="4"/>
  <c r="A130" i="4"/>
  <c r="F129" i="4" a="1"/>
  <c r="F129" i="4" s="1"/>
  <c r="D129" i="4"/>
  <c r="A129" i="4"/>
  <c r="F128" i="4" a="1"/>
  <c r="F128" i="4" s="1"/>
  <c r="D128" i="4"/>
  <c r="A128" i="4"/>
  <c r="F127" i="4" a="1"/>
  <c r="F127" i="4" s="1"/>
  <c r="D127" i="4"/>
  <c r="F126" i="4" a="1"/>
  <c r="F126" i="4" s="1"/>
  <c r="D126" i="4"/>
  <c r="F125" i="4" a="1"/>
  <c r="F125" i="4" s="1"/>
  <c r="D125" i="4"/>
  <c r="F124" i="4" a="1"/>
  <c r="F124" i="4" s="1"/>
  <c r="D124" i="4"/>
  <c r="F123" i="4" a="1"/>
  <c r="F123" i="4" s="1"/>
  <c r="D123" i="4"/>
  <c r="F122" i="4" a="1"/>
  <c r="F122" i="4" s="1"/>
  <c r="D122" i="4"/>
  <c r="F121" i="4" a="1"/>
  <c r="F121" i="4" s="1"/>
  <c r="D121" i="4"/>
  <c r="A121" i="4"/>
  <c r="F120" i="4" a="1"/>
  <c r="F120" i="4" s="1"/>
  <c r="D120" i="4"/>
  <c r="A120" i="4"/>
  <c r="F119" i="4" a="1"/>
  <c r="F119" i="4" s="1"/>
  <c r="D119" i="4"/>
  <c r="F118" i="4" a="1"/>
  <c r="F118" i="4" s="1"/>
  <c r="D118" i="4"/>
  <c r="A118" i="4"/>
  <c r="F117" i="4" a="1"/>
  <c r="F117" i="4" s="1"/>
  <c r="D117" i="4"/>
  <c r="F116" i="4" a="1"/>
  <c r="F116" i="4" s="1"/>
  <c r="D116" i="4"/>
  <c r="F115" i="4" a="1"/>
  <c r="F115" i="4" s="1"/>
  <c r="D115" i="4"/>
  <c r="F114" i="4" a="1"/>
  <c r="F114" i="4" s="1"/>
  <c r="D114" i="4"/>
  <c r="F113" i="4" a="1"/>
  <c r="F113" i="4" s="1"/>
  <c r="D113" i="4"/>
  <c r="F112" i="4" a="1"/>
  <c r="F112" i="4" s="1"/>
  <c r="D112" i="4"/>
  <c r="F111" i="4" a="1"/>
  <c r="F111" i="4" s="1"/>
  <c r="D111" i="4"/>
  <c r="F110" i="4" a="1"/>
  <c r="F110" i="4" s="1"/>
  <c r="D110" i="4"/>
  <c r="F109" i="4" a="1"/>
  <c r="F109" i="4" s="1"/>
  <c r="D109" i="4"/>
  <c r="F108" i="4" a="1"/>
  <c r="F108" i="4" s="1"/>
  <c r="D108" i="4"/>
  <c r="A108" i="4"/>
  <c r="F107" i="4" a="1"/>
  <c r="F107" i="4" s="1"/>
  <c r="D107" i="4"/>
  <c r="A107" i="4"/>
  <c r="F106" i="4" a="1"/>
  <c r="F106" i="4" s="1"/>
  <c r="D106" i="4"/>
  <c r="A106" i="4"/>
  <c r="F105" i="4" a="1"/>
  <c r="F105" i="4" s="1"/>
  <c r="D105" i="4"/>
  <c r="A105" i="4"/>
  <c r="F104" i="4" a="1"/>
  <c r="F104" i="4" s="1"/>
  <c r="D104" i="4"/>
  <c r="A104" i="4"/>
  <c r="F103" i="4" a="1"/>
  <c r="F103" i="4" s="1"/>
  <c r="D103" i="4"/>
  <c r="F102" i="4" a="1"/>
  <c r="F102" i="4" s="1"/>
  <c r="D102" i="4"/>
  <c r="F101" i="4" a="1"/>
  <c r="F101" i="4" s="1"/>
  <c r="D101" i="4"/>
  <c r="F100" i="4" a="1"/>
  <c r="F100" i="4" s="1"/>
  <c r="D100" i="4"/>
  <c r="F99" i="4" a="1"/>
  <c r="F99" i="4" s="1"/>
  <c r="D99" i="4"/>
  <c r="F98" i="4" a="1"/>
  <c r="F98" i="4" s="1"/>
  <c r="D98" i="4"/>
  <c r="F97" i="4" a="1"/>
  <c r="F97" i="4" s="1"/>
  <c r="D97" i="4"/>
  <c r="A97" i="4"/>
  <c r="F96" i="4" a="1"/>
  <c r="F96" i="4" s="1"/>
  <c r="D96" i="4"/>
  <c r="A96" i="4"/>
  <c r="F95" i="4" a="1"/>
  <c r="F95" i="4" s="1"/>
  <c r="D95" i="4"/>
  <c r="F94" i="4" a="1"/>
  <c r="F94" i="4" s="1"/>
  <c r="D94" i="4"/>
  <c r="A94" i="4"/>
  <c r="F93" i="4" a="1"/>
  <c r="F93" i="4" s="1"/>
  <c r="D93" i="4"/>
  <c r="A93" i="4"/>
  <c r="F92" i="4" a="1"/>
  <c r="F92" i="4" s="1"/>
  <c r="D92" i="4"/>
  <c r="F91" i="4" a="1"/>
  <c r="F91" i="4" s="1"/>
  <c r="D91" i="4"/>
  <c r="F90" i="4" a="1"/>
  <c r="F90" i="4" s="1"/>
  <c r="D90" i="4"/>
  <c r="F89" i="4" a="1"/>
  <c r="F89" i="4" s="1"/>
  <c r="D89" i="4"/>
  <c r="F88" i="4" a="1"/>
  <c r="F88" i="4" s="1"/>
  <c r="D88" i="4"/>
  <c r="F87" i="4" a="1"/>
  <c r="F87" i="4" s="1"/>
  <c r="D87" i="4"/>
  <c r="F86" i="4" a="1"/>
  <c r="F86" i="4" s="1"/>
  <c r="D86" i="4"/>
  <c r="F85" i="4" a="1"/>
  <c r="F85" i="4" s="1"/>
  <c r="D85" i="4"/>
  <c r="A85" i="4"/>
  <c r="F84" i="4" a="1"/>
  <c r="F84" i="4" s="1"/>
  <c r="D84" i="4"/>
  <c r="A84" i="4"/>
  <c r="F83" i="4" a="1"/>
  <c r="F83" i="4" s="1"/>
  <c r="D83" i="4"/>
  <c r="F82" i="4" a="1"/>
  <c r="F82" i="4" s="1"/>
  <c r="D82" i="4"/>
  <c r="A82" i="4"/>
  <c r="F81" i="4" a="1"/>
  <c r="F81" i="4" s="1"/>
  <c r="D81" i="4"/>
  <c r="A81" i="4"/>
  <c r="F80" i="4" a="1"/>
  <c r="F80" i="4" s="1"/>
  <c r="D80" i="4"/>
  <c r="A80" i="4"/>
  <c r="F79" i="4" a="1"/>
  <c r="F79" i="4" s="1"/>
  <c r="D79" i="4"/>
  <c r="F78" i="4" a="1"/>
  <c r="F78" i="4" s="1"/>
  <c r="D78" i="4"/>
  <c r="F77" i="4" a="1"/>
  <c r="F77" i="4" s="1"/>
  <c r="D77" i="4"/>
  <c r="F76" i="4" a="1"/>
  <c r="F76" i="4" s="1"/>
  <c r="D76" i="4"/>
  <c r="F75" i="4" a="1"/>
  <c r="F75" i="4" s="1"/>
  <c r="D75" i="4"/>
  <c r="F74" i="4" a="1"/>
  <c r="F74" i="4" s="1"/>
  <c r="D74" i="4"/>
  <c r="F73" i="4" a="1"/>
  <c r="F73" i="4" s="1"/>
  <c r="D73" i="4"/>
  <c r="F72" i="4" a="1"/>
  <c r="F72" i="4" s="1"/>
  <c r="D72" i="4"/>
  <c r="A72" i="4"/>
  <c r="F71" i="4" a="1"/>
  <c r="F71" i="4" s="1"/>
  <c r="D71" i="4"/>
  <c r="A71" i="4"/>
  <c r="F70" i="4" a="1"/>
  <c r="F70" i="4" s="1"/>
  <c r="D70" i="4"/>
  <c r="A70" i="4"/>
  <c r="F69" i="4" a="1"/>
  <c r="F69" i="4" s="1"/>
  <c r="D69" i="4"/>
  <c r="A69" i="4"/>
  <c r="F68" i="4" a="1"/>
  <c r="F68" i="4" s="1"/>
  <c r="D68" i="4"/>
  <c r="F67" i="4" a="1"/>
  <c r="F67" i="4" s="1"/>
  <c r="D67" i="4"/>
  <c r="F66" i="4" a="1"/>
  <c r="F66" i="4" s="1"/>
  <c r="D66" i="4"/>
  <c r="F65" i="4" a="1"/>
  <c r="F65" i="4" s="1"/>
  <c r="D65" i="4"/>
  <c r="F64" i="4" a="1"/>
  <c r="F64" i="4" s="1"/>
  <c r="D64" i="4"/>
  <c r="F63" i="4" a="1"/>
  <c r="F63" i="4" s="1"/>
  <c r="D63" i="4"/>
  <c r="F62" i="4" a="1"/>
  <c r="F62" i="4" s="1"/>
  <c r="D62" i="4"/>
  <c r="F61" i="4" a="1"/>
  <c r="F61" i="4" s="1"/>
  <c r="D61" i="4"/>
  <c r="F60" i="4" a="1"/>
  <c r="F60" i="4" s="1"/>
  <c r="D60" i="4"/>
  <c r="A60" i="4"/>
  <c r="F59" i="4" a="1"/>
  <c r="F59" i="4" s="1"/>
  <c r="D59" i="4"/>
  <c r="A59" i="4"/>
  <c r="F58" i="4" a="1"/>
  <c r="F58" i="4" s="1"/>
  <c r="D58" i="4"/>
  <c r="A58" i="4"/>
  <c r="F57" i="4" a="1"/>
  <c r="F57" i="4" s="1"/>
  <c r="D57" i="4"/>
  <c r="A57" i="4"/>
  <c r="F56" i="4" a="1"/>
  <c r="F56" i="4" s="1"/>
  <c r="D56" i="4"/>
  <c r="A56" i="4"/>
  <c r="F55" i="4" a="1"/>
  <c r="F55" i="4" s="1"/>
  <c r="D55" i="4"/>
  <c r="F54" i="4" a="1"/>
  <c r="F54" i="4" s="1"/>
  <c r="D54" i="4"/>
  <c r="F53" i="4" a="1"/>
  <c r="F53" i="4" s="1"/>
  <c r="D53" i="4"/>
  <c r="F52" i="4" a="1"/>
  <c r="F52" i="4" s="1"/>
  <c r="D52" i="4"/>
  <c r="F51" i="4" a="1"/>
  <c r="F51" i="4" s="1"/>
  <c r="D51" i="4"/>
  <c r="F50" i="4" a="1"/>
  <c r="F50" i="4" s="1"/>
  <c r="D50" i="4"/>
  <c r="F49" i="4" a="1"/>
  <c r="F49" i="4" s="1"/>
  <c r="D49" i="4"/>
  <c r="A49" i="4"/>
  <c r="F48" i="4" a="1"/>
  <c r="F48" i="4" s="1"/>
  <c r="D48" i="4"/>
  <c r="A48" i="4"/>
  <c r="F47" i="4" a="1"/>
  <c r="F47" i="4" s="1"/>
  <c r="D47" i="4"/>
  <c r="F46" i="4" a="1"/>
  <c r="F46" i="4" s="1"/>
  <c r="D46" i="4"/>
  <c r="A46" i="4"/>
  <c r="F45" i="4" a="1"/>
  <c r="F45" i="4" s="1"/>
  <c r="D45" i="4"/>
  <c r="A45" i="4"/>
  <c r="F44" i="4" a="1"/>
  <c r="F44" i="4" s="1"/>
  <c r="D44" i="4"/>
  <c r="F43" i="4" a="1"/>
  <c r="F43" i="4" s="1"/>
  <c r="D43" i="4"/>
  <c r="F42" i="4" a="1"/>
  <c r="F42" i="4" s="1"/>
  <c r="D42" i="4"/>
  <c r="F41" i="4" a="1"/>
  <c r="F41" i="4" s="1"/>
  <c r="D41" i="4"/>
  <c r="F40" i="4" a="1"/>
  <c r="F40" i="4" s="1"/>
  <c r="D40" i="4"/>
  <c r="F39" i="4" a="1"/>
  <c r="F39" i="4" s="1"/>
  <c r="D39" i="4"/>
  <c r="F38" i="4" a="1"/>
  <c r="F38" i="4" s="1"/>
  <c r="D38" i="4"/>
  <c r="F37" i="4" a="1"/>
  <c r="F37" i="4" s="1"/>
  <c r="D37" i="4"/>
  <c r="F36" i="4" a="1"/>
  <c r="F36" i="4" s="1"/>
  <c r="D36" i="4"/>
  <c r="A36" i="4"/>
  <c r="F35" i="4" a="1"/>
  <c r="F35" i="4" s="1"/>
  <c r="D35" i="4"/>
  <c r="A35" i="4"/>
  <c r="F34" i="4" a="1"/>
  <c r="F34" i="4" s="1"/>
  <c r="D34" i="4"/>
  <c r="A34" i="4"/>
  <c r="F33" i="4" a="1"/>
  <c r="F33" i="4" s="1"/>
  <c r="D33" i="4"/>
  <c r="A33" i="4"/>
  <c r="F32" i="4" a="1"/>
  <c r="F32" i="4" s="1"/>
  <c r="D32" i="4"/>
  <c r="A32" i="4"/>
  <c r="F31" i="4" a="1"/>
  <c r="F31" i="4" s="1"/>
  <c r="D31" i="4"/>
  <c r="F30" i="4" a="1"/>
  <c r="F30" i="4" s="1"/>
  <c r="D30" i="4"/>
  <c r="F29" i="4" a="1"/>
  <c r="F29" i="4" s="1"/>
  <c r="D29" i="4"/>
  <c r="F28" i="4" a="1"/>
  <c r="F28" i="4" s="1"/>
  <c r="D28" i="4"/>
  <c r="A28" i="4"/>
  <c r="F27" i="4" a="1"/>
  <c r="F27" i="4" s="1"/>
  <c r="D27" i="4"/>
  <c r="F26" i="4" a="1"/>
  <c r="F26" i="4" s="1"/>
  <c r="D26" i="4"/>
  <c r="F25" i="4" a="1"/>
  <c r="F25" i="4" s="1"/>
  <c r="D25" i="4"/>
  <c r="F24" i="4" a="1"/>
  <c r="F24" i="4" s="1"/>
  <c r="D24" i="4"/>
  <c r="A24" i="4"/>
  <c r="F23" i="4" a="1"/>
  <c r="F23" i="4" s="1"/>
  <c r="D23" i="4"/>
  <c r="A23" i="4"/>
  <c r="F22" i="4" a="1"/>
  <c r="F22" i="4" s="1"/>
  <c r="D22" i="4"/>
  <c r="A22" i="4"/>
  <c r="F21" i="4" a="1"/>
  <c r="F21" i="4" s="1"/>
  <c r="D21" i="4"/>
  <c r="A21" i="4"/>
  <c r="F20" i="4" a="1"/>
  <c r="F20" i="4" s="1"/>
  <c r="D20" i="4"/>
  <c r="F19" i="4" a="1"/>
  <c r="F19" i="4" s="1"/>
  <c r="D19" i="4"/>
  <c r="F18" i="4" a="1"/>
  <c r="F18" i="4" s="1"/>
  <c r="D18" i="4"/>
  <c r="F17" i="4" a="1"/>
  <c r="F17" i="4" s="1"/>
  <c r="D17" i="4"/>
  <c r="F16" i="4" a="1"/>
  <c r="F16" i="4" s="1"/>
  <c r="D16" i="4"/>
  <c r="F15" i="4" a="1"/>
  <c r="F15" i="4" s="1"/>
  <c r="D15" i="4"/>
  <c r="F14" i="4" a="1"/>
  <c r="F14" i="4" s="1"/>
  <c r="D14" i="4"/>
  <c r="A14" i="4"/>
  <c r="F13" i="4" a="1"/>
  <c r="F13" i="4" s="1"/>
  <c r="D13" i="4"/>
  <c r="A13" i="4"/>
  <c r="F12" i="4" a="1"/>
  <c r="F12" i="4" s="1"/>
  <c r="D12" i="4"/>
  <c r="A12" i="4"/>
  <c r="F11" i="4" a="1"/>
  <c r="F11" i="4" s="1"/>
  <c r="D11" i="4"/>
  <c r="F10" i="4" a="1"/>
  <c r="F10" i="4" s="1"/>
  <c r="D10" i="4"/>
  <c r="A10" i="4"/>
  <c r="F9" i="4" a="1"/>
  <c r="F9" i="4" s="1"/>
  <c r="D9" i="4"/>
  <c r="A9" i="4"/>
  <c r="F8" i="4" a="1"/>
  <c r="F8" i="4" s="1"/>
  <c r="D8" i="4"/>
  <c r="A8" i="4"/>
  <c r="F7" i="4" a="1"/>
  <c r="F7" i="4" s="1"/>
  <c r="D7" i="4"/>
  <c r="F6" i="4" a="1"/>
  <c r="F6" i="4" s="1"/>
  <c r="D6" i="4"/>
  <c r="F5" i="4" a="1"/>
  <c r="F5" i="4" s="1"/>
  <c r="D5" i="4"/>
  <c r="F4" i="4" a="1"/>
  <c r="F4" i="4" s="1"/>
  <c r="D4" i="4"/>
  <c r="F3" i="4" a="1"/>
  <c r="F3" i="4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D3" i="4"/>
  <c r="P5" i="4" l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E254" i="4"/>
  <c r="E255" i="4" s="1"/>
  <c r="E256" i="4" s="1"/>
  <c r="E257" i="4" s="1"/>
  <c r="E258" i="4" s="1"/>
  <c r="E259" i="4" s="1"/>
  <c r="E260" i="4" s="1"/>
  <c r="E261" i="4" s="1"/>
  <c r="E262" i="4" s="1"/>
  <c r="E263" i="4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O4" i="4"/>
  <c r="N4" i="4"/>
  <c r="N5" i="4" s="1"/>
  <c r="E264" i="4" l="1"/>
  <c r="E265" i="4" s="1"/>
  <c r="E266" i="4" s="1"/>
  <c r="E267" i="4" s="1"/>
  <c r="E268" i="4" s="1"/>
  <c r="E269" i="4" s="1"/>
  <c r="E270" i="4" s="1"/>
  <c r="E271" i="4" s="1"/>
  <c r="E272" i="4" s="1"/>
  <c r="E273" i="4" s="1"/>
  <c r="X30" i="2" a="1"/>
  <c r="X30" i="2" s="1"/>
  <c r="W29" i="11" s="1"/>
  <c r="X41" i="2" a="1"/>
  <c r="X41" i="2" s="1"/>
  <c r="W40" i="11" s="1"/>
  <c r="O5" i="4"/>
  <c r="O6" i="4" s="1"/>
  <c r="F47" i="2" a="1"/>
  <c r="F47" i="2" s="1"/>
  <c r="E46" i="11" s="1"/>
  <c r="F31" i="2" a="1"/>
  <c r="F31" i="2" s="1"/>
  <c r="E30" i="11" s="1"/>
  <c r="F27" i="2" a="1"/>
  <c r="F27" i="2" s="1"/>
  <c r="E26" i="11" s="1"/>
  <c r="F26" i="2" a="1"/>
  <c r="F26" i="2" s="1"/>
  <c r="E25" i="11" s="1"/>
  <c r="F25" i="2" a="1"/>
  <c r="F25" i="2" s="1"/>
  <c r="E24" i="11" s="1"/>
  <c r="F24" i="2" a="1"/>
  <c r="F24" i="2" s="1"/>
  <c r="E23" i="11" s="1"/>
  <c r="F23" i="2" a="1"/>
  <c r="F23" i="2" s="1"/>
  <c r="E22" i="11" s="1"/>
  <c r="F22" i="2" a="1"/>
  <c r="F22" i="2" s="1"/>
  <c r="E21" i="11" s="1"/>
  <c r="F21" i="2" a="1"/>
  <c r="F21" i="2" s="1"/>
  <c r="E20" i="11" s="1"/>
  <c r="F20" i="2" a="1"/>
  <c r="F20" i="2" s="1"/>
  <c r="E19" i="11" s="1"/>
  <c r="F19" i="2" a="1"/>
  <c r="F19" i="2" s="1"/>
  <c r="E18" i="11" s="1"/>
  <c r="F18" i="2" a="1"/>
  <c r="F18" i="2" s="1"/>
  <c r="E17" i="11" s="1"/>
  <c r="F17" i="2" a="1"/>
  <c r="F17" i="2" s="1"/>
  <c r="E16" i="11" s="1"/>
  <c r="F16" i="2" a="1"/>
  <c r="F16" i="2" s="1"/>
  <c r="E15" i="11" s="1"/>
  <c r="F15" i="2" a="1"/>
  <c r="F15" i="2" s="1"/>
  <c r="E14" i="11" s="1"/>
  <c r="F14" i="2" a="1"/>
  <c r="F14" i="2" s="1"/>
  <c r="E13" i="11" s="1"/>
  <c r="F13" i="2" a="1"/>
  <c r="F13" i="2" s="1"/>
  <c r="E12" i="11" s="1"/>
  <c r="F12" i="2" a="1"/>
  <c r="F12" i="2" s="1"/>
  <c r="E11" i="11" s="1"/>
  <c r="F11" i="2" a="1"/>
  <c r="F11" i="2" s="1"/>
  <c r="E10" i="11" s="1"/>
  <c r="F10" i="2" a="1"/>
  <c r="F10" i="2" s="1"/>
  <c r="E9" i="11" s="1"/>
  <c r="F9" i="2" a="1"/>
  <c r="F9" i="2" s="1"/>
  <c r="E8" i="11" s="1"/>
  <c r="F8" i="2" a="1"/>
  <c r="F8" i="2" s="1"/>
  <c r="E7" i="11" s="1"/>
  <c r="F6" i="2" a="1"/>
  <c r="F6" i="2" s="1"/>
  <c r="F5" i="2" a="1"/>
  <c r="F5" i="2" s="1"/>
  <c r="F4" i="2" a="1"/>
  <c r="F4" i="2" s="1"/>
  <c r="F3" i="2" a="1"/>
  <c r="F3" i="2" s="1"/>
  <c r="X39" i="2" l="1" a="1"/>
  <c r="X39" i="2" s="1"/>
  <c r="W38" i="11" s="1"/>
  <c r="X7" i="2" a="1"/>
  <c r="X7" i="2" s="1"/>
  <c r="W6" i="11" s="1"/>
  <c r="X37" i="2" a="1"/>
  <c r="X37" i="2" s="1"/>
  <c r="W36" i="11" s="1"/>
  <c r="X38" i="2" a="1"/>
  <c r="X38" i="2" s="1"/>
  <c r="W37" i="11" s="1"/>
  <c r="E274" i="4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X16" i="2" a="1"/>
  <c r="X16" i="2" s="1"/>
  <c r="W15" i="11" s="1"/>
  <c r="X19" i="2" a="1"/>
  <c r="X19" i="2" s="1"/>
  <c r="W18" i="11" s="1"/>
  <c r="X14" i="2" a="1"/>
  <c r="X14" i="2" s="1"/>
  <c r="W13" i="11" s="1"/>
  <c r="X18" i="2" a="1"/>
  <c r="X18" i="2" s="1"/>
  <c r="W17" i="11" s="1"/>
  <c r="X10" i="2" a="1"/>
  <c r="X10" i="2" s="1"/>
  <c r="W9" i="11" s="1"/>
  <c r="X27" i="2" a="1"/>
  <c r="X27" i="2" s="1"/>
  <c r="W26" i="11" s="1"/>
  <c r="X24" i="2" a="1"/>
  <c r="X24" i="2" s="1"/>
  <c r="W23" i="11" s="1"/>
  <c r="X9" i="2" a="1"/>
  <c r="X9" i="2" s="1"/>
  <c r="W8" i="11" s="1"/>
  <c r="X23" i="2" a="1"/>
  <c r="X23" i="2" s="1"/>
  <c r="W22" i="11" s="1"/>
  <c r="X47" i="2" a="1"/>
  <c r="X47" i="2" s="1"/>
  <c r="W46" i="11" s="1"/>
  <c r="X20" i="2" a="1"/>
  <c r="X20" i="2" s="1"/>
  <c r="W19" i="11" s="1"/>
  <c r="X6" i="2" a="1"/>
  <c r="X6" i="2" s="1"/>
  <c r="W5" i="11" s="1"/>
  <c r="X34" i="2" a="1"/>
  <c r="X34" i="2" s="1"/>
  <c r="W33" i="11" s="1"/>
  <c r="X5" i="2" a="1"/>
  <c r="X5" i="2" s="1"/>
  <c r="W4" i="11" s="1"/>
  <c r="X22" i="2" a="1"/>
  <c r="X22" i="2" s="1"/>
  <c r="W21" i="11" s="1"/>
  <c r="X29" i="2" a="1"/>
  <c r="X29" i="2" s="1"/>
  <c r="W28" i="11" s="1"/>
  <c r="X28" i="2" a="1"/>
  <c r="X28" i="2" s="1"/>
  <c r="W27" i="11" s="1"/>
  <c r="X15" i="2" a="1"/>
  <c r="X15" i="2" s="1"/>
  <c r="W14" i="11" s="1"/>
  <c r="X26" i="2" a="1"/>
  <c r="X26" i="2" s="1"/>
  <c r="W25" i="11" s="1"/>
  <c r="X33" i="2" a="1"/>
  <c r="X33" i="2" s="1"/>
  <c r="W32" i="11" s="1"/>
  <c r="X25" i="2" a="1"/>
  <c r="X25" i="2" s="1"/>
  <c r="W24" i="11" s="1"/>
  <c r="X31" i="2" a="1"/>
  <c r="X31" i="2" s="1"/>
  <c r="W30" i="11" s="1"/>
  <c r="X36" i="2" a="1"/>
  <c r="X36" i="2" s="1"/>
  <c r="W35" i="11" s="1"/>
  <c r="X42" i="2" a="1"/>
  <c r="X42" i="2" s="1"/>
  <c r="W41" i="11" s="1"/>
  <c r="X44" i="2" a="1"/>
  <c r="X44" i="2" s="1"/>
  <c r="W43" i="11" s="1"/>
  <c r="X43" i="2" a="1"/>
  <c r="X43" i="2" s="1"/>
  <c r="W42" i="11" s="1"/>
  <c r="X13" i="2" a="1"/>
  <c r="X13" i="2" s="1"/>
  <c r="W12" i="11" s="1"/>
  <c r="X32" i="2" a="1"/>
  <c r="X32" i="2" s="1"/>
  <c r="W31" i="11" s="1"/>
  <c r="X46" i="2" a="1"/>
  <c r="X46" i="2" s="1"/>
  <c r="W45" i="11" s="1"/>
  <c r="X12" i="2" a="1"/>
  <c r="X12" i="2" s="1"/>
  <c r="W11" i="11" s="1"/>
  <c r="X17" i="2" a="1"/>
  <c r="X17" i="2" s="1"/>
  <c r="W16" i="11" s="1"/>
  <c r="X11" i="2" a="1"/>
  <c r="X11" i="2" s="1"/>
  <c r="W10" i="11" s="1"/>
  <c r="X35" i="2" a="1"/>
  <c r="X35" i="2" s="1"/>
  <c r="W34" i="11" s="1"/>
  <c r="X4" i="2" a="1"/>
  <c r="X4" i="2" s="1"/>
  <c r="W3" i="11" s="1"/>
  <c r="X45" i="2" a="1"/>
  <c r="X45" i="2" s="1"/>
  <c r="W44" i="11" s="1"/>
  <c r="X40" i="2" a="1"/>
  <c r="X40" i="2" s="1"/>
  <c r="W39" i="11" s="1"/>
  <c r="X8" i="2" a="1"/>
  <c r="X8" i="2" s="1"/>
  <c r="W7" i="11" s="1"/>
  <c r="X3" i="2" a="1"/>
  <c r="X3" i="2" s="1"/>
  <c r="W2" i="11" s="1"/>
  <c r="X21" i="2" a="1"/>
  <c r="X21" i="2" s="1"/>
  <c r="W20" i="11" s="1"/>
  <c r="F29" i="9"/>
  <c r="Y24" i="2"/>
  <c r="X23" i="11" s="1"/>
  <c r="Y15" i="2"/>
  <c r="X14" i="11" s="1"/>
  <c r="Y16" i="2"/>
  <c r="X15" i="11" s="1"/>
  <c r="Y31" i="2"/>
  <c r="X30" i="11" s="1"/>
  <c r="Y17" i="2"/>
  <c r="X16" i="11" s="1"/>
  <c r="Y47" i="2"/>
  <c r="X46" i="11" s="1"/>
  <c r="Y25" i="2"/>
  <c r="X24" i="11" s="1"/>
  <c r="Y3" i="2"/>
  <c r="X2" i="11" s="1"/>
  <c r="E2" i="11"/>
  <c r="Y18" i="2"/>
  <c r="X17" i="11" s="1"/>
  <c r="Y11" i="2"/>
  <c r="X10" i="11" s="1"/>
  <c r="Y27" i="2"/>
  <c r="X26" i="11" s="1"/>
  <c r="Y12" i="2"/>
  <c r="X11" i="11" s="1"/>
  <c r="Y14" i="2"/>
  <c r="X13" i="11" s="1"/>
  <c r="Y4" i="2"/>
  <c r="X3" i="11" s="1"/>
  <c r="E3" i="11"/>
  <c r="Y6" i="2"/>
  <c r="X5" i="11" s="1"/>
  <c r="E5" i="11"/>
  <c r="Y19" i="2"/>
  <c r="X18" i="11" s="1"/>
  <c r="Y13" i="2"/>
  <c r="X12" i="11" s="1"/>
  <c r="Y26" i="2"/>
  <c r="X25" i="11" s="1"/>
  <c r="Y9" i="2"/>
  <c r="X8" i="11" s="1"/>
  <c r="Y21" i="2"/>
  <c r="X20" i="11" s="1"/>
  <c r="Y10" i="2"/>
  <c r="X9" i="11" s="1"/>
  <c r="Y22" i="2"/>
  <c r="X21" i="11" s="1"/>
  <c r="Y23" i="2"/>
  <c r="X22" i="11" s="1"/>
  <c r="Y20" i="2"/>
  <c r="X19" i="11" s="1"/>
  <c r="Y5" i="2"/>
  <c r="X4" i="11" s="1"/>
  <c r="E4" i="11"/>
  <c r="Y8" i="2"/>
  <c r="X7" i="11" s="1"/>
  <c r="N6" i="4"/>
  <c r="O7" i="4" s="1"/>
  <c r="N47" i="2"/>
  <c r="M46" i="11" s="1"/>
  <c r="N34" i="2"/>
  <c r="M33" i="11" s="1"/>
  <c r="N33" i="2"/>
  <c r="M32" i="11" s="1"/>
  <c r="N32" i="2"/>
  <c r="M31" i="11" s="1"/>
  <c r="N31" i="2"/>
  <c r="M30" i="11" s="1"/>
  <c r="N27" i="2"/>
  <c r="M26" i="11" s="1"/>
  <c r="N26" i="2"/>
  <c r="M25" i="11" s="1"/>
  <c r="N25" i="2"/>
  <c r="M24" i="11" s="1"/>
  <c r="N24" i="2"/>
  <c r="M23" i="11" s="1"/>
  <c r="N23" i="2"/>
  <c r="M22" i="11" s="1"/>
  <c r="N22" i="2"/>
  <c r="M21" i="11" s="1"/>
  <c r="N21" i="2"/>
  <c r="M20" i="11" s="1"/>
  <c r="N20" i="2"/>
  <c r="M19" i="11" s="1"/>
  <c r="N19" i="2"/>
  <c r="M18" i="11" s="1"/>
  <c r="N18" i="2"/>
  <c r="M17" i="11" s="1"/>
  <c r="N17" i="2"/>
  <c r="M16" i="11" s="1"/>
  <c r="N16" i="2"/>
  <c r="M15" i="11" s="1"/>
  <c r="N15" i="2"/>
  <c r="M14" i="11" s="1"/>
  <c r="N14" i="2"/>
  <c r="M13" i="11" s="1"/>
  <c r="N13" i="2"/>
  <c r="M12" i="11" s="1"/>
  <c r="N12" i="2"/>
  <c r="M11" i="11" s="1"/>
  <c r="N11" i="2"/>
  <c r="M10" i="11" s="1"/>
  <c r="N10" i="2"/>
  <c r="M9" i="11" s="1"/>
  <c r="N9" i="2"/>
  <c r="M8" i="11" s="1"/>
  <c r="N8" i="2"/>
  <c r="M7" i="11" s="1"/>
  <c r="N6" i="2"/>
  <c r="M5" i="11" s="1"/>
  <c r="N5" i="2"/>
  <c r="M4" i="11" s="1"/>
  <c r="N4" i="2"/>
  <c r="M3" i="11" s="1"/>
  <c r="N3" i="2"/>
  <c r="M2" i="11" s="1"/>
  <c r="F27" i="9" l="1"/>
  <c r="F28" i="9"/>
  <c r="X49" i="2"/>
  <c r="N7" i="4"/>
  <c r="N8" i="4" s="1"/>
  <c r="G9" i="2"/>
  <c r="F8" i="11" s="1"/>
  <c r="G4" i="2"/>
  <c r="F3" i="11" s="1"/>
  <c r="M33" i="2"/>
  <c r="L32" i="11" s="1"/>
  <c r="M32" i="2"/>
  <c r="L31" i="11" s="1"/>
  <c r="G47" i="2"/>
  <c r="F46" i="11" s="1"/>
  <c r="G31" i="2"/>
  <c r="F30" i="11" s="1"/>
  <c r="G27" i="2"/>
  <c r="F26" i="11" s="1"/>
  <c r="G26" i="2"/>
  <c r="F25" i="11" s="1"/>
  <c r="G25" i="2"/>
  <c r="F24" i="11" s="1"/>
  <c r="G24" i="2"/>
  <c r="F23" i="11" s="1"/>
  <c r="G23" i="2"/>
  <c r="F22" i="11" s="1"/>
  <c r="G22" i="2"/>
  <c r="F21" i="11" s="1"/>
  <c r="G21" i="2"/>
  <c r="F20" i="11" s="1"/>
  <c r="G20" i="2"/>
  <c r="F19" i="11" s="1"/>
  <c r="G19" i="2"/>
  <c r="F18" i="11" s="1"/>
  <c r="G18" i="2"/>
  <c r="F17" i="11" s="1"/>
  <c r="G17" i="2"/>
  <c r="F16" i="11" s="1"/>
  <c r="G16" i="2"/>
  <c r="F15" i="11" s="1"/>
  <c r="G15" i="2"/>
  <c r="F14" i="11" s="1"/>
  <c r="G14" i="2"/>
  <c r="F13" i="11" s="1"/>
  <c r="G13" i="2"/>
  <c r="F12" i="11" s="1"/>
  <c r="G12" i="2"/>
  <c r="F11" i="11" s="1"/>
  <c r="G11" i="2"/>
  <c r="F10" i="11" s="1"/>
  <c r="G10" i="2"/>
  <c r="F9" i="11" s="1"/>
  <c r="G8" i="2"/>
  <c r="F7" i="11" s="1"/>
  <c r="G6" i="2"/>
  <c r="F5" i="11" s="1"/>
  <c r="G5" i="2"/>
  <c r="F4" i="11" s="1"/>
  <c r="G3" i="2"/>
  <c r="F2" i="11" s="1"/>
  <c r="M24" i="2" l="1"/>
  <c r="L23" i="11" s="1"/>
  <c r="M14" i="2"/>
  <c r="L13" i="11" s="1"/>
  <c r="M17" i="2"/>
  <c r="L16" i="11" s="1"/>
  <c r="M18" i="2"/>
  <c r="L17" i="11" s="1"/>
  <c r="M27" i="2"/>
  <c r="L26" i="11" s="1"/>
  <c r="M15" i="2"/>
  <c r="L14" i="11" s="1"/>
  <c r="M16" i="2"/>
  <c r="L15" i="11" s="1"/>
  <c r="M31" i="2"/>
  <c r="L30" i="11" s="1"/>
  <c r="M6" i="2"/>
  <c r="L5" i="11" s="1"/>
  <c r="M12" i="2"/>
  <c r="L11" i="11" s="1"/>
  <c r="M26" i="2"/>
  <c r="L25" i="11" s="1"/>
  <c r="M5" i="2"/>
  <c r="L4" i="11" s="1"/>
  <c r="M4" i="2"/>
  <c r="L3" i="11" s="1"/>
  <c r="M21" i="2"/>
  <c r="L20" i="11" s="1"/>
  <c r="O8" i="4"/>
  <c r="V20" i="7"/>
  <c r="M23" i="2"/>
  <c r="L22" i="11" s="1"/>
  <c r="M11" i="2"/>
  <c r="L10" i="11" s="1"/>
  <c r="M9" i="2"/>
  <c r="L8" i="11" s="1"/>
  <c r="M47" i="2"/>
  <c r="L46" i="11" s="1"/>
  <c r="M20" i="2"/>
  <c r="L19" i="11" s="1"/>
  <c r="M34" i="2"/>
  <c r="L33" i="11" s="1"/>
  <c r="M3" i="2"/>
  <c r="L2" i="11" s="1"/>
  <c r="M19" i="2"/>
  <c r="L18" i="11" s="1"/>
  <c r="M22" i="2"/>
  <c r="L21" i="11" s="1"/>
  <c r="M25" i="2"/>
  <c r="L24" i="11" s="1"/>
  <c r="M8" i="2"/>
  <c r="L7" i="11" s="1"/>
  <c r="M10" i="2"/>
  <c r="L9" i="11" s="1"/>
  <c r="M13" i="2"/>
  <c r="L12" i="11" s="1"/>
  <c r="C56" i="2" a="1"/>
  <c r="C56" i="2" s="1"/>
  <c r="D56" i="2" s="1" a="1"/>
  <c r="D56" i="2" s="1"/>
  <c r="N9" i="4" l="1"/>
  <c r="O9" i="4"/>
  <c r="F148" i="2" a="1"/>
  <c r="F148" i="2" s="1"/>
  <c r="N10" i="4" l="1"/>
  <c r="O10" i="4"/>
  <c r="O11" i="4" s="1"/>
  <c r="N11" i="4" l="1"/>
  <c r="N12" i="4" l="1"/>
  <c r="O12" i="4"/>
  <c r="O13" i="4" s="1"/>
  <c r="P46" i="2"/>
  <c r="O45" i="11" s="1"/>
  <c r="P45" i="2"/>
  <c r="O44" i="11" s="1"/>
  <c r="P36" i="2"/>
  <c r="O35" i="11" s="1"/>
  <c r="P40" i="2"/>
  <c r="O39" i="11" s="1"/>
  <c r="P41" i="2"/>
  <c r="O40" i="11" s="1"/>
  <c r="P42" i="2"/>
  <c r="O41" i="11" s="1"/>
  <c r="P43" i="2"/>
  <c r="O42" i="11" s="1"/>
  <c r="P44" i="2"/>
  <c r="O43" i="11" s="1"/>
  <c r="T35" i="2"/>
  <c r="S34" i="11" s="1"/>
  <c r="T46" i="2"/>
  <c r="S45" i="11" s="1"/>
  <c r="T45" i="2"/>
  <c r="S44" i="11" s="1"/>
  <c r="T36" i="2"/>
  <c r="S35" i="11" s="1"/>
  <c r="T40" i="2"/>
  <c r="S39" i="11" s="1"/>
  <c r="T41" i="2"/>
  <c r="S40" i="11" s="1"/>
  <c r="T42" i="2"/>
  <c r="S41" i="11" s="1"/>
  <c r="T43" i="2"/>
  <c r="S42" i="11" s="1"/>
  <c r="T44" i="2"/>
  <c r="S43" i="11" s="1"/>
  <c r="R35" i="2"/>
  <c r="Q34" i="11" s="1"/>
  <c r="R45" i="2"/>
  <c r="Q44" i="11" s="1"/>
  <c r="R36" i="2"/>
  <c r="Q35" i="11" s="1"/>
  <c r="R40" i="2"/>
  <c r="Q39" i="11" s="1"/>
  <c r="R41" i="2"/>
  <c r="Q40" i="11" s="1"/>
  <c r="R42" i="2"/>
  <c r="Q41" i="11" s="1"/>
  <c r="R43" i="2"/>
  <c r="Q42" i="11" s="1"/>
  <c r="R44" i="2"/>
  <c r="Q43" i="11" s="1"/>
  <c r="R46" i="2"/>
  <c r="Q45" i="11" s="1"/>
  <c r="S35" i="2"/>
  <c r="R34" i="11" s="1"/>
  <c r="S46" i="2"/>
  <c r="R45" i="11" s="1"/>
  <c r="S45" i="2"/>
  <c r="R44" i="11" s="1"/>
  <c r="S36" i="2"/>
  <c r="R35" i="11" s="1"/>
  <c r="S40" i="2"/>
  <c r="R39" i="11" s="1"/>
  <c r="S41" i="2"/>
  <c r="R40" i="11" s="1"/>
  <c r="S42" i="2"/>
  <c r="R41" i="11" s="1"/>
  <c r="S43" i="2"/>
  <c r="R42" i="11" s="1"/>
  <c r="S44" i="2"/>
  <c r="R43" i="11" s="1"/>
  <c r="P35" i="2"/>
  <c r="O34" i="11" s="1"/>
  <c r="T25" i="2"/>
  <c r="S24" i="11" s="1"/>
  <c r="T13" i="2"/>
  <c r="S12" i="11" s="1"/>
  <c r="T22" i="2"/>
  <c r="S21" i="11" s="1"/>
  <c r="T10" i="2"/>
  <c r="S9" i="11" s="1"/>
  <c r="T34" i="2"/>
  <c r="S33" i="11" s="1"/>
  <c r="T19" i="2"/>
  <c r="S18" i="11" s="1"/>
  <c r="T6" i="2"/>
  <c r="S5" i="11" s="1"/>
  <c r="T26" i="2"/>
  <c r="S25" i="11" s="1"/>
  <c r="T14" i="2"/>
  <c r="S13" i="11" s="1"/>
  <c r="T23" i="2"/>
  <c r="S22" i="11" s="1"/>
  <c r="T11" i="2"/>
  <c r="S10" i="11" s="1"/>
  <c r="T21" i="2"/>
  <c r="S20" i="11" s="1"/>
  <c r="T9" i="2"/>
  <c r="S8" i="11" s="1"/>
  <c r="T32" i="2"/>
  <c r="S31" i="11" s="1"/>
  <c r="T17" i="2"/>
  <c r="S16" i="11" s="1"/>
  <c r="T4" i="2"/>
  <c r="S3" i="11" s="1"/>
  <c r="T27" i="2"/>
  <c r="S26" i="11" s="1"/>
  <c r="T15" i="2"/>
  <c r="S14" i="11" s="1"/>
  <c r="T47" i="2"/>
  <c r="S46" i="11" s="1"/>
  <c r="T20" i="2"/>
  <c r="S19" i="11" s="1"/>
  <c r="T8" i="2"/>
  <c r="S7" i="11" s="1"/>
  <c r="T33" i="2"/>
  <c r="S32" i="11" s="1"/>
  <c r="T18" i="2"/>
  <c r="S17" i="11" s="1"/>
  <c r="T5" i="2"/>
  <c r="S4" i="11" s="1"/>
  <c r="T31" i="2"/>
  <c r="S30" i="11" s="1"/>
  <c r="T16" i="2"/>
  <c r="S15" i="11" s="1"/>
  <c r="T3" i="2"/>
  <c r="S2" i="11" s="1"/>
  <c r="T24" i="2"/>
  <c r="S23" i="11" s="1"/>
  <c r="T12" i="2"/>
  <c r="S11" i="11" s="1"/>
  <c r="P27" i="2"/>
  <c r="O26" i="11" s="1"/>
  <c r="P15" i="2"/>
  <c r="O14" i="11" s="1"/>
  <c r="P14" i="2"/>
  <c r="O13" i="11" s="1"/>
  <c r="P25" i="2"/>
  <c r="O24" i="11" s="1"/>
  <c r="P24" i="2"/>
  <c r="O23" i="11" s="1"/>
  <c r="P12" i="2"/>
  <c r="O11" i="11" s="1"/>
  <c r="P21" i="2"/>
  <c r="O20" i="11" s="1"/>
  <c r="P9" i="2"/>
  <c r="O8" i="11" s="1"/>
  <c r="P8" i="2"/>
  <c r="O7" i="11" s="1"/>
  <c r="P16" i="2"/>
  <c r="O15" i="11" s="1"/>
  <c r="P3" i="2"/>
  <c r="O2" i="11" s="1"/>
  <c r="P23" i="2"/>
  <c r="O22" i="11" s="1"/>
  <c r="P11" i="2"/>
  <c r="O10" i="11" s="1"/>
  <c r="P19" i="2"/>
  <c r="O18" i="11" s="1"/>
  <c r="P6" i="2"/>
  <c r="O5" i="11" s="1"/>
  <c r="P32" i="2"/>
  <c r="O31" i="11" s="1"/>
  <c r="P17" i="2"/>
  <c r="O16" i="11" s="1"/>
  <c r="P22" i="2"/>
  <c r="O21" i="11" s="1"/>
  <c r="P10" i="2"/>
  <c r="O9" i="11" s="1"/>
  <c r="P47" i="2"/>
  <c r="O46" i="11" s="1"/>
  <c r="P20" i="2"/>
  <c r="O19" i="11" s="1"/>
  <c r="P34" i="2"/>
  <c r="O33" i="11" s="1"/>
  <c r="P33" i="2"/>
  <c r="O32" i="11" s="1"/>
  <c r="P18" i="2"/>
  <c r="O17" i="11" s="1"/>
  <c r="P5" i="2"/>
  <c r="O4" i="11" s="1"/>
  <c r="P4" i="2"/>
  <c r="O3" i="11" s="1"/>
  <c r="P31" i="2"/>
  <c r="O30" i="11" s="1"/>
  <c r="P26" i="2"/>
  <c r="O25" i="11" s="1"/>
  <c r="P13" i="2"/>
  <c r="O12" i="11" s="1"/>
  <c r="S33" i="2"/>
  <c r="R32" i="11" s="1"/>
  <c r="S18" i="2"/>
  <c r="R17" i="11" s="1"/>
  <c r="S5" i="2"/>
  <c r="R4" i="11" s="1"/>
  <c r="S4" i="2"/>
  <c r="R3" i="11" s="1"/>
  <c r="S27" i="2"/>
  <c r="R26" i="11" s="1"/>
  <c r="S15" i="2"/>
  <c r="R14" i="11" s="1"/>
  <c r="S24" i="2"/>
  <c r="R23" i="11" s="1"/>
  <c r="S12" i="2"/>
  <c r="R11" i="11" s="1"/>
  <c r="S34" i="2"/>
  <c r="R33" i="11" s="1"/>
  <c r="S19" i="2"/>
  <c r="R18" i="11" s="1"/>
  <c r="S6" i="2"/>
  <c r="R5" i="11" s="1"/>
  <c r="S31" i="2"/>
  <c r="R30" i="11" s="1"/>
  <c r="S3" i="2"/>
  <c r="R2" i="11" s="1"/>
  <c r="S26" i="2"/>
  <c r="R25" i="11" s="1"/>
  <c r="S14" i="2"/>
  <c r="R13" i="11" s="1"/>
  <c r="S22" i="2"/>
  <c r="R21" i="11" s="1"/>
  <c r="S10" i="2"/>
  <c r="R9" i="11" s="1"/>
  <c r="S47" i="2"/>
  <c r="R46" i="11" s="1"/>
  <c r="S20" i="2"/>
  <c r="R19" i="11" s="1"/>
  <c r="S8" i="2"/>
  <c r="R7" i="11" s="1"/>
  <c r="S25" i="2"/>
  <c r="R24" i="11" s="1"/>
  <c r="S13" i="2"/>
  <c r="R12" i="11" s="1"/>
  <c r="S23" i="2"/>
  <c r="R22" i="11" s="1"/>
  <c r="S11" i="2"/>
  <c r="R10" i="11" s="1"/>
  <c r="S21" i="2"/>
  <c r="R20" i="11" s="1"/>
  <c r="S9" i="2"/>
  <c r="R8" i="11" s="1"/>
  <c r="S32" i="2"/>
  <c r="R31" i="11" s="1"/>
  <c r="S17" i="2"/>
  <c r="R16" i="11" s="1"/>
  <c r="S16" i="2"/>
  <c r="R15" i="11" s="1"/>
  <c r="R23" i="2"/>
  <c r="Q22" i="11" s="1"/>
  <c r="R11" i="2"/>
  <c r="Q10" i="11" s="1"/>
  <c r="R47" i="2"/>
  <c r="Q46" i="11" s="1"/>
  <c r="R20" i="2"/>
  <c r="Q19" i="11" s="1"/>
  <c r="R8" i="2"/>
  <c r="Q7" i="11" s="1"/>
  <c r="R32" i="2"/>
  <c r="Q31" i="11" s="1"/>
  <c r="R17" i="2"/>
  <c r="Q16" i="11" s="1"/>
  <c r="R4" i="2"/>
  <c r="Q3" i="11" s="1"/>
  <c r="R24" i="2"/>
  <c r="Q23" i="11" s="1"/>
  <c r="R12" i="2"/>
  <c r="Q11" i="11" s="1"/>
  <c r="R21" i="2"/>
  <c r="Q20" i="11" s="1"/>
  <c r="R34" i="2"/>
  <c r="Q33" i="11" s="1"/>
  <c r="R19" i="2"/>
  <c r="Q18" i="11" s="1"/>
  <c r="R6" i="2"/>
  <c r="Q5" i="11" s="1"/>
  <c r="R27" i="2"/>
  <c r="Q26" i="11" s="1"/>
  <c r="R15" i="2"/>
  <c r="Q14" i="11" s="1"/>
  <c r="R25" i="2"/>
  <c r="Q24" i="11" s="1"/>
  <c r="R13" i="2"/>
  <c r="Q12" i="11" s="1"/>
  <c r="R33" i="2"/>
  <c r="Q32" i="11" s="1"/>
  <c r="R18" i="2"/>
  <c r="Q17" i="11" s="1"/>
  <c r="R5" i="2"/>
  <c r="Q4" i="11" s="1"/>
  <c r="R31" i="2"/>
  <c r="Q30" i="11" s="1"/>
  <c r="R16" i="2"/>
  <c r="Q15" i="11" s="1"/>
  <c r="R26" i="2"/>
  <c r="Q25" i="11" s="1"/>
  <c r="R14" i="2"/>
  <c r="Q13" i="11" s="1"/>
  <c r="R22" i="2"/>
  <c r="Q21" i="11" s="1"/>
  <c r="R10" i="2"/>
  <c r="Q9" i="11" s="1"/>
  <c r="R3" i="2"/>
  <c r="Q2" i="11" s="1"/>
  <c r="R9" i="2"/>
  <c r="Q8" i="11" s="1"/>
  <c r="Q22" i="2"/>
  <c r="P21" i="11" s="1"/>
  <c r="Q10" i="2"/>
  <c r="P9" i="11" s="1"/>
  <c r="Q21" i="2"/>
  <c r="P20" i="11" s="1"/>
  <c r="Q9" i="2"/>
  <c r="P8" i="11" s="1"/>
  <c r="Q19" i="2"/>
  <c r="P18" i="11" s="1"/>
  <c r="Q6" i="2"/>
  <c r="P5" i="11" s="1"/>
  <c r="Q16" i="2"/>
  <c r="P15" i="11" s="1"/>
  <c r="Q3" i="2"/>
  <c r="P2" i="11" s="1"/>
  <c r="Q27" i="2"/>
  <c r="P26" i="11" s="1"/>
  <c r="Q26" i="2"/>
  <c r="P25" i="11" s="1"/>
  <c r="Q11" i="2"/>
  <c r="P10" i="11" s="1"/>
  <c r="Q8" i="2"/>
  <c r="P7" i="11" s="1"/>
  <c r="Q18" i="2"/>
  <c r="P17" i="11" s="1"/>
  <c r="Q5" i="2"/>
  <c r="P4" i="11" s="1"/>
  <c r="Q14" i="2"/>
  <c r="P13" i="11" s="1"/>
  <c r="Q12" i="2"/>
  <c r="P11" i="11" s="1"/>
  <c r="Q23" i="2"/>
  <c r="P22" i="11" s="1"/>
  <c r="Q17" i="2"/>
  <c r="P16" i="11" s="1"/>
  <c r="Q4" i="2"/>
  <c r="P3" i="11" s="1"/>
  <c r="Q15" i="2"/>
  <c r="P14" i="11" s="1"/>
  <c r="Q25" i="2"/>
  <c r="P24" i="11" s="1"/>
  <c r="Q13" i="2"/>
  <c r="P12" i="11" s="1"/>
  <c r="Q24" i="2"/>
  <c r="P23" i="11" s="1"/>
  <c r="Q20" i="2"/>
  <c r="P19" i="11" s="1"/>
  <c r="N13" i="4" l="1"/>
  <c r="N14" i="4" s="1"/>
  <c r="U41" i="2" a="1"/>
  <c r="U41" i="2" s="1"/>
  <c r="T40" i="11" s="1"/>
  <c r="U44" i="2" a="1"/>
  <c r="U44" i="2" s="1"/>
  <c r="T43" i="11" s="1"/>
  <c r="U43" i="2" a="1"/>
  <c r="U43" i="2" s="1"/>
  <c r="T42" i="11" s="1"/>
  <c r="U42" i="2" a="1"/>
  <c r="U42" i="2" s="1"/>
  <c r="T41" i="11" s="1"/>
  <c r="U40" i="2" a="1"/>
  <c r="U40" i="2" s="1"/>
  <c r="T39" i="11" s="1"/>
  <c r="U36" i="2" a="1"/>
  <c r="U36" i="2" s="1"/>
  <c r="T35" i="11" s="1"/>
  <c r="U45" i="2" a="1"/>
  <c r="U45" i="2" s="1"/>
  <c r="T44" i="11" s="1"/>
  <c r="U46" i="2" a="1"/>
  <c r="U46" i="2" s="1"/>
  <c r="T45" i="11" s="1"/>
  <c r="V35" i="2" a="1"/>
  <c r="V35" i="2" s="1"/>
  <c r="U34" i="11" s="1"/>
  <c r="V36" i="2" a="1"/>
  <c r="V36" i="2" s="1"/>
  <c r="U35" i="11" s="1"/>
  <c r="V41" i="2" a="1"/>
  <c r="V41" i="2" s="1"/>
  <c r="U40" i="11" s="1"/>
  <c r="V43" i="2" a="1"/>
  <c r="V43" i="2" s="1"/>
  <c r="U42" i="11" s="1"/>
  <c r="V46" i="2" a="1"/>
  <c r="V46" i="2" s="1"/>
  <c r="U45" i="11" s="1"/>
  <c r="V44" i="2" a="1"/>
  <c r="V44" i="2" s="1"/>
  <c r="U43" i="11" s="1"/>
  <c r="V45" i="2" a="1"/>
  <c r="V45" i="2" s="1"/>
  <c r="U44" i="11" s="1"/>
  <c r="V40" i="2" a="1"/>
  <c r="V40" i="2" s="1"/>
  <c r="U39" i="11" s="1"/>
  <c r="V42" i="2" a="1"/>
  <c r="V42" i="2" s="1"/>
  <c r="U41" i="11" s="1"/>
  <c r="U35" i="2" a="1"/>
  <c r="U35" i="2" s="1"/>
  <c r="T34" i="11" s="1"/>
  <c r="U24" i="2" a="1"/>
  <c r="U24" i="2" s="1"/>
  <c r="T23" i="11" s="1"/>
  <c r="U5" i="2" a="1"/>
  <c r="U5" i="2" s="1"/>
  <c r="U32" i="2" a="1"/>
  <c r="U32" i="2" s="1"/>
  <c r="T31" i="11" s="1"/>
  <c r="U15" i="2" a="1"/>
  <c r="U15" i="2" s="1"/>
  <c r="T14" i="11" s="1"/>
  <c r="U11" i="2" a="1"/>
  <c r="U11" i="2" s="1"/>
  <c r="T10" i="11" s="1"/>
  <c r="U4" i="2" a="1"/>
  <c r="U4" i="2" s="1"/>
  <c r="U33" i="2" a="1"/>
  <c r="U33" i="2" s="1"/>
  <c r="T32" i="11" s="1"/>
  <c r="V15" i="2" a="1"/>
  <c r="V15" i="2" s="1"/>
  <c r="U14" i="11" s="1"/>
  <c r="U18" i="2" a="1"/>
  <c r="U18" i="2" s="1"/>
  <c r="T17" i="11" s="1"/>
  <c r="U6" i="2" a="1"/>
  <c r="U6" i="2" s="1"/>
  <c r="U25" i="2" a="1"/>
  <c r="U25" i="2" s="1"/>
  <c r="T24" i="11" s="1"/>
  <c r="U23" i="2" a="1"/>
  <c r="U23" i="2" s="1"/>
  <c r="T22" i="11" s="1"/>
  <c r="U12" i="2" a="1"/>
  <c r="U12" i="2" s="1"/>
  <c r="T11" i="11" s="1"/>
  <c r="U16" i="2" a="1"/>
  <c r="U16" i="2" s="1"/>
  <c r="T15" i="11" s="1"/>
  <c r="U27" i="2" a="1"/>
  <c r="U27" i="2" s="1"/>
  <c r="T26" i="11" s="1"/>
  <c r="U19" i="2" a="1"/>
  <c r="U19" i="2" s="1"/>
  <c r="T18" i="11" s="1"/>
  <c r="U22" i="2" a="1"/>
  <c r="U22" i="2" s="1"/>
  <c r="T21" i="11" s="1"/>
  <c r="U34" i="2" a="1"/>
  <c r="U34" i="2" s="1"/>
  <c r="T33" i="11" s="1"/>
  <c r="U47" i="2" a="1"/>
  <c r="U47" i="2" s="1"/>
  <c r="T46" i="11" s="1"/>
  <c r="U13" i="2" a="1"/>
  <c r="U13" i="2" s="1"/>
  <c r="T12" i="11" s="1"/>
  <c r="U9" i="2" a="1"/>
  <c r="U9" i="2" s="1"/>
  <c r="T8" i="11" s="1"/>
  <c r="U14" i="2" a="1"/>
  <c r="U14" i="2" s="1"/>
  <c r="T13" i="11" s="1"/>
  <c r="U21" i="2" a="1"/>
  <c r="U21" i="2" s="1"/>
  <c r="T20" i="11" s="1"/>
  <c r="U17" i="2" a="1"/>
  <c r="U17" i="2" s="1"/>
  <c r="T16" i="11" s="1"/>
  <c r="U26" i="2" a="1"/>
  <c r="U26" i="2" s="1"/>
  <c r="T25" i="11" s="1"/>
  <c r="V5" i="2" a="1"/>
  <c r="V5" i="2" s="1"/>
  <c r="U4" i="11" s="1"/>
  <c r="U10" i="2" a="1"/>
  <c r="U10" i="2" s="1"/>
  <c r="T9" i="11" s="1"/>
  <c r="U8" i="2" a="1"/>
  <c r="U8" i="2" s="1"/>
  <c r="T7" i="11" s="1"/>
  <c r="V3" i="2" a="1"/>
  <c r="V3" i="2" s="1"/>
  <c r="U2" i="11" s="1"/>
  <c r="V20" i="2" a="1"/>
  <c r="V20" i="2" s="1"/>
  <c r="U19" i="11" s="1"/>
  <c r="V17" i="2" a="1"/>
  <c r="V17" i="2" s="1"/>
  <c r="U16" i="11" s="1"/>
  <c r="V16" i="2" a="1"/>
  <c r="V16" i="2" s="1"/>
  <c r="U15" i="11" s="1"/>
  <c r="V33" i="2" a="1"/>
  <c r="V33" i="2" s="1"/>
  <c r="U32" i="11" s="1"/>
  <c r="V18" i="2" a="1"/>
  <c r="V18" i="2" s="1"/>
  <c r="U17" i="11" s="1"/>
  <c r="V4" i="2" a="1"/>
  <c r="V4" i="2" s="1"/>
  <c r="U3" i="11" s="1"/>
  <c r="V25" i="2" a="1"/>
  <c r="V25" i="2" s="1"/>
  <c r="U24" i="11" s="1"/>
  <c r="V27" i="2" a="1"/>
  <c r="V27" i="2" s="1"/>
  <c r="U26" i="11" s="1"/>
  <c r="V31" i="2" a="1"/>
  <c r="V31" i="2" s="1"/>
  <c r="U30" i="11" s="1"/>
  <c r="V21" i="2" a="1"/>
  <c r="V21" i="2" s="1"/>
  <c r="U20" i="11" s="1"/>
  <c r="V12" i="2" a="1"/>
  <c r="V12" i="2" s="1"/>
  <c r="U11" i="11" s="1"/>
  <c r="V11" i="2" a="1"/>
  <c r="V11" i="2" s="1"/>
  <c r="U10" i="11" s="1"/>
  <c r="V9" i="2" a="1"/>
  <c r="V9" i="2" s="1"/>
  <c r="U8" i="11" s="1"/>
  <c r="V26" i="2" a="1"/>
  <c r="V26" i="2" s="1"/>
  <c r="U25" i="11" s="1"/>
  <c r="V24" i="2" a="1"/>
  <c r="V24" i="2" s="1"/>
  <c r="U23" i="11" s="1"/>
  <c r="V23" i="2" a="1"/>
  <c r="V23" i="2" s="1"/>
  <c r="U22" i="11" s="1"/>
  <c r="V19" i="2" a="1"/>
  <c r="V19" i="2" s="1"/>
  <c r="U18" i="11" s="1"/>
  <c r="V22" i="2" a="1"/>
  <c r="V22" i="2" s="1"/>
  <c r="U21" i="11" s="1"/>
  <c r="V47" i="2" a="1"/>
  <c r="V47" i="2" s="1"/>
  <c r="U46" i="11" s="1"/>
  <c r="V8" i="2" a="1"/>
  <c r="V8" i="2" s="1"/>
  <c r="U7" i="11" s="1"/>
  <c r="V10" i="2" a="1"/>
  <c r="V10" i="2" s="1"/>
  <c r="U9" i="11" s="1"/>
  <c r="V32" i="2" a="1"/>
  <c r="V32" i="2" s="1"/>
  <c r="U31" i="11" s="1"/>
  <c r="V13" i="2" a="1"/>
  <c r="V13" i="2" s="1"/>
  <c r="U12" i="11" s="1"/>
  <c r="V14" i="2" a="1"/>
  <c r="V14" i="2" s="1"/>
  <c r="U13" i="11" s="1"/>
  <c r="V6" i="2" a="1"/>
  <c r="V6" i="2" s="1"/>
  <c r="U5" i="11" s="1"/>
  <c r="V34" i="2" a="1"/>
  <c r="V34" i="2" s="1"/>
  <c r="U33" i="11" s="1"/>
  <c r="U20" i="2" a="1"/>
  <c r="U20" i="2" s="1"/>
  <c r="T19" i="11" s="1"/>
  <c r="U31" i="2" a="1"/>
  <c r="U31" i="2" s="1"/>
  <c r="T30" i="11" s="1"/>
  <c r="U3" i="2" a="1"/>
  <c r="U3" i="2" s="1"/>
  <c r="T2" i="11" s="1"/>
  <c r="F42" i="9" l="1"/>
  <c r="F36" i="9"/>
  <c r="F43" i="9"/>
  <c r="F32" i="9"/>
  <c r="F4" i="9"/>
  <c r="T3" i="11"/>
  <c r="F21" i="9"/>
  <c r="F18" i="9"/>
  <c r="F14" i="9"/>
  <c r="F10" i="9"/>
  <c r="F41" i="9"/>
  <c r="F30" i="9"/>
  <c r="F25" i="9"/>
  <c r="F15" i="9"/>
  <c r="F5" i="9"/>
  <c r="T4" i="11"/>
  <c r="F7" i="9"/>
  <c r="F31" i="9"/>
  <c r="F37" i="9"/>
  <c r="F12" i="9"/>
  <c r="F9" i="9"/>
  <c r="F26" i="9"/>
  <c r="F11" i="9"/>
  <c r="F23" i="9"/>
  <c r="F13" i="9"/>
  <c r="F34" i="9"/>
  <c r="F35" i="9"/>
  <c r="F38" i="9"/>
  <c r="F20" i="9"/>
  <c r="F24" i="9"/>
  <c r="F40" i="9"/>
  <c r="F33" i="9"/>
  <c r="F39" i="9"/>
  <c r="F16" i="9"/>
  <c r="F22" i="9"/>
  <c r="F17" i="9"/>
  <c r="F6" i="9"/>
  <c r="T5" i="11"/>
  <c r="F8" i="9"/>
  <c r="F19" i="9"/>
  <c r="O14" i="4"/>
  <c r="O15" i="4" s="1"/>
  <c r="B3" i="7" a="1"/>
  <c r="W18" i="7" s="1" a="1"/>
  <c r="W18" i="7" s="1"/>
  <c r="L13" i="7" a="1"/>
  <c r="L13" i="7" s="1"/>
  <c r="L23" i="7" a="1"/>
  <c r="L23" i="7" s="1"/>
  <c r="N15" i="4" l="1"/>
  <c r="N16" i="4" s="1"/>
  <c r="B3" i="7"/>
  <c r="W17" i="7" a="1"/>
  <c r="W17" i="7" s="1"/>
  <c r="W19" i="7" a="1"/>
  <c r="W19" i="7" s="1"/>
  <c r="W16" i="7" a="1"/>
  <c r="W16" i="7" s="1"/>
  <c r="W20" i="7" l="1"/>
  <c r="O16" i="4"/>
  <c r="O17" i="4" s="1"/>
  <c r="N17" i="4" l="1"/>
  <c r="N18" i="4" s="1"/>
  <c r="O18" i="4" l="1"/>
  <c r="O19" i="4" s="1"/>
  <c r="N19" i="4" l="1"/>
  <c r="N20" i="4" s="1"/>
  <c r="O20" i="4" l="1"/>
  <c r="O21" i="4" s="1"/>
  <c r="N21" i="4"/>
  <c r="N22" i="4" s="1"/>
  <c r="O22" i="4" l="1"/>
  <c r="N23" i="4" l="1"/>
  <c r="O23" i="4"/>
  <c r="O24" i="4" s="1"/>
  <c r="N24" i="4" l="1"/>
  <c r="N25" i="4" s="1"/>
  <c r="O25" i="4" l="1"/>
  <c r="O26" i="4" s="1"/>
  <c r="N26" i="4" l="1"/>
  <c r="N27" i="4" s="1"/>
  <c r="O27" i="4" l="1"/>
  <c r="O28" i="4" s="1"/>
  <c r="N28" i="4" l="1"/>
  <c r="N29" i="4" s="1"/>
  <c r="O29" i="4" l="1"/>
  <c r="O30" i="4" s="1"/>
  <c r="N30" i="4" l="1"/>
  <c r="N31" i="4" s="1"/>
  <c r="O31" i="4" l="1"/>
  <c r="O32" i="4" s="1"/>
  <c r="N32" i="4" l="1"/>
  <c r="N33" i="4" s="1"/>
  <c r="O33" i="4" l="1"/>
  <c r="O34" i="4" s="1"/>
  <c r="N34" i="4" l="1"/>
  <c r="N35" i="4" s="1"/>
  <c r="O35" i="4" l="1"/>
  <c r="O36" i="4" s="1"/>
  <c r="N36" i="4" l="1"/>
  <c r="N37" i="4" s="1"/>
  <c r="O37" i="4" l="1"/>
  <c r="O38" i="4" s="1"/>
  <c r="N38" i="4" l="1"/>
  <c r="N39" i="4" s="1"/>
  <c r="O39" i="4" l="1"/>
  <c r="O40" i="4" s="1"/>
  <c r="N40" i="4" l="1"/>
  <c r="N41" i="4" s="1"/>
  <c r="O41" i="4" l="1"/>
  <c r="O42" i="4" s="1"/>
  <c r="N42" i="4" l="1"/>
  <c r="N43" i="4" s="1"/>
  <c r="O43" i="4" l="1"/>
  <c r="N44" i="4" s="1"/>
  <c r="O45" i="4" l="1"/>
  <c r="N45" i="4"/>
  <c r="N46" i="4" s="1"/>
  <c r="O46" i="4" l="1"/>
  <c r="O47" i="4" s="1"/>
  <c r="N47" i="4" l="1"/>
  <c r="N48" i="4" s="1"/>
  <c r="O48" i="4" l="1"/>
  <c r="O49" i="4" s="1"/>
  <c r="N49" i="4" l="1"/>
  <c r="N50" i="4" s="1"/>
  <c r="O50" i="4" l="1"/>
  <c r="O51" i="4" s="1"/>
  <c r="N51" i="4" l="1"/>
  <c r="N52" i="4" s="1"/>
  <c r="O52" i="4" l="1"/>
  <c r="O53" i="4" s="1"/>
  <c r="N53" i="4" l="1"/>
  <c r="N54" i="4" s="1"/>
  <c r="O54" i="4" l="1"/>
  <c r="O55" i="4" s="1"/>
  <c r="N55" i="4" l="1"/>
  <c r="N56" i="4" s="1"/>
  <c r="O56" i="4" l="1"/>
  <c r="O57" i="4" s="1"/>
  <c r="N57" i="4" l="1"/>
  <c r="N58" i="4" s="1"/>
  <c r="O58" i="4" l="1"/>
  <c r="O59" i="4" s="1"/>
  <c r="N59" i="4" l="1"/>
  <c r="N60" i="4" s="1"/>
  <c r="O60" i="4" l="1"/>
  <c r="O61" i="4" s="1"/>
  <c r="O62" i="4" l="1"/>
  <c r="O63" i="4" s="1"/>
  <c r="N61" i="4"/>
  <c r="N62" i="4" s="1"/>
  <c r="N63" i="4" l="1"/>
  <c r="N64" i="4" s="1"/>
  <c r="O64" i="4" l="1"/>
  <c r="O65" i="4" s="1"/>
  <c r="N65" i="4" l="1"/>
  <c r="N66" i="4" l="1"/>
  <c r="O66" i="4"/>
  <c r="O67" i="4" s="1"/>
  <c r="N67" i="4" l="1"/>
  <c r="N68" i="4" s="1"/>
  <c r="O68" i="4" l="1"/>
  <c r="O69" i="4" l="1"/>
  <c r="N69" i="4"/>
  <c r="N70" i="4" s="1"/>
  <c r="O70" i="4" l="1"/>
  <c r="O71" i="4" s="1"/>
  <c r="O72" i="4" l="1"/>
  <c r="O73" i="4" s="1"/>
  <c r="N71" i="4"/>
  <c r="N72" i="4" s="1"/>
  <c r="N73" i="4" l="1"/>
  <c r="N74" i="4" s="1"/>
  <c r="N75" i="4" l="1"/>
  <c r="N76" i="4" s="1"/>
  <c r="O74" i="4"/>
  <c r="O75" i="4" s="1"/>
  <c r="O76" i="4"/>
  <c r="O77" i="4" s="1"/>
  <c r="N77" i="4" l="1"/>
  <c r="N78" i="4" s="1"/>
  <c r="O78" i="4" l="1"/>
  <c r="O79" i="4" s="1"/>
  <c r="N79" i="4" l="1"/>
  <c r="N80" i="4" s="1"/>
  <c r="O80" i="4" l="1"/>
  <c r="O81" i="4" s="1"/>
  <c r="N81" i="4" l="1"/>
  <c r="N82" i="4" s="1"/>
  <c r="O82" i="4" l="1"/>
  <c r="O83" i="4" s="1"/>
  <c r="N83" i="4" l="1"/>
  <c r="N84" i="4" s="1"/>
  <c r="O84" i="4" l="1"/>
  <c r="O85" i="4" s="1"/>
  <c r="N85" i="4" l="1"/>
  <c r="N86" i="4" s="1"/>
  <c r="O86" i="4" l="1"/>
  <c r="O87" i="4" s="1"/>
  <c r="N87" i="4" l="1"/>
  <c r="N88" i="4" s="1"/>
  <c r="O88" i="4" l="1"/>
  <c r="O89" i="4" s="1"/>
  <c r="N89" i="4" l="1"/>
  <c r="N90" i="4" s="1"/>
  <c r="O90" i="4" l="1"/>
  <c r="O91" i="4" s="1"/>
  <c r="N91" i="4" l="1"/>
  <c r="N92" i="4" s="1"/>
  <c r="O92" i="4" l="1"/>
  <c r="O93" i="4" s="1"/>
  <c r="N93" i="4" l="1"/>
  <c r="N94" i="4" s="1"/>
  <c r="O94" i="4" l="1"/>
  <c r="O95" i="4" s="1"/>
  <c r="N95" i="4" l="1"/>
  <c r="N96" i="4" s="1"/>
  <c r="O96" i="4" l="1"/>
  <c r="O97" i="4" s="1"/>
  <c r="N97" i="4" l="1"/>
  <c r="N98" i="4" s="1"/>
  <c r="O98" i="4" l="1"/>
  <c r="O99" i="4" s="1"/>
  <c r="N99" i="4" l="1"/>
  <c r="N100" i="4" s="1"/>
  <c r="O100" i="4" l="1"/>
  <c r="O101" i="4" s="1"/>
  <c r="N101" i="4" l="1"/>
  <c r="N102" i="4" s="1"/>
  <c r="O102" i="4" l="1"/>
  <c r="O103" i="4" s="1"/>
  <c r="N103" i="4" l="1"/>
  <c r="N104" i="4" s="1"/>
  <c r="O104" i="4" l="1"/>
  <c r="N105" i="4" s="1"/>
  <c r="N106" i="4" l="1"/>
  <c r="O106" i="4"/>
  <c r="O107" i="4" l="1"/>
  <c r="N107" i="4"/>
  <c r="N108" i="4" l="1"/>
  <c r="O108" i="4"/>
  <c r="O109" i="4" l="1"/>
  <c r="N109" i="4"/>
  <c r="N110" i="4" s="1"/>
  <c r="O110" i="4" l="1"/>
  <c r="O111" i="4" s="1"/>
  <c r="N111" i="4" l="1"/>
  <c r="N112" i="4" s="1"/>
  <c r="O112" i="4" l="1"/>
  <c r="O113" i="4" s="1"/>
  <c r="N113" i="4" l="1"/>
  <c r="N114" i="4" s="1"/>
  <c r="O114" i="4" l="1"/>
  <c r="O115" i="4" s="1"/>
  <c r="N115" i="4" l="1"/>
  <c r="N116" i="4" s="1"/>
  <c r="O116" i="4" l="1"/>
  <c r="O117" i="4" s="1"/>
  <c r="N117" i="4" l="1"/>
  <c r="N118" i="4" s="1"/>
  <c r="O118" i="4" l="1"/>
  <c r="O119" i="4" s="1"/>
  <c r="N119" i="4" l="1"/>
  <c r="N120" i="4" s="1"/>
  <c r="O120" i="4" l="1"/>
  <c r="O121" i="4" s="1"/>
  <c r="N121" i="4" l="1"/>
  <c r="N122" i="4" s="1"/>
  <c r="O122" i="4" l="1"/>
  <c r="O123" i="4" s="1"/>
  <c r="N123" i="4" l="1"/>
  <c r="N124" i="4" s="1"/>
  <c r="O124" i="4" l="1"/>
  <c r="O125" i="4" s="1"/>
  <c r="N125" i="4" l="1"/>
  <c r="N126" i="4" s="1"/>
  <c r="O126" i="4" l="1"/>
  <c r="O127" i="4" s="1"/>
  <c r="N127" i="4" l="1"/>
  <c r="N128" i="4" s="1"/>
  <c r="O128" i="4" l="1"/>
  <c r="O129" i="4" s="1"/>
  <c r="N129" i="4" l="1"/>
  <c r="N130" i="4" s="1"/>
  <c r="O130" i="4" l="1"/>
  <c r="O131" i="4" s="1"/>
  <c r="N131" i="4" l="1"/>
  <c r="N132" i="4" s="1"/>
  <c r="O132" i="4" l="1"/>
  <c r="O133" i="4" s="1"/>
  <c r="N133" i="4" l="1"/>
  <c r="N134" i="4" s="1"/>
  <c r="O134" i="4" l="1"/>
  <c r="O135" i="4" s="1"/>
  <c r="N135" i="4" l="1"/>
  <c r="N136" i="4" s="1"/>
  <c r="O136" i="4" l="1"/>
  <c r="O137" i="4" s="1"/>
  <c r="N137" i="4" l="1"/>
  <c r="N138" i="4" s="1"/>
  <c r="O138" i="4" l="1"/>
  <c r="O139" i="4" s="1"/>
  <c r="N139" i="4" l="1"/>
  <c r="N140" i="4" s="1"/>
  <c r="O140" i="4" l="1"/>
  <c r="O141" i="4" s="1"/>
  <c r="N141" i="4" l="1"/>
  <c r="N142" i="4" s="1"/>
  <c r="O142" i="4" l="1"/>
  <c r="O143" i="4" s="1"/>
  <c r="N143" i="4" l="1"/>
  <c r="N144" i="4" s="1"/>
  <c r="O144" i="4" l="1"/>
  <c r="O145" i="4" s="1"/>
  <c r="N145" i="4" l="1"/>
  <c r="N146" i="4" s="1"/>
  <c r="O146" i="4" l="1"/>
  <c r="O147" i="4" s="1"/>
  <c r="N147" i="4" l="1"/>
  <c r="N148" i="4" s="1"/>
  <c r="O148" i="4" l="1"/>
  <c r="O149" i="4" s="1"/>
  <c r="N149" i="4" l="1"/>
  <c r="N150" i="4" s="1"/>
  <c r="O150" i="4" l="1"/>
  <c r="O151" i="4" s="1"/>
  <c r="N151" i="4" l="1"/>
  <c r="N152" i="4" s="1"/>
  <c r="O152" i="4" l="1"/>
  <c r="O153" i="4" s="1"/>
  <c r="N153" i="4" l="1"/>
  <c r="N154" i="4" s="1"/>
  <c r="O154" i="4" l="1"/>
  <c r="O155" i="4" s="1"/>
  <c r="N155" i="4" l="1"/>
  <c r="N156" i="4" s="1"/>
  <c r="O156" i="4" l="1"/>
  <c r="O157" i="4" s="1"/>
  <c r="N157" i="4" l="1"/>
  <c r="N158" i="4" s="1"/>
  <c r="O158" i="4" l="1"/>
  <c r="O159" i="4" s="1"/>
  <c r="N159" i="4" l="1"/>
  <c r="N160" i="4" s="1"/>
  <c r="O160" i="4" l="1"/>
  <c r="O161" i="4" s="1"/>
  <c r="N161" i="4" l="1"/>
  <c r="N162" i="4" s="1"/>
  <c r="O162" i="4" l="1"/>
  <c r="O163" i="4" s="1"/>
  <c r="N163" i="4" l="1"/>
  <c r="N164" i="4" s="1"/>
  <c r="O164" i="4" l="1"/>
  <c r="O165" i="4" s="1"/>
  <c r="N165" i="4" l="1"/>
  <c r="N166" i="4" s="1"/>
  <c r="N167" i="4" l="1"/>
  <c r="O167" i="4"/>
  <c r="O168" i="4" l="1"/>
  <c r="N168" i="4"/>
  <c r="N169" i="4" s="1"/>
  <c r="O169" i="4" l="1"/>
  <c r="O170" i="4" s="1"/>
  <c r="N170" i="4" l="1"/>
  <c r="N171" i="4" s="1"/>
  <c r="O171" i="4" l="1"/>
  <c r="O172" i="4" s="1"/>
  <c r="N172" i="4" l="1"/>
  <c r="N173" i="4" s="1"/>
  <c r="O173" i="4" l="1"/>
  <c r="O174" i="4" s="1"/>
  <c r="N174" i="4" l="1"/>
  <c r="N175" i="4" s="1"/>
  <c r="O175" i="4" l="1"/>
  <c r="O176" i="4" l="1"/>
  <c r="N176" i="4"/>
  <c r="N177" i="4" s="1"/>
  <c r="O177" i="4" l="1"/>
  <c r="O178" i="4" l="1"/>
  <c r="N178" i="4"/>
  <c r="N179" i="4" l="1"/>
  <c r="O179" i="4"/>
  <c r="O180" i="4" l="1"/>
  <c r="N180" i="4"/>
  <c r="N181" i="4" s="1"/>
  <c r="O181" i="4" l="1"/>
  <c r="O182" i="4" l="1"/>
  <c r="N182" i="4"/>
  <c r="N183" i="4" s="1"/>
  <c r="O183" i="4" l="1"/>
  <c r="O184" i="4" l="1"/>
  <c r="N184" i="4"/>
  <c r="N185" i="4" s="1"/>
  <c r="O185" i="4" l="1"/>
  <c r="O186" i="4" l="1"/>
  <c r="N186" i="4"/>
  <c r="N187" i="4" l="1"/>
  <c r="O187" i="4"/>
  <c r="O188" i="4" l="1"/>
  <c r="N188" i="4"/>
  <c r="N189" i="4" s="1"/>
  <c r="O189" i="4" l="1"/>
  <c r="O190" i="4" l="1"/>
  <c r="N190" i="4"/>
  <c r="N191" i="4" s="1"/>
  <c r="O191" i="4" l="1"/>
  <c r="O192" i="4" l="1"/>
  <c r="N192" i="4"/>
  <c r="N193" i="4" s="1"/>
  <c r="O193" i="4" l="1"/>
  <c r="O194" i="4" s="1"/>
  <c r="N194" i="4" l="1"/>
  <c r="N195" i="4" s="1"/>
  <c r="O195" i="4" l="1"/>
  <c r="O196" i="4" s="1"/>
  <c r="N196" i="4" l="1"/>
  <c r="N197" i="4" s="1"/>
  <c r="O197" i="4" l="1"/>
  <c r="O198" i="4" s="1"/>
  <c r="N198" i="4" l="1"/>
  <c r="N199" i="4" s="1"/>
  <c r="O199" i="4" l="1"/>
  <c r="O200" i="4" s="1"/>
  <c r="N200" i="4" l="1"/>
  <c r="N201" i="4" s="1"/>
  <c r="O201" i="4" l="1"/>
  <c r="O202" i="4" s="1"/>
  <c r="N202" i="4" l="1"/>
  <c r="N203" i="4" s="1"/>
  <c r="O203" i="4" l="1"/>
  <c r="O204" i="4" s="1"/>
  <c r="N204" i="4" l="1"/>
  <c r="N205" i="4" s="1"/>
  <c r="O205" i="4" l="1"/>
  <c r="O206" i="4" s="1"/>
  <c r="N206" i="4" l="1"/>
  <c r="N207" i="4" s="1"/>
  <c r="O207" i="4" l="1"/>
  <c r="O208" i="4" s="1"/>
  <c r="N208" i="4" l="1"/>
  <c r="N209" i="4" s="1"/>
  <c r="O209" i="4" l="1"/>
  <c r="O210" i="4" s="1"/>
  <c r="N210" i="4" l="1"/>
  <c r="N211" i="4" s="1"/>
  <c r="O211" i="4" l="1"/>
  <c r="O212" i="4" s="1"/>
  <c r="N212" i="4" l="1"/>
  <c r="N213" i="4" s="1"/>
  <c r="O213" i="4" l="1"/>
  <c r="O214" i="4" s="1"/>
  <c r="N214" i="4" l="1"/>
  <c r="N215" i="4" s="1"/>
  <c r="O215" i="4"/>
  <c r="O216" i="4" s="1"/>
  <c r="N216" i="4" l="1"/>
  <c r="N217" i="4" s="1"/>
  <c r="O217" i="4" l="1"/>
  <c r="O218" i="4" l="1"/>
  <c r="N218" i="4"/>
  <c r="N219" i="4" s="1"/>
  <c r="O219" i="4" l="1"/>
  <c r="O220" i="4" l="1"/>
  <c r="N220" i="4"/>
  <c r="N221" i="4" s="1"/>
  <c r="O221" i="4" l="1"/>
  <c r="O222" i="4" s="1"/>
  <c r="N222" i="4" l="1"/>
  <c r="N223" i="4" s="1"/>
  <c r="O223" i="4" l="1"/>
  <c r="O224" i="4" l="1"/>
  <c r="N224" i="4"/>
  <c r="O225" i="4" l="1"/>
  <c r="N225" i="4"/>
  <c r="O226" i="4" s="1"/>
  <c r="N226" i="4"/>
  <c r="L3" i="7" l="1" a="1"/>
  <c r="L3" i="7" s="1"/>
  <c r="M10" i="7" l="1"/>
  <c r="B5" i="5" a="1"/>
  <c r="B5" i="5" s="1"/>
  <c r="M9" i="7"/>
  <c r="AC3" i="2" a="1"/>
  <c r="AC3" i="2" s="1"/>
  <c r="AB2" i="11" l="1"/>
  <c r="A3" i="12" a="1"/>
  <c r="A3" i="12" s="1"/>
  <c r="L33" i="7" a="1"/>
  <c r="M41" i="7" s="1"/>
  <c r="F3" i="9"/>
  <c r="C55" i="2"/>
  <c r="L41" i="7" l="1"/>
  <c r="L33" i="7"/>
  <c r="N41" i="7"/>
  <c r="E55" i="2"/>
  <c r="E56" i="2"/>
  <c r="E57" i="2" l="1"/>
  <c r="F5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<sst xmlns="http://schemas.openxmlformats.org/spreadsheetml/2006/main" count="941" uniqueCount="389">
  <si>
    <t>I</t>
  </si>
  <si>
    <t>II</t>
  </si>
  <si>
    <t>III</t>
  </si>
  <si>
    <t>IV</t>
  </si>
  <si>
    <t>V</t>
  </si>
  <si>
    <t>I =&gt;</t>
  </si>
  <si>
    <t>V =&gt;</t>
  </si>
  <si>
    <t>Diff réelle</t>
  </si>
  <si>
    <t>Cumul</t>
  </si>
  <si>
    <t>from:</t>
  </si>
  <si>
    <t>to:</t>
  </si>
  <si>
    <t>cost:</t>
  </si>
  <si>
    <t>Cost</t>
  </si>
  <si>
    <t>Lvl from</t>
  </si>
  <si>
    <t>Lvl to</t>
  </si>
  <si>
    <t>Stock:</t>
  </si>
  <si>
    <t>Stock =&gt; V</t>
  </si>
  <si>
    <t>Stars</t>
  </si>
  <si>
    <t>Current</t>
  </si>
  <si>
    <t>Stock</t>
  </si>
  <si>
    <t>Unit cost</t>
  </si>
  <si>
    <t>Full cost</t>
  </si>
  <si>
    <t>Achievement</t>
  </si>
  <si>
    <t>1=&gt;300</t>
  </si>
  <si>
    <t>Cost (screen)</t>
  </si>
  <si>
    <t>8h</t>
  </si>
  <si>
    <t>3h</t>
  </si>
  <si>
    <t>1h</t>
  </si>
  <si>
    <t>5m</t>
  </si>
  <si>
    <t>1m</t>
  </si>
  <si>
    <t>Accelerateurs</t>
  </si>
  <si>
    <t>Type</t>
  </si>
  <si>
    <t>Equiv. H</t>
  </si>
  <si>
    <t>Dreamium</t>
  </si>
  <si>
    <t>Palmon upgrade</t>
  </si>
  <si>
    <t>Needs:</t>
  </si>
  <si>
    <t>Génériques</t>
  </si>
  <si>
    <t>Construction</t>
  </si>
  <si>
    <t>Recherche</t>
  </si>
  <si>
    <t>Entrainement</t>
  </si>
  <si>
    <t>Soins</t>
  </si>
  <si>
    <t>Pouponnière</t>
  </si>
  <si>
    <t>@</t>
  </si>
  <si>
    <t>8</t>
  </si>
  <si>
    <t>Y</t>
  </si>
  <si>
    <t>ã</t>
  </si>
  <si>
    <t>†</t>
  </si>
  <si>
    <t>¤</t>
  </si>
  <si>
    <t>Palmon Evolution</t>
  </si>
  <si>
    <t>Revontulet</t>
  </si>
  <si>
    <t>Fire</t>
  </si>
  <si>
    <t>Gnashley</t>
  </si>
  <si>
    <t>Hoofrit</t>
  </si>
  <si>
    <t>Water</t>
  </si>
  <si>
    <t>Ghillant</t>
  </si>
  <si>
    <t>Wood</t>
  </si>
  <si>
    <t>Magmolin</t>
  </si>
  <si>
    <t>Lucidina</t>
  </si>
  <si>
    <t>Woozard</t>
  </si>
  <si>
    <t>Blazeal</t>
  </si>
  <si>
    <t>Limudroid</t>
  </si>
  <si>
    <t>Electricity</t>
  </si>
  <si>
    <t>Escarffier</t>
  </si>
  <si>
    <t>Barkplug</t>
  </si>
  <si>
    <t>Surveilynx</t>
  </si>
  <si>
    <t>Statchew</t>
  </si>
  <si>
    <t>Fingenue</t>
  </si>
  <si>
    <t>Abuzzinian</t>
  </si>
  <si>
    <t>Dolphriend</t>
  </si>
  <si>
    <t>Regalion</t>
  </si>
  <si>
    <t>Battereina</t>
  </si>
  <si>
    <t>Salamantis</t>
  </si>
  <si>
    <t>Mantleray</t>
  </si>
  <si>
    <t>Baboom</t>
  </si>
  <si>
    <t>Fulgairy</t>
  </si>
  <si>
    <t>Pipistrigoi</t>
  </si>
  <si>
    <t>Ninjump</t>
  </si>
  <si>
    <t>Needs</t>
  </si>
  <si>
    <t>Name</t>
  </si>
  <si>
    <t>Level</t>
  </si>
  <si>
    <t>Hall Level</t>
  </si>
  <si>
    <t>Cost to max</t>
  </si>
  <si>
    <t>Bufonobi</t>
  </si>
  <si>
    <t>Step</t>
  </si>
  <si>
    <t>Pyregeist</t>
  </si>
  <si>
    <t>Thundertooth</t>
  </si>
  <si>
    <t>Prismalith</t>
  </si>
  <si>
    <t>Cryovern</t>
  </si>
  <si>
    <t>Upgrade</t>
  </si>
  <si>
    <t>Competency</t>
  </si>
  <si>
    <t>Palmons per Type and Evolution</t>
  </si>
  <si>
    <t>Palmon upgrade costs</t>
  </si>
  <si>
    <t>Rank</t>
  </si>
  <si>
    <t>Team</t>
  </si>
  <si>
    <t>Teams Selection</t>
  </si>
  <si>
    <t>Teams per Type</t>
  </si>
  <si>
    <t>Skill</t>
  </si>
  <si>
    <t>Attack</t>
  </si>
  <si>
    <t>Defend</t>
  </si>
  <si>
    <t>Pieces Stock</t>
  </si>
  <si>
    <t>Upgradable</t>
  </si>
  <si>
    <t>Beds</t>
  </si>
  <si>
    <t>Qty</t>
  </si>
  <si>
    <t>Mutation</t>
  </si>
  <si>
    <t>Substep</t>
  </si>
  <si>
    <t>Cost level</t>
  </si>
  <si>
    <t>Cost substep</t>
  </si>
  <si>
    <t>List</t>
  </si>
  <si>
    <t>Energie type</t>
  </si>
  <si>
    <t>Palmon Mutation Cost</t>
  </si>
  <si>
    <t>Essence</t>
  </si>
  <si>
    <t>Palmons Names</t>
  </si>
  <si>
    <t>Shadowkaeru</t>
  </si>
  <si>
    <t>Mystiray</t>
  </si>
  <si>
    <t>Predalynx</t>
  </si>
  <si>
    <t>Solhorn</t>
  </si>
  <si>
    <t>Leviadolph</t>
  </si>
  <si>
    <t>Voltfang</t>
  </si>
  <si>
    <t>Leafgarde</t>
  </si>
  <si>
    <t>Inferdrake</t>
  </si>
  <si>
    <t>Oleana</t>
  </si>
  <si>
    <t>Spookaboo</t>
  </si>
  <si>
    <t>Année</t>
  </si>
  <si>
    <t>Jour</t>
  </si>
  <si>
    <t>Dénomination</t>
  </si>
  <si>
    <t>Jour semaine</t>
  </si>
  <si>
    <t>1er janvier</t>
  </si>
  <si>
    <t>Pâques</t>
  </si>
  <si>
    <t>Lundi de Pâques</t>
  </si>
  <si>
    <t>1er mai</t>
  </si>
  <si>
    <t>8 mai</t>
  </si>
  <si>
    <t>Ascension</t>
  </si>
  <si>
    <t>Lundi de Pentecôte</t>
  </si>
  <si>
    <t>14 juillet</t>
  </si>
  <si>
    <t>Assomption</t>
  </si>
  <si>
    <t>Toussaint</t>
  </si>
  <si>
    <t>11 novembre</t>
  </si>
  <si>
    <t>Jour de Noël</t>
  </si>
  <si>
    <t>Nb</t>
  </si>
  <si>
    <t>Glacewing</t>
  </si>
  <si>
    <t>RankPower</t>
  </si>
  <si>
    <t>Oneirina</t>
  </si>
  <si>
    <t>https://encrypted-tbn0.gstatic.com/images?q=tbn:ANd9GcR9A_xtftnwTH1zCnLIOcgmJKNZtFnB-e8QOw&amp;s</t>
  </si>
  <si>
    <t>Extra</t>
  </si>
  <si>
    <t>URL</t>
  </si>
  <si>
    <t>https://encrypted-tbn0.gstatic.com/images?q=tbn:ANd9GcQMvgcplGCQCmIPq5ypILKf8v4mBVwxsMgKdg&amp;s</t>
  </si>
  <si>
    <t>https://encrypted-tbn0.gstatic.com/images?q=tbn:ANd9GcRvhKm8Syu_29_yraif6I_ybijQhVUhvDmMNg&amp;s</t>
  </si>
  <si>
    <t>https://encrypted-tbn0.gstatic.com/images?q=tbn:ANd9GcR23XO-FCNYoHOIhLnxge8AzFmdP8mD1D-mzQ&amp;s</t>
  </si>
  <si>
    <t>https://encrypted-tbn0.gstatic.com/images?q=tbn:ANd9GcSWhzppoZXwh-zBnWIY3GFkIp0x0kc0hAzG0A&amp;s</t>
  </si>
  <si>
    <t>https://encrypted-tbn0.gstatic.com/images?q=tbn:ANd9GcToQuTLjFC_oynclPIY9tWM7qAaMIPbmzTn2Q&amp;s</t>
  </si>
  <si>
    <t>https://encrypted-tbn0.gstatic.com/images?q=tbn:ANd9GcS0uWep-9VXcdMd6qSpdASqYR42mG4SmBsCjw&amp;s</t>
  </si>
  <si>
    <t>Chefeuillier</t>
  </si>
  <si>
    <t>https://encrypted-tbn0.gstatic.com/images?q=tbn:ANd9GcQlW5YoM4c6bArAuIb7UxI-VfUI9GmBp85Qig&amp;s</t>
  </si>
  <si>
    <t>https://encrypted-tbn0.gstatic.com/images?q=tbn:ANd9GcRh7P3oaH_Kq0fni1aOxe3TmDgHULu_Z-UWUg&amp;s</t>
  </si>
  <si>
    <t>https://encrypted-tbn0.gstatic.com/images?q=tbn:ANd9GcTrE4qGrnpy2BMETqUKNyATj-OrXMdX4IeXcQ&amp;s</t>
  </si>
  <si>
    <t>https://encrypted-tbn0.gstatic.com/images?q=tbn:ANd9GcQtrOr7ePo-_tg085QaHk6NorM32ywE44672A&amp;s</t>
  </si>
  <si>
    <t>https://encrypted-tbn0.gstatic.com/images?q=tbn:ANd9GcS2Z4TkKenIldVD1AQ7o1ftBU6pG9zKRz-FKA&amp;s</t>
  </si>
  <si>
    <t>https://encrypted-tbn0.gstatic.com/images?q=tbn:ANd9GcRsDMtJC3uCFkue3lLpIZqf7OpQgR7XoKOS8g&amp;s</t>
  </si>
  <si>
    <t>https://encrypted-tbn0.gstatic.com/images?q=tbn:ANd9GcRwfHFWjB1bN67FJNyjjWvBJwviWJ3Tada0Yg&amp;s</t>
  </si>
  <si>
    <t>https://encrypted-tbn0.gstatic.com/images?q=tbn:ANd9GcSC1rp-0lIuUyVvSi8kN_vJnr_Ln4mF4lh4zg&amp;s</t>
  </si>
  <si>
    <t>https://encrypted-tbn0.gstatic.com/images?q=tbn:ANd9GcST2CrUIPAlFNBLPgZn0Tu93KelabHVVAbNLQ&amp;s</t>
  </si>
  <si>
    <t>https://encrypted-tbn0.gstatic.com/images?q=tbn:ANd9GcRGF27Z8fOuiwM1qjDFQVY262gS_QKIJamMNg&amp;s</t>
  </si>
  <si>
    <t>https://encrypted-tbn0.gstatic.com/images?q=tbn:ANd9GcQ5ThIRML8-S9czd3JEMxpMlnMn9UAMwdeiBw&amp;s</t>
  </si>
  <si>
    <t>https://encrypted-tbn0.gstatic.com/images?q=tbn:ANd9GcTun-SMpIMKagR2SMRlAysEcjxhO7sD6Nq3IQ&amp;s</t>
  </si>
  <si>
    <t>https://encrypted-tbn0.gstatic.com/images?q=tbn:ANd9GcQxjczIZhaTQV2VukHWlKoJMQ30DrUIwatAEw&amp;s</t>
  </si>
  <si>
    <t>https://encrypted-tbn0.gstatic.com/images?q=tbn:ANd9GcRNSg29kZ5t51s7m9SpGygJKsQow67zLt08qg&amp;s</t>
  </si>
  <si>
    <t>https://encrypted-tbn0.gstatic.com/images?q=tbn:ANd9GcSQA67-vNrm701vphmHvRKGkJTx2O2gyTi00Q&amp;s</t>
  </si>
  <si>
    <t>https://encrypted-tbn0.gstatic.com/images?q=tbn:ANd9GcTc2Arfa7L5NJadx_WdnWjGTYRLP6bgvNMsDUbraRNI&amp;s</t>
  </si>
  <si>
    <t>https://encrypted-tbn0.gstatic.com/images?q=tbn:ANd9GcQK8ZtDU3nBBFFGN2vhlNn2ACJuBBoGsnFHZC7On4Gb&amp;s</t>
  </si>
  <si>
    <t>https://encrypted-tbn0.gstatic.com/images?q=tbn:ANd9GcRUDpuK5BvjXDFqgMZvlxYadsaFFQDKOQrNCAHymiAy_w&amp;s</t>
  </si>
  <si>
    <t>https://encrypted-tbn0.gstatic.com/images?q=tbn:ANd9GcT-r6BZKxjf-kMlCmzHjhnUHjvmCaOn5DxiYw&amp;s</t>
  </si>
  <si>
    <t>https://encrypted-tbn0.gstatic.com/images?q=tbn:ANd9GcQaumzt62POzCPWE5kNVnUA5j6pKVetbogSOJqvW2HU&amp;s</t>
  </si>
  <si>
    <t>https://encrypted-tbn0.gstatic.com/images?q=tbn:ANd9GcSSdARGNHB_mPJlsb0v4ULv5HaXw2movjzNTNSrkzsi&amp;s</t>
  </si>
  <si>
    <t>https://encrypted-tbn0.gstatic.com/images?q=tbn:ANd9GcQt6lIf0Em_f_DT0VurOVsujswJCEmGOpJk4N6txfed&amp;s</t>
  </si>
  <si>
    <t>https://encrypted-tbn0.gstatic.com/images?q=tbn:ANd9GcRMlruQNUenhVk-fAEq9d3Wi8zw--0GbkLGJrX1CuQ1&amp;s</t>
  </si>
  <si>
    <t>https://encrypted-tbn0.gstatic.com/images?q=tbn:ANd9GcSNLJe_mmX76tcOcm93Zzrq-x4btMmg4l1csw&amp;s</t>
  </si>
  <si>
    <t>https://encrypted-tbn0.gstatic.com/images?q=tbn:ANd9GcRR4T5jdtF_LaheoRmg2FLSWS4DS4QhqCFaAg&amp;s</t>
  </si>
  <si>
    <t>https://encrypted-tbn0.gstatic.com/images?q=tbn:ANd9GcQzaI21taP2V17MKjiPAeulm4V9qfST4umPdg&amp;s</t>
  </si>
  <si>
    <t>https://encrypted-tbn0.gstatic.com/images?q=tbn:ANd9GcRebc6KbOAxblleg_L3rr2K13bt-Yyzq1bAaw&amp;s</t>
  </si>
  <si>
    <t>https://encrypted-tbn0.gstatic.com/images?q=tbn:ANd9GcSkOv6mOI5FaIAjcVgErYDwVaivkH3WdUQIzw&amp;s</t>
  </si>
  <si>
    <t>https://encrypted-tbn0.gstatic.com/images?q=tbn:ANd9GcT29K673YTBvt_EofrppvnWB4sgt43DEq1pTw&amp;s</t>
  </si>
  <si>
    <t>https://encrypted-tbn0.gstatic.com/images?q=tbn:ANd9GcQoXkXemCK02vmhKICXcvjchtQ-qvcAc5zyrA&amp;s</t>
  </si>
  <si>
    <t>https://encrypted-tbn0.gstatic.com/images?q=tbn:ANd9GcSRbCy1ARx2qd0P1rLvdoRvfNqa4pUV20r12A&amp;s</t>
  </si>
  <si>
    <t>Adolphonis</t>
  </si>
  <si>
    <t>https://encrypted-tbn0.gstatic.com/images?q=tbn:ANd9GcQCf63iS9oq-SMn3DO74UTS2j_zSrzNVTRMOQ&amp;s</t>
  </si>
  <si>
    <t>https://encrypted-tbn0.gstatic.com/images?q=tbn:ANd9GcTQp9fQrKVHd_zzyuSxM8QSOjlZsRbJ0lwxrg&amp;s</t>
  </si>
  <si>
    <t>https://encrypted-tbn0.gstatic.com/images?q=tbn:ANd9GcQOwDXppnwkCtCXXAqUiiNMhf6T-lane54jPg&amp;s</t>
  </si>
  <si>
    <t>Camouflynx</t>
  </si>
  <si>
    <t>https://encrypted-tbn0.gstatic.com/images?q=tbn:ANd9GcRXczs_Bjhslhr7Mf2HENU6MTyGpz0RJEMjNA&amp;s</t>
  </si>
  <si>
    <t>https://encrypted-tbn0.gstatic.com/images?q=tbn:ANd9GcQ02wmDjsAMofj1ObwwNW6Vhl_QQ-LUodGIKA&amp;s</t>
  </si>
  <si>
    <t>https://encrypted-tbn0.gstatic.com/images?q=tbn:ANd9GcSf59xsunrPEuFvdtBi-IRVMcrdBfW_vNshLA&amp;s</t>
  </si>
  <si>
    <t>https://encrypted-tbn0.gstatic.com/images?q=tbn:ANd9GcSPFSxpzP3XhhfdRhxvv_Oi86DkexX6yjZrRA&amp;s</t>
  </si>
  <si>
    <t>https://encrypted-tbn0.gstatic.com/images?q=tbn:ANd9GcTII6bAUVzdPfr_45Db3bGwDuIVxhe-n4dSSgHRGJaEpg&amp;s</t>
  </si>
  <si>
    <t>https://encrypted-tbn0.gstatic.com/images?q=tbn:ANd9GcSDZWuq2tiKYc0zKRxpHXrLSMZ1GsY_6wEIYw&amp;s</t>
  </si>
  <si>
    <t>URL Mutation</t>
  </si>
  <si>
    <t>Vulpyrean</t>
  </si>
  <si>
    <t>Energy</t>
  </si>
  <si>
    <t>Crystals</t>
  </si>
  <si>
    <t>Pieces</t>
  </si>
  <si>
    <t>s</t>
  </si>
  <si>
    <t>m</t>
  </si>
  <si>
    <t>h</t>
  </si>
  <si>
    <t>Prod time (h)</t>
  </si>
  <si>
    <t>Palmon Mutation</t>
  </si>
  <si>
    <t>Todo:</t>
  </si>
  <si>
    <t>Gnashfin</t>
  </si>
  <si>
    <t>Azurostrigoi</t>
  </si>
  <si>
    <t>Essaucier</t>
  </si>
  <si>
    <t>Ampereina</t>
  </si>
  <si>
    <t>Lionarch</t>
  </si>
  <si>
    <t>Bunodroid</t>
  </si>
  <si>
    <t>Flaries</t>
  </si>
  <si>
    <t>Keraunosaur</t>
  </si>
  <si>
    <t>Silvaurus</t>
  </si>
  <si>
    <t>Fleurizard</t>
  </si>
  <si>
    <t>Finnabelle</t>
  </si>
  <si>
    <t>Obsidrake</t>
  </si>
  <si>
    <t>Rumbkey</t>
  </si>
  <si>
    <t>Wildfuror</t>
  </si>
  <si>
    <t>Anubeast</t>
  </si>
  <si>
    <t>Servolt</t>
  </si>
  <si>
    <t>Sorceray</t>
  </si>
  <si>
    <t>Wattweiler</t>
  </si>
  <si>
    <t>Embergeist</t>
  </si>
  <si>
    <t>Thundermane</t>
  </si>
  <si>
    <t>Mammolith</t>
  </si>
  <si>
    <t>EXP</t>
  </si>
  <si>
    <t>EXP/d</t>
  </si>
  <si>
    <t>EXP/h</t>
  </si>
  <si>
    <t>Rang global</t>
  </si>
  <si>
    <t>Rang par type</t>
  </si>
  <si>
    <t>Top 7</t>
  </si>
  <si>
    <t>PS_COMP.csv</t>
  </si>
  <si>
    <t>PS_EXP.csv</t>
  </si>
  <si>
    <t>PS_streamlit_US_v1.csv</t>
  </si>
  <si>
    <t>Level300</t>
  </si>
  <si>
    <t>Kungpaw</t>
  </si>
  <si>
    <t>CONCAT(LAMBDA(cell;cell &amp; ",")(Palmon!B3:Palmon!AJ3))</t>
  </si>
  <si>
    <t>Total</t>
  </si>
  <si>
    <t>https://encrypted-tbn0.gstatic.com/images?q=tbn:ANd9GcRV1HdRcNPUS4HjDBZ2YOXgaMW_I8FgZEP5xg&amp;s</t>
  </si>
  <si>
    <t>Boss upgrade</t>
  </si>
  <si>
    <t>Comp 1</t>
  </si>
  <si>
    <t>Comp 2</t>
  </si>
  <si>
    <t>Comp 3</t>
  </si>
  <si>
    <t>Comp 4</t>
  </si>
  <si>
    <t>Comp 5</t>
  </si>
  <si>
    <t>Cooleuvre</t>
  </si>
  <si>
    <t>Volnir</t>
  </si>
  <si>
    <t>Any</t>
  </si>
  <si>
    <t>Porcélec</t>
  </si>
  <si>
    <t>Inkuisitor</t>
  </si>
  <si>
    <t>Bogolem</t>
  </si>
  <si>
    <t>https://i.ytimg.com/vi/k8O-c09w7PA/hq720.jpg?sqp=-oaymwE7CK4FEIIDSFryq4qpAy0IARUAAAAAGAElAADIQj0AgKJD8AEB-AHSBIACgAqKAgwIABABGB8gaChyMA8=&amp;rs=AOn4CLBtPP76BbU8l6Zq88pgwHNZgUU1QA</t>
  </si>
  <si>
    <t>https://i.ytimg.com/vi/IhOF_Xo4ZuY/hq720.jpg?sqp=-oaymwE7CK4FEIIDSFryq4qpAy0IARUAAAAAGAElAADIQj0AgKJD8AEB-AHSBIACgAqKAgwIABABGCIgZChyMA8=&amp;rs=AOn4CLASkTLqVI27T4TEkNQRFZyZejve9Q</t>
  </si>
  <si>
    <t>https://i.ytimg.com/vi/mg9imm3KuBg/maxresdefault.jpg?sqp=-oaymwEmCIAKENAF8quKqQMa8AEB-AHSBIACgAqKAgwIABABGCIgPSh_MA8=&amp;rs=AOn4CLDtrb1G4RrtSN3HJ47D7mYMZHZkUQ</t>
  </si>
  <si>
    <t>data:image/jpeg;base64,/9j/4AAQSkZJRgABAQAAAQABAAD/2wCEAAkGBxMSEhUSEhMWFhUXFRcYFRcYGBcXFxcZFRYXGBgVGBcaHSggGB0lHhkXITEiJSkrLi4uFx8zODMsNygtLi0BCgoKDg0OGxAQGy0mHyUtLS0tMCstLS0uLS0vLS0tLS0tLS0tLS0tMC0tLS0tLS8tLS0tLS0tLS0tLS0tLS0tLf/AABEIAUsAmAMBIgACEQEDEQH/xAAbAAABBQEBAAAAAAAAAAAAAAAAAgMEBQYHAf/EAEsQAAEDAgMDBQsKBAQFBQAAAAECAxEAIQQSMQVBUQYTImFxBxcyUlOBkZKhsdIUFSNCYqKjwdPhM3LR8ENjgrIWJHOD8TRUs8LD/8QAGgEAAwEBAQEAAAAAAAAAAAAAAAIDBAEFBv/EADURAAICAQIDBAcIAgMAAAAAAAABAhEDEiEEMVEFExRBFVJhcZHR8CJCU4GhweHxIzJykqL/2gAMAwEAAhEDEQA/AONimxrpQgUpIrZzOktrDSmQe2vEJ07akbOangNYp95CAJiDGm626taj9myV70SGVpvv/ad9PYZJPS7YHUOulFoFGg09pvSm0gSTwF5PoA8w9NOlRJscWxPUQZNPMoCLxf3jSKVg1WMx13476kpw2YdY4aU1JiN0OYJUqAWMwgR4o4W6uurFvE3GXSDaq5KotXuYpkj0f0p6JsefbkcD1VWuBUFCrqIt2j+x6KlLxVpFQca4FASPTTnY2QeYASEjXVXbw/KoDx8WIO4mIqxU0nhJndUR9sA6R1VKSLRZCbw2834Dd6KkPaTw0palU2q9KopIa7Izicwv/djVeoWq5we8EWEgdv8A4qrxCYUR1ms2eOyZSD3oiCihQr2sqlRQfCYvTzCZvV7yD2U1isczhn0qLbhWDlVlPRbWsGYPi6V0Da/ceKnFqwbgbaQkwHs6ipaFuBUKyiBCRuOtpEE1U4wlTOPkczZa+sLEHhu30rHJF/tD2i4rfr7mD7TZUrEs2SpUBDyj0W+cISAnpHJe2ptUjaXczS4pSGHQ0tDzspWpbgLbaWNCEJuC7Jnxuo1eWfHVWTp2YVkpSkxvF+u3CnW1ggXkAADURW12V3LFF/I7iEqGR3opS6hZLZW3mGdEQHAP5gZEiJqGeRb6cO666420GnS2oLCwegpIUuctkwsKE3UL8K738HsmI4Mq2DI1k7rey5p9t4yU3BmIGlaBfc+xCC6FPtJU0nMoHPvU6EaCwUGyZ4KFVu02gy42lGY5sOw6Qs5rutBahpuJNPHLGTpCOL5kJxJGszXlSnVCJUbkaJ3zwG+mltqjoJJ7be+9aE0S5kV2ojqjU5bZI4VAxGHUAVXPVvoY8RkOZTbhUJxyaXFirW+m/wDekINpKbb+I81SsokISJpK1xXilJTcK82vs1rbbD2SyvZ7rrjTZUOkp5R6SArOEhEeDGQyIJJUBfSsvE8UsEU2m76FcePW6uveYrDuGD1k1Cx2s1a7Nw6FuIQ4rIgzKpAiEkgSbCSAmTYTJ0prFYVHOKSFZkBakpXBukKIC4F7iDFSlxEXGgSp2US6Ksdu4VtpeRtWYeNf0XoqS3HjJSSaF4HFBCgs84CPBLbnNKB0kLyK3SN2tTVbaBJlWMM2M4yZFxB+hvqfTUfYG0E4d9Dq2w6EhzoGCCVNrSmZBEBRB81XLu1dnuAKVgVc5kSFFDhQ3KUNp6KEq6I6Kr38OTm0q73a2Am4jlep5htkh5Ab+sh9KVrhGSXHAzKjlt175qtRtVSVhU4yZJviwoGYzSCxBBypkHXKJqy2ZtPAIzBzBLUgvqUgJWQpKFIQkIK8xJukmCT4VjuPr+1sMPCwsp+Tc2sAwVLC0HnkqB6JASRoNbzVtKr/AFJ3uStqcqnX1h1SXm8qMqQ0+lsJTJVolneSTvqE3jEqCs3ylWaCvNiMwURGWZZhUCLxuqXisThVtuJbw3Nko+jVzi1FBm0gqIMJjzzYyIedxeEUrMjClIyuFQzqABWDzWWSYyn08KdRS5Rf1+ZNv2jSH0rk/wDMXEE/KBKkj6pPNdJPUa8W63aUPGwAJeSSIEAAlrQCwHCrfC7RwUQnCK6KiUySYBAHSkjOJmJ069K8b2jhEKQUYdQCXMygVZ5TFkQbW9J411f8X9fmK/eQ8IppJnI5peXUn/8AKnUYlsk9FYI/zE6H/t3PXUxO08EpS1Kw5T4agAtQzKJlKUhNke4DxjTa9o4Q5QcKYTM9NQkdMgWUCLqG8mBE2u1v1X9fmJXtITobIiD1SoH09G9VeKTltcpIIPEcNfPUzamKSojIjIkJAjW+qjJJJEkxN4gbqqnnba1ZPY4kME2ACTA4bzxqC+DN5BPCL1PS8DYmPZUR5d7UjKxGEYcJ7TSnFWI4+2NKJNeb6WlQw222VC2tV7wjeatMLbMQd5FV+MTCj11nyxWmx4vcgmilKFeVkKkvWlsKrwEGktiCRWvlJB5FzhFCIO/8qYxrhzJTrfXqiDSmboHafyqIwguOayL+qm5M9k1eb2SJRXmWSXFq0PR04eapiXcqBeTpeq/MePYBu6hSpp0hWi5bWInjXhB3VCwTu4+apTiuFMSaPFPAXpPy4TpUd4nfSGkVy2GlE7ns2gqHiBv40tuRfhScU+pxRURHZQ2CRBSu5kEdcGD+dJWoDj6qv6VMAr1TsC1I3Q9kDn0/VJV/KlXvUBTZck2bVPWtMdVsv51IU7NjS2rA2ub9lTcm/MYr2nlNiFJOuvbTeMUFAEVaRMgjtNV208EEHMjwTu4ftU5XpoZNNlcqvK9VXlZKKk2K8fGivTSxSFOWINa5UlQKyWs/QFQ3KA9YH+lO4KEMg/WWTJ4JEGPOY9FVYclIR1n9vzq2ZQCkDdFPjep37BWqiepWONehVIUctiezrpSKsmIPtmrFCrTFVzRI0qWXZFOTkh9xM0ymxpTRMUpQmgUbW4alr2eqNKZSjf11uX8Gm+kzAHGalktBaRhnMIQBNRXGYsNK3/zWnKTcrGqADIPA8O2q1GxM4nSDdO+pPqCkjKtbOm9WeC2TeYlMXMaDiBvrR4LZEqCYi+u6pmIwQRdRjt0MGNdKSzrkYB/AKQCqJE2P5xUfE4fOgpAkkejrrc7awSRhVOyJnKLiDPD+91ZhlaU3i8eim3atHLMQpFFS8W3Dih1z6aKg49DSmKQKXiRCTPD/AMV4iK82uqAAN8fdAFbMjjT939DJNUyuaNxV3hVjKDIpnk/sY4lWQGDxiYASpRPmj21N+Sc2SgxKSUmNJBgxxqOHWuSOScXs2NkZiDuGnbxp1I4ClJbFOaVqSfmRbG0opxIr0A0oCui2OMinstMINSEV0Vi0rgRFawrU5h0viCAAhyNUrAAuOChBnrrKZKsuT+2FYVwkDM2qA6g6LSDPp/qRvolG1a5k2y++XrccBOZv6PKrIFKJIT0CoDWTA7KVjm3AlpxaRmhJzoGgULII3+ccYrS7Jw2GebcOEcCecQUqH1kZvGQTuvHsrzZux1tkBx4rWkyFAAEogAIJ1gEe+od5EXSydgMCFJStScqjcJ4T+0U6rBXHvqYhzefT6b1mOUnLBtoFDBDjmmbVCeufrHqrNGMpOkVdJGT7oq0JHMMAJWlRWvKAAoxIBHEg+7jWSZWFpC06ET+1TVulbilLJUpXSJOpO8mqY7McTKUOQiTAk2BPUK2KLxrZWPBKXN0V+P8A48cR+VFebYwakhKpkjUid39+yisfeKDakjRKHQmYfDJUsDTMOjuGbcD1HTziqjaSjzhBtlsRwI19tWCXAsRTOPVzpSSPpNFK8YDQnrGk1xOKUoXyd+9GvPjk1HJ1Ve5mq7nCAkrcP1W1E/6lIT7kqqsubnU3PnqXyf2ghtl1FwopyixM9BVpAt0jUZIPA+g1twtJczzWnbAJpSR7jXuU15pTt2cPCaQp2KQ4qo6jU3MCU28SbVYYZBNU7DmUzV7gnCUyRFPCVk8jpDym6by0+lU14UVdNMz6j3DJUFZkKKSPrAlJHYRVp/xFi02GIUe0JV7VAmqsClBNd0p8zmofxm1X3RDjy1DhMJ9UWqCYGtPKtrpx4dv9aCmikuQyZAWqHEniI9/7UYhcEACVHQe8nqo2pbKe32QfzpZSEjMATIk7zHvPYKjvuaNqTIWKQVJIWnzi/noqQy8lR6JB103do3V5SSxwnu1ZWGeeNUtjPBJSa9FyTFP4q57BSMO0SYGp95sPaRXmSxqOVxXU9zW3w6k+llhsqII3z7wKnqeAHE1YbRwqEYVpQAzEgg6GFAqIP3ao315Uk+it0OHXNs8Z57VJDrZzZ/sgH2wffSCKNikkrGUkFBBjd9YK6wCJpxQq65EW9yCsU0U1Ji1JQiajQWMosas2sUCm9jUcYffQW66rQsqZMYxV4qY47aqxgRUpRqkZMjKKsk4Z6bGpEVWMqgzVhNXhK0TkqFkHdr7D1GmFEpIkQkmOw7vNTzK5pTiQoFKhu/simZ2L6lftlPRT2n2gf0o2erM2OIkf09kVEx7C0QCSUTa/5UzgwtUoSqE6qj0ees91I1aU4cyRicKhwqlItAziygd8EUVLS0EjKNBRQ8MXu0c7xrkUKm5k/wB8KWyjpADef9on3xTqkxFO7KbzPtDjn937V5mH7U7f1bPd4l1ipfVKzTcrIAZQNAFHzQkD86wuMxWZVtBp/WthyyxAStE6Jb04lTjhgeaKxLrpUZsOAGgr0ZyqKR4uKPmXPJzarbCypzSAdJnKqSnzi3nqftRgIWQkhSD0kKFwpChKTPZHtqr2Lg0LSta9EQrzBQzfdk+arnbmBDGVCDLREtE3IBuUz1G/+qurkJJrVsVjSJBpbLdGG0p9umjFCtnqk2FPK2LiS1zwYc5qJz5TEeMOI6xap2wGW1vIDwJQJOUfXI0R2Hf1A1vMbyhWq4YMaCbARwHCvD7V7VlwuRY8cNTq3fKvr4G7hODeZam6XI5K2uKebcmp3KdKedzpbKAsSbdBRm5QYgjSY31XMk+avS4fN32OOSqtGXPj7uTjzodNSWnwBEVFVXgNaYshVk1C71Lz3mN1VoeiMwI4mJHsqeh1JAKVA+f8qsnZOSa3IO1HAWwN4Onm1qv2YuHB1yP784FS9tRAIIzDUb+2qlLsKCuBB9BqEtpGvHvCjQO9dFVr21SrooQBPHpH+nsrymeRdDkcbS3PHk61P5Ns/wDMsz5NRPVK8tQ39KsOTwlxX2WQPT0vzrzOF/2+vf8AsexxzrHX10/cj8sm8z5UtRAS20kAAa82mfbNZU1rNvltzFO86FZQtaRBiIJCVRHUJqidwInoKBHXb21plNXsedBNRH9krUkLUBKQOmOKVWqzG0lKYDDqTKB0VcCPeCKb2UCyQl1OTODCjEKFiDOhgj21ttg8k28YPlDiylrLoiMy1CxgmQEgC540uXi8eDE8mV0kR0Snk0pFPyI5PjFL+kJSyg/SKFiTubSeJ47h5q022+TuDKYZytKE5YUpeaNygSfSIpbHJYoXzWGVLajK0uLu3a7kpHSERYjWpm0+T7aVDmhKBZeaAY4oUZEzGoNfKcZ2tly5lkxZdMfurr11L5quh6+DhMUY6ckW35/wyt5GcnWVNOrxjYN8rYKiPAJClAgi0iJ3xVvtBvDuYY4NOUIIISEkqy5pOYlRvc8eqo7PJpYWgLyfJtUkuqLgSROUAJhXS32sd9NDYROIW2llS2wlKkKSoJJUVEBJUZ4TaLAkmky8RxOfM88cnLfSntXltf8AI2PFw8I6Gnvtf8lptnY+DUlKXSXSlMBTjqpFgDEEXt6aq9jbJwGHQsqyOrKrKdAICdwSnQ9Zin2eTv0a+fyB7N0QlanBlgakgX1sCe2peyuTzd1ONWyTzhOVJKj0QEapMSbyQCL1ljPPGDistRfOuS+Gy/LmUccD3cW2uvn8eZiOVeAw93cOoC/TQLC5iUDd2Vmm9YrqDPJPnkOJdLeXMebWCoqQn6sNiAVds7+ysrt7kepiFtKK0WmQErB4xNx119F2X2jjglgzZLl5N72vLf50/I87i+H1S14o0vP3+4pHsKQB0jB6/wA6X80tqSCJBjUGrnmMO01mxC1LIvlTA7EjeTXmAdZSnnXRCNQiZsdElWp4ddfQ97A8148tKjLY/ZmROcKJ4yOuJFVZrYbexBfDiiIkWGgSE6JA3RFYnPSZNmi2GWpOzU8msMgKbWfGlW8nKZygdcQBvkV5T3I7ENpBW4ei2SeJJIsAN+8+aiiTuicrtlRjBV7hcM5hVOrW2VJSellOYBKEAk5hIIE3vx4GqhbRJT2j2mr7k8yVKWkqMB6CCTGUuICgROhAvxArBgjKvs/Wx6nFzvn9blbtHYbyiXEtOkrUVHMkp8JUAAm0TbXrqAxsjEKUUpYczAAkRpmTmSDwJAsONuNRsdjHFaLcTYApDi8nRgABM9EdEW0ECk7NZxLq/o1OlXRzELXMJBCZMyYBIHAEiouUtW/MnW2xYnZuKdQlBaJQSMplJSM2igoE5Tcds79K1PJpx7I1h8Ql1pCEwXB4CUgEjMIkGbHWDPXVZh9hYlVlKd1m616zM3Os3njV3gdjvJjNKkhJSQVHpTvIJgkABPYI3UnE8J38VrV1udx5njf2XRMRiHGlLba5zKekFhBJVAB3wUgAg79TwpD+J5spdWtxxAAWqQUgTlsqY1KkiBOvVNRMZsbFGcqlxmz5ecgqsApBIuQoJSIJgRUd/YS1SkOupTcKBZdKSOdygpE6ZIVB4a3hPnT7JxbvS9y647J1RoMdt3EnwkBBzJQJAN1mEjOOiPSIijA7YxKCRzSi4rKZJAssAAEZjeZB0jKoHwTWZHJ1wjKp5xQLiSsrS4DlJOZcKVcpTEDUlUDjSGuTz/OJJxDyZyysIeKgIWtRXCs/hE9pdJ40i7Jw7pJh42dVtXuNAva2IWlKoGVYlISNZWEXg2AURc2166lq27icqUZAmEgmUqMcd1t8zwvWXZ2ATkKH1iRfIh0gJtA6CulCioxpInWhrYDyErzKeVmSixSvpE3dTdRAImM2hvZQrnonBXJ1+g3jp+aXwLP5+dKikrINwSE3AkiAJtJBFwPNUd/GZgqHliU9FakqIukHKEi5N4vlG6ak4Pkw4SCpOZIKpMkklWpAO6bm9zenVckFK3dERdV1GNIv1D0Cpx7KppKvfRR8c/6owxZyIAQytSiJWtcAABOaAN1t547zUvBbLxLuV5xEspKsuQhSczalo3bgUKvp4PGrva+xmWEK5x3IooISIXmNoECLjQVjsCh0A5lrIUOkCpWVQOaUkT0gcypnXMeNe9heVzptfkmYMqjob3NI/hXASlTaxITqlQP0pyosRvJAHXWUPJ7Ff+3c36gCADBmT0fPWjKVHpFSiTBOYlUwrOMwVOYZiVQZEk8TWXxuNeKlhTzpzFWYc4uFZlKJkTBBKlGPtHjW7L3u10YsGneiTycf/iDXMjo+exPqk0UxyeXD6R40ovuzDX0xRV4P7IZNpGmwbUrSCNTH504w9zGKcQdFOKBjWF3t6akNtxJTwzJ7UmR7oqLyqZHPhQ+uhCgd06QfQL/2IzwzwKmt1/Rd5o5ZexlPtjAFKyU6K6Sd1iTI8xkeapnJoBJUhSsjiwMigSDbVII0OnbUhlQxDWTR1JtO86R57DtqjxWFWBJBGXzRf33qeTFGcdSDHNxdM0OB5SYttBbLgiYJXdSJ3gkzl9MVb4Hl2sBKChKlhOVWYm60kiQoWIIg+c1lG8Y44iXCFHxiBmgaAqGvnmkqKNSL9XGpx4XJpuyrywvdGy75iEHK9hVpVvylKhHFOaJr3Fd0hGrTAUneSq8dgHRPbWCxrueM4kjfeY4U3hWkA5gVA8IF+qeFI8WaL5WdTxM3zfdUY+vhFf6VpPvAp1jurMafJFAdS0+7LWAc2UlYlux3p4dnV/fWWcHs1w5kRE6mLxfQ7hx4xUpOcXpaHjCDVo3OL7rQvzGEA63FT91IH+6oKe6XjVwAhoSTojh2ms83sxKEKBElUDsgg/lUzDogiNwgdQvb2n01oxcLlmrexGefFDbmapHL9eS7Tili3hJSmdwBSkEnqjz1Rf8AEG0itQLqk5plOVJyTuSVAkR21MwaVCMgMxFhJvrHCnU4RSR0oT/MQn2EzVV2dKT3kZ3x6+7EhtYe+dwl1ZAJKyVdKDe5vE2ngKg4hyST11eJYSbZ0+YKP5RUF7BIBMrV5kCP91ehi4PQqijN305u5iWHApI4ix/rWSxqemr+ZXvNbJllCR4Sr/ZHxVW4vZgVJBF1E3ka7t9Nk4XI1yO4p6WzKpWUqBGoII7QZFFbLB7FacIQcgSASVmJgXJnjRWVwlHZo1aostMVgHsOrK62pB+0CAew6HzVFxrIdCZMFIgW3cK7862lQyqAUDqCAR6DVHjeR2DcvzWQ8UEp9gt7KrHtbHkVZofAg+HfOLOIOYFcyPC4jQjgrfUw4grQULADkWKtFcJP5/8AmumYjuctH+G+tP8AMlKvdlqA53OXPqvoPahQ9xNdWTg3vGbXvTBxy9LOW7EcLOIHOJsZQoECBm0IGmseapG1dnICituQkmQm1jBsDwm/YK6C53OHzqtg9pX8FLT3On4grYjh0z/9a4/D1tkX6ivvr5HJVMk0Jw9dfa7mZ+s60Oxsq95FWOG7nTKfCdJ/lQlPvzUrzcOvv/o/kNWV+Rx1hhVsszuiZ9lWycO8sDMMo3kwies8a7DhuR+FTqFq/mWR7ExVphtlMN3Qy2k8con0m9SlxmBck3+gyx5PN0cWwvJ5awIS65/0m1KHrkBNXGE5F4o+BhUo+084kn1Qbeiuu0Uj7Skv9Yr87fyOrh4+bOat8gcYoQ5iG0DgjMR6AlIqSx3MgPCxJP8AK3HtKzXQaKR9p8T5Ovcl8h1hgZBHIBne86fUH5UpXIDDn/Ee9KPgrW0VHxuf1mN3cehh3O5sydH3R2hB9wFQX+5moTkxKT1KbI9oUfdXRqKpHtLiV979F8hXhh0OOY3kDjW7hCXB/lqB9ioPoFFdjorVHtrOluk/j8xPDxCiiivHNAUUUUAFFFFABVbtLbbTBhZPFUR0Rbibm4sJMHrEz3ZymDBgwYmDGsb+yuMbd2tiJRzSDzbkOfw+ezKVJUCqJJBBGUQd++i0t2K9Tkoxq/a6O0NrCgCkgg3BFwRxBpVc8w2DxOIwymmnFJWh05srikKQXMOqRnB6WVxQN58Gb1fY97HoM9EhTqQA2grMHP8AYOVP8OSrgq4EVywi7VmlorMv4XaJ6SXGwsZ0jemFKZM5IAMZXIm8GJkzUzDt40PArWgtc4qUwmyCX8sGJkAYffvXXRi6ooooAKKKKACiiigAooooAaxDwQJNQztQAZimB2/tS9rjoD+b8jWQxGzS8p5S1LCUpBQM0CdDYK0sTePCFR4qWSOP/Elqb8+SGxKLl9u69hq07WBuEyO39q9+dPsH0/tWCXsxYMJaWQNCFiDxIzKBA81J+bXfIr9ZPx1fG24Jyjv5nlZ+OnDJKMMUmk9nXM3/AM6fYPp/aj50+wfT+1YD5td8iv1k/HR82u+RX6yfjp9vVJekc34Mzf8Azp9g+n9qhpDA0w6ROsAAHTUAX0HorGfNrvkV+sn46Pm13yK/WT8dFL1Q9I5fwZ/A3OFxTbScrbIQngmAO2wp750+wfT+1Y7CYQJSM+GdUZMnMi86AfScPeaG8IAIOGcJAInMi+lz9JMkA9k6Gjb1Wa48RNxT0NfsbH50+wfT+1Hzp9g+n9qwHza75FfrJ+Oj5td8iv1k/HRt6pk9I5vwZm/+dPsH0/tR86fYPp/asB82u+RX6yfjo+bXfIr9ZPx0beqHpHN+DM3/AM6fYPp/aj50+wfT+1YD5td8iv1k/HR82u+RX6yfjo29UPSOb8GZv/nT7B9P7UfOg8Q+n9qwHza75FfrJ+OmNkbKxScQhRStKAoky4CMt7EBZmupJ+Rq4biZ5r1Qca6+Z1Nh4LGYV5UfZI6H+o/lRU5KmbUTFJBEESKjqwDR1Qk9oqTRXLOjHyNvxRR8jb8UU/RXbZykMfI2/FFHyNvxRT9FGphSGPkbfiij5G34op+ijUwpDHyNvxRR8jb8UU/RRqYUhj5G34oo+Rt+KKfoo1MKQx8jb8UUfI2/FFP0UamFIY+Rt+KKPkbfiin6KNTCkMfI2/FFHyNvxRT9FFsKR4kRYUV7RXDp4R5qYRh1DLLyzEzIa6c7lQgRH2YqRRQBGRhlDLLzhgyZDXSFuiqGxbsg31oGGVb6Zzwp0auPEP0enZe+tSaKAIxwyvLOeFOjVh4n8PT29dCsMoz9M4JMiA10RfoiW9O2TYX1qTVFy02mvD4UqbMLUoIB8XNJJHXAPpp8WN5JqC5s43Sss3Wz0vp1pkiP4XQ6kyg6/amvFInN9OoTERzPRiLplG/rnXdXEVnMSVXJ1JuT2k0nKOFe56DXr/p/JDv/AGHcCjX6dVwAP4NiI6Q6GpjfIubC1GT/AD1eDH+Dr4/geF7OquRs7IbWlGXENBakglK+glE7iuTJ13e+kt7HSSkF9gBRInNOU80VgqsISTCJ4nQ1D0Zi3/yP/q/mN3j6HXsn+erwY/wrm/T8DwvZbShKNPp1GAQf4XSmekYRqJ3QLCQbzyB/ZKUIKi8yohIUEpVmJBKRGnhCTbqquyjhVIdjwmrjk/8AP8nHla8juCERl+nUYmZ5npT40IER1R56U2wro/TLVBk2a6fUYQLfywa4blHCup9zg/8AJjqcXHsqHGdmLh8evVe9cq/caGTU6ov04ZVvpnDCpNmukLdEw3p2Qb60fJleWc8KdGtPE/h+D7eupNFeUVIysMq/0zglUizXRF+iJb07ZNtaF4dRzQ84JMiA10epMtm3bJtUmigAFFFFABRRRQAUUUUAFZPul/8ApE/9ZP8AtXWsqBtnZLeKb5p2cuYKGUwQRN585q/DZViyxm+SYslao4pRXT+9/hOLvr/tR3v8Jxd9f9q+g9M4Oj+C+ZDuZHP9iYYOOhJRn3Zc2UEkwJOsCZMUr5ClTqkEhuBMTMElPQkxe9vbvI36eQOFBkKeBGhDkEecCvD3P8Jxe9f9qxPtCD4h5VOVVSXkvbV1ftKaPsaaXPmczcQAEkGcyQo9RkgjXq9tIrp/e/wnF31/2o73+E4u+v8AtWxds4Et1L4L5k+5kcwrqnc8aKcEkkRmWtQ6xIE+w0lnkFg0kEhxUblLMHtAia0zaAkBKQAAIAFgANABWHtDtGHEQUIJ873Hx43F2xVFFFeOWCiiigAooooA5Zt/ut808pthpKkpJGZWYlUGMwAIgHdrbhVb35nfINehfx1z9jZ6sTi0MJUhKnFpQFLOVIJAiT7AN5IG+utYruMMlhttt/K4FFTrqkZi4SAAlIzAISL2vO8mnnNRk4pLY6lsUvfmd8g16F/HUwd1PE+QZ+/8Vc75SbBThMarCJd53IUZlZctykLKYk6AjfUitfCwjkTckhJbG876eJ8gz9/4qO+nifIM/f8AirB0Vq8Pi6C2zed9PE+QZ+/8VHfTxPkGfv8AxVg6KPD4ugWzed9PE+QZ+/8AFR308T5Bn7/xVg6KPD4ugWzed9PE+QZ+/wDFR308T5Bn7/xVg6KPD4ugWzed9PE+QZ+/8VHfTxPkGfv/ABVg6KPD4ugWzed9PE+QZ+/8VY/lzy3xWMUhBVzSEicjSlJCifrKvJgaDSodVOPaK3koTqrKkcJUYHtNZuKwwjC4rzGi9zzB4t+foy4sxp0nLcYvFNvbQdUbuKB0gEp06hXatj8j3Gc0uJClZZ5ppKB0UhIBmZFp3anqiLtXZ2GXh1KeQ3KmytxSQJTCTDpVqASBlOpkC9R8NcaUhe935Gf7lfLhxhfybEKU4ytScilKJLRUY36oMi26CaKwmxtT2CinwcMsmNSseTpicfh1FZISSLadgp3beLxGLWl3ES4tLaGwoi5SiYnibkk7ya65tjuYKU6pWHeQlCiSErCpTJnKCkGRw0qF3rMT5dn8T4a5LHgm3LVzDU0cw2XhCk5iItAHbVnW871mJ8uz+J8NHesxPl2fxPhrTiyYccdKYrtmDored6zE+XZ/E+GjvWYny7P4nw1TxGLqcpmDored6zE+XZ/E+GjvWYny7P4nw0eIxdQpmDored6zE+XZ/E+GjvWYny7P4nw0eIxdQpmDored6zE+XZ/E+GjvWYny7P4nw0eIxdQpmDored6zE+XZ/E+GjvWYny7P4nw0eIxdQpmDqvx+z3Vy6lBUgQkkEEzBV4AObSTMRY8K6Z3rMT5dn8T4ap9u8htp4SF4ZRcCpCwwTmTYiSkgEggkWms/FZoShUX5jRW4nZ/LrajbRbew63UwEyptxDwH8yRNxKc0TJ1kVm9u7Yx+Ls6F5JJDLaClCciubMtpE9FQy9KSNJqwRhNuBQVzWLJBm6DB7fNam/m3bIKiGMSnMtSzlbjpLc5xUWsM94rC80q/gain2fgnG5U42pAMgZgUyUwTAN/rC/XRXSeRPIjGPqTiNpLWEoUChpd1qiLqv0UmEiDcgbqK1YeJjjgo0LJWyaO7bgfIYr1Wv1aUju1YE/4OK9Vr9SuApqWyKy0aHBHeUd2LAn/CxA7Ut/qV6O7DgpjmsR6rf6lcHdN6XhNa5WwOCo7wruuYIGOaxEwPqt7xPlKW13V8GowGsR6rf6lcRxn8VXm/2ipOEOvZU23psO7WqjsT3ddwSVFPNYgkcEtx/wDJSXO6/ggJLWIvp0W/1K4Yo3pzGHpkcLDqAp/YTpHcXO67ggAS1iLgHwW9/wD3K8b7ruCOjWI9Vv8AUri0SG57PbVht1AbxHNIGVCcsJHYDJ4nrNJr3odQVWdc77ODnLzOImY8Fv8AUoxHdYwiPCZxHqtfqVyTaXhMq3qQkqPEyRPsqnxbpUoyZ1poPUrFlFJncUd1zBlJIaxBgTGVuY3/AOJUfv0YHyOJ9Vr9SuJ7PcIMg76Z2imFkDST766udA4qjui+7Lgh/g4n1Wv1KT36MD5HE+q1+pXC8MqZG6mcRrQGlHdj3bcDMcxivVa/VpS+7TgRfmMV6rX6tcEbF6lO+AaDulHbO/jgPIYv1Wf1aK4FRTUjmlH/2Q==</t>
  </si>
  <si>
    <t>Evolution</t>
  </si>
  <si>
    <t>Equipment</t>
  </si>
  <si>
    <t>Opus pearls</t>
  </si>
  <si>
    <t>https://www.reddit.com/media?url=https%3A%2F%2Fpreview.redd.it%2Ffxf48arap1pf1.jpeg%3Fwidth%3D1162%26format%3Dpjpg%26auto%3Dwebp%26s%3Da60cd575c60375547384771875408dcded022134</t>
  </si>
  <si>
    <t>https://www.reddit.com/r/PalmonSurvival/comments/1nf0w8h/xp_guides/</t>
  </si>
  <si>
    <t>https://img.tapimg.net/market/images/6e9ec537a342c1fd05472a1ac831b6da.jpg</t>
  </si>
  <si>
    <t>Equipement Novice</t>
  </si>
  <si>
    <t>Dreadmaw</t>
  </si>
  <si>
    <t>Plunderjaw</t>
  </si>
  <si>
    <t>https://scontent-cdg4-2.xx.fbcdn.net/v/t39.30808-6/649210457_122193691484516338_487581885207006414_n.jpg?_nc_cat=109&amp;ccb=1-7&amp;_nc_sid=13d280&amp;_nc_ohc=wC2lV9slkY0Q7kNvwFsmsEi&amp;_nc_oc=AdoKFb_1lsq4UKznFnmvtUqFji4Fy3cRlYhvboqzO_RsdrIGc0H1ylJ_YUjH-ZC78Mo&amp;_nc_zt=23&amp;_nc_ht=scontent-cdg4-2.xx&amp;_nc_gid=Djk5o2l4ZrQNgbZ5SKGinA&amp;_nc_ss=7a30f&amp;oh=00_AfyKhBvM3HYsSpbWT_gcFpYi9I2AfF0V35uyBreinYCQwQ&amp;oe=69C8204C</t>
  </si>
  <si>
    <t>Ordinaire</t>
  </si>
  <si>
    <t>Rare</t>
  </si>
  <si>
    <t>Epique</t>
  </si>
  <si>
    <t>Epique 1</t>
  </si>
  <si>
    <t>Légendaire</t>
  </si>
  <si>
    <t>Légendaire 1</t>
  </si>
  <si>
    <t>Légendaire 2</t>
  </si>
  <si>
    <t>Mythique</t>
  </si>
  <si>
    <t>Mythique 1</t>
  </si>
  <si>
    <t>Mythique 2</t>
  </si>
  <si>
    <t>Mythique 3</t>
  </si>
  <si>
    <t>Competencies</t>
  </si>
  <si>
    <t>Category</t>
  </si>
  <si>
    <t>Bonus</t>
  </si>
  <si>
    <t>Battle trait</t>
  </si>
  <si>
    <t>Production trait</t>
  </si>
  <si>
    <t>Sub type</t>
  </si>
  <si>
    <t>Ruthless</t>
  </si>
  <si>
    <t>Brutal</t>
  </si>
  <si>
    <t>Mean</t>
  </si>
  <si>
    <t>Crt Rate</t>
  </si>
  <si>
    <t>Blessed</t>
  </si>
  <si>
    <t>Fortunate</t>
  </si>
  <si>
    <t>Favored</t>
  </si>
  <si>
    <t>Lucky</t>
  </si>
  <si>
    <t>Accuracy</t>
  </si>
  <si>
    <t>Deadeye</t>
  </si>
  <si>
    <t>Sharpshooter</t>
  </si>
  <si>
    <t>Crack Shot</t>
  </si>
  <si>
    <t>Gunner</t>
  </si>
  <si>
    <t>Robust</t>
  </si>
  <si>
    <t>Defense</t>
  </si>
  <si>
    <t>Steadfast</t>
  </si>
  <si>
    <t>Rooted</t>
  </si>
  <si>
    <t>Hardy</t>
  </si>
  <si>
    <t>Stubborn</t>
  </si>
  <si>
    <t>Shadow</t>
  </si>
  <si>
    <t>Serene</t>
  </si>
  <si>
    <t>Steady</t>
  </si>
  <si>
    <t>Move Speed</t>
  </si>
  <si>
    <t>Speedy</t>
  </si>
  <si>
    <t>Electric Frenzy</t>
  </si>
  <si>
    <t>Battery Pack (B)</t>
  </si>
  <si>
    <t>E-Conductor (B)</t>
  </si>
  <si>
    <t>Metal Maestro</t>
  </si>
  <si>
    <t>Saw Savant</t>
  </si>
  <si>
    <t>Magicking Output</t>
  </si>
  <si>
    <t>Alchemist</t>
  </si>
  <si>
    <t>Caffinated</t>
  </si>
  <si>
    <t>Heartless</t>
  </si>
  <si>
    <t>Beligerent</t>
  </si>
  <si>
    <t>Crt Damage</t>
  </si>
  <si>
    <t>HP</t>
  </si>
  <si>
    <t>Crt Defense</t>
  </si>
  <si>
    <t>Tenacity</t>
  </si>
  <si>
    <t>Evasion</t>
  </si>
  <si>
    <t>Stun Resist</t>
  </si>
  <si>
    <t>Vigorous</t>
  </si>
  <si>
    <t>Warelike</t>
  </si>
  <si>
    <t>S</t>
  </si>
  <si>
    <t>Combative</t>
  </si>
  <si>
    <t>A</t>
  </si>
  <si>
    <t>B</t>
  </si>
  <si>
    <t>Hostile</t>
  </si>
  <si>
    <t>Unshakeable</t>
  </si>
  <si>
    <t>Diamond Skull</t>
  </si>
  <si>
    <t>Iron Will</t>
  </si>
  <si>
    <t>Steel Skull</t>
  </si>
  <si>
    <t>Unyielding</t>
  </si>
  <si>
    <t>Eluxive</t>
  </si>
  <si>
    <t>Clear Headed</t>
  </si>
  <si>
    <t>Energetic</t>
  </si>
  <si>
    <t>Resolute</t>
  </si>
  <si>
    <t>Iron Skull</t>
  </si>
  <si>
    <t>Slippery</t>
  </si>
  <si>
    <t>Durable</t>
  </si>
  <si>
    <t>Stone Skull</t>
  </si>
  <si>
    <t>Nimble</t>
  </si>
  <si>
    <t>Calm</t>
  </si>
  <si>
    <t>Camp reduction</t>
  </si>
  <si>
    <t>Timer reduction</t>
  </si>
  <si>
    <t>Other</t>
  </si>
  <si>
    <t>Job Efficiency</t>
  </si>
  <si>
    <t>Charging Output</t>
  </si>
  <si>
    <t>Smelting Output</t>
  </si>
  <si>
    <t>Sawing Output</t>
  </si>
  <si>
    <t>Dreamium Output</t>
  </si>
  <si>
    <t>Energy Depletion</t>
  </si>
  <si>
    <t>Food consumption</t>
  </si>
  <si>
    <t>Bed EXP</t>
  </si>
  <si>
    <t>Bed EXP per sec</t>
  </si>
  <si>
    <t>Lightspeed</t>
  </si>
  <si>
    <t>Timber Tycoon</t>
  </si>
  <si>
    <t>Workaholic</t>
  </si>
  <si>
    <t>Industrious</t>
  </si>
  <si>
    <t>Supersonic</t>
  </si>
  <si>
    <t>Forge Fanatic</t>
  </si>
  <si>
    <t>Wood Whiz</t>
  </si>
  <si>
    <t>Light. Affinty (A)</t>
  </si>
  <si>
    <t>Dreamium Hunter</t>
  </si>
  <si>
    <t>Light Eater</t>
  </si>
  <si>
    <t>Temperate</t>
  </si>
  <si>
    <t>Sweet Dreams</t>
  </si>
  <si>
    <t>Comfy</t>
  </si>
  <si>
    <t>exp</t>
  </si>
  <si>
    <t>Engineer</t>
  </si>
  <si>
    <t>Research</t>
  </si>
  <si>
    <t>Prodigy</t>
  </si>
  <si>
    <t>Training</t>
  </si>
  <si>
    <t>Coach</t>
  </si>
  <si>
    <t>Hunger Depletion</t>
  </si>
  <si>
    <t>Diligent</t>
  </si>
  <si>
    <t>Fleet-Footed</t>
  </si>
  <si>
    <t>Below Fellow</t>
  </si>
  <si>
    <t>Efficient</t>
  </si>
  <si>
    <t>Anvil Adept</t>
  </si>
  <si>
    <t>Workshopper</t>
  </si>
  <si>
    <t>Constructon</t>
  </si>
  <si>
    <t>Healing</t>
  </si>
  <si>
    <t>Healing Touch</t>
  </si>
  <si>
    <t>Generous</t>
  </si>
  <si>
    <t>Unit</t>
  </si>
  <si>
    <t>Reward Dismiss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</si>
</sst>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"/>
    <numFmt numFmtId="165" formatCode="mmmm"/>
    <numFmt numFmtId="166" formatCode="dddd"/>
    <numFmt numFmtId="167" formatCode="0.0"/>
  </numFmts>
  <fonts count="1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Webdings"/>
      <family val="1"/>
      <charset val="2"/>
    </font>
    <font>
      <b/>
      <sz val="9"/>
      <color theme="4"/>
      <name val="Aptos Narrow"/>
      <family val="2"/>
      <scheme val="minor"/>
    </font>
    <font>
      <sz val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mediumGray">
        <bgColor theme="0" tint="-0.14999847407452621"/>
      </patternFill>
    </fill>
    <fill>
      <patternFill patternType="solid">
        <fgColor rgb="FFFF00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9">
    <xf numFmtId="0" fontId="0" fillId="0" borderId="0" xfId="0"/>
    <xf numFmtId="0" fontId="1" fillId="0" borderId="0" xfId="0" applyFont="1"/>
    <xf numFmtId="3" fontId="1" fillId="3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3" fontId="1" fillId="0" borderId="0" xfId="0" applyNumberFormat="1" applyFont="1"/>
    <xf numFmtId="3" fontId="1" fillId="4" borderId="1" xfId="0" applyNumberFormat="1" applyFont="1" applyFill="1" applyBorder="1"/>
    <xf numFmtId="0" fontId="1" fillId="0" borderId="1" xfId="0" applyFont="1" applyBorder="1"/>
    <xf numFmtId="3" fontId="1" fillId="3" borderId="1" xfId="0" applyNumberFormat="1" applyFont="1" applyFill="1" applyBorder="1" applyAlignment="1">
      <alignment horizontal="center" vertical="center"/>
    </xf>
    <xf numFmtId="9" fontId="1" fillId="0" borderId="1" xfId="1" applyFont="1" applyFill="1" applyBorder="1"/>
    <xf numFmtId="0" fontId="2" fillId="2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5" borderId="0" xfId="0" applyFont="1" applyFill="1" applyAlignment="1">
      <alignment horizontal="center" vertical="center"/>
    </xf>
    <xf numFmtId="3" fontId="1" fillId="0" borderId="10" xfId="0" applyNumberFormat="1" applyFont="1" applyBorder="1"/>
    <xf numFmtId="0" fontId="2" fillId="0" borderId="11" xfId="0" applyFont="1" applyBorder="1"/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3" fontId="1" fillId="12" borderId="1" xfId="0" applyNumberFormat="1" applyFont="1" applyFill="1" applyBorder="1"/>
    <xf numFmtId="0" fontId="1" fillId="0" borderId="10" xfId="0" applyFont="1" applyBorder="1"/>
    <xf numFmtId="0" fontId="1" fillId="0" borderId="12" xfId="0" applyFont="1" applyBorder="1"/>
    <xf numFmtId="9" fontId="1" fillId="0" borderId="17" xfId="1" applyFont="1" applyFill="1" applyBorder="1"/>
    <xf numFmtId="3" fontId="1" fillId="0" borderId="12" xfId="0" applyNumberFormat="1" applyFont="1" applyBorder="1"/>
    <xf numFmtId="0" fontId="2" fillId="5" borderId="5" xfId="0" applyFont="1" applyFill="1" applyBorder="1"/>
    <xf numFmtId="0" fontId="2" fillId="5" borderId="6" xfId="0" applyFont="1" applyFill="1" applyBorder="1"/>
    <xf numFmtId="0" fontId="1" fillId="14" borderId="1" xfId="0" applyFont="1" applyFill="1" applyBorder="1"/>
    <xf numFmtId="0" fontId="2" fillId="5" borderId="20" xfId="0" applyFont="1" applyFill="1" applyBorder="1"/>
    <xf numFmtId="0" fontId="2" fillId="15" borderId="5" xfId="0" applyFont="1" applyFill="1" applyBorder="1"/>
    <xf numFmtId="0" fontId="2" fillId="15" borderId="16" xfId="0" applyFont="1" applyFill="1" applyBorder="1"/>
    <xf numFmtId="3" fontId="2" fillId="15" borderId="16" xfId="0" applyNumberFormat="1" applyFont="1" applyFill="1" applyBorder="1" applyAlignment="1">
      <alignment horizontal="center" vertical="center"/>
    </xf>
    <xf numFmtId="0" fontId="2" fillId="15" borderId="6" xfId="0" applyFont="1" applyFill="1" applyBorder="1"/>
    <xf numFmtId="0" fontId="2" fillId="0" borderId="9" xfId="0" applyFont="1" applyBorder="1"/>
    <xf numFmtId="0" fontId="1" fillId="0" borderId="27" xfId="0" applyFont="1" applyBorder="1"/>
    <xf numFmtId="0" fontId="1" fillId="0" borderId="27" xfId="0" applyFont="1" applyBorder="1" applyAlignment="1">
      <alignment horizontal="center"/>
    </xf>
    <xf numFmtId="0" fontId="2" fillId="2" borderId="28" xfId="0" applyFont="1" applyFill="1" applyBorder="1"/>
    <xf numFmtId="0" fontId="2" fillId="2" borderId="29" xfId="0" applyFont="1" applyFill="1" applyBorder="1"/>
    <xf numFmtId="0" fontId="1" fillId="0" borderId="30" xfId="0" applyFont="1" applyBorder="1"/>
    <xf numFmtId="0" fontId="2" fillId="2" borderId="28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13" xfId="0" applyFont="1" applyFill="1" applyBorder="1"/>
    <xf numFmtId="0" fontId="1" fillId="0" borderId="43" xfId="0" applyFont="1" applyBorder="1"/>
    <xf numFmtId="0" fontId="1" fillId="0" borderId="35" xfId="0" applyFont="1" applyBorder="1" applyAlignment="1">
      <alignment horizontal="center"/>
    </xf>
    <xf numFmtId="0" fontId="2" fillId="2" borderId="0" xfId="0" applyFont="1" applyFill="1" applyAlignment="1">
      <alignment horizontal="centerContinuous"/>
    </xf>
    <xf numFmtId="0" fontId="2" fillId="2" borderId="38" xfId="0" applyFont="1" applyFill="1" applyBorder="1" applyAlignment="1">
      <alignment horizontal="centerContinuous"/>
    </xf>
    <xf numFmtId="0" fontId="2" fillId="2" borderId="37" xfId="0" applyFont="1" applyFill="1" applyBorder="1"/>
    <xf numFmtId="0" fontId="2" fillId="2" borderId="0" xfId="0" applyFont="1" applyFill="1"/>
    <xf numFmtId="0" fontId="2" fillId="2" borderId="38" xfId="0" applyFont="1" applyFill="1" applyBorder="1"/>
    <xf numFmtId="9" fontId="1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3" fontId="1" fillId="4" borderId="2" xfId="0" applyNumberFormat="1" applyFont="1" applyFill="1" applyBorder="1"/>
    <xf numFmtId="9" fontId="1" fillId="0" borderId="2" xfId="1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3" fontId="1" fillId="0" borderId="6" xfId="0" applyNumberFormat="1" applyFont="1" applyBorder="1"/>
    <xf numFmtId="3" fontId="1" fillId="0" borderId="10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1" fillId="0" borderId="49" xfId="0" applyFont="1" applyBorder="1"/>
    <xf numFmtId="0" fontId="2" fillId="2" borderId="50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1" fillId="0" borderId="17" xfId="0" applyFont="1" applyBorder="1"/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16" borderId="5" xfId="0" applyFont="1" applyFill="1" applyBorder="1"/>
    <xf numFmtId="0" fontId="1" fillId="16" borderId="16" xfId="0" applyFont="1" applyFill="1" applyBorder="1"/>
    <xf numFmtId="0" fontId="1" fillId="16" borderId="6" xfId="0" applyFont="1" applyFill="1" applyBorder="1"/>
    <xf numFmtId="0" fontId="1" fillId="16" borderId="9" xfId="0" applyFont="1" applyFill="1" applyBorder="1"/>
    <xf numFmtId="0" fontId="1" fillId="16" borderId="1" xfId="0" applyFont="1" applyFill="1" applyBorder="1"/>
    <xf numFmtId="0" fontId="1" fillId="16" borderId="1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16" borderId="11" xfId="0" applyFont="1" applyFill="1" applyBorder="1"/>
    <xf numFmtId="0" fontId="1" fillId="16" borderId="17" xfId="0" applyFont="1" applyFill="1" applyBorder="1"/>
    <xf numFmtId="0" fontId="1" fillId="16" borderId="12" xfId="0" applyFont="1" applyFill="1" applyBorder="1"/>
    <xf numFmtId="0" fontId="6" fillId="2" borderId="44" xfId="0" applyFont="1" applyFill="1" applyBorder="1"/>
    <xf numFmtId="0" fontId="6" fillId="2" borderId="32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3" fontId="1" fillId="6" borderId="1" xfId="0" applyNumberFormat="1" applyFont="1" applyFill="1" applyBorder="1"/>
    <xf numFmtId="0" fontId="1" fillId="2" borderId="1" xfId="0" applyFont="1" applyFill="1" applyBorder="1"/>
    <xf numFmtId="3" fontId="1" fillId="4" borderId="24" xfId="0" applyNumberFormat="1" applyFont="1" applyFill="1" applyBorder="1"/>
    <xf numFmtId="3" fontId="1" fillId="6" borderId="24" xfId="0" applyNumberFormat="1" applyFont="1" applyFill="1" applyBorder="1"/>
    <xf numFmtId="0" fontId="1" fillId="8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3" fontId="1" fillId="4" borderId="55" xfId="0" applyNumberFormat="1" applyFont="1" applyFill="1" applyBorder="1"/>
    <xf numFmtId="3" fontId="1" fillId="3" borderId="14" xfId="0" applyNumberFormat="1" applyFont="1" applyFill="1" applyBorder="1" applyAlignment="1">
      <alignment horizontal="center" vertical="center"/>
    </xf>
    <xf numFmtId="3" fontId="1" fillId="3" borderId="56" xfId="0" applyNumberFormat="1" applyFont="1" applyFill="1" applyBorder="1" applyAlignment="1">
      <alignment horizontal="center" vertical="center"/>
    </xf>
    <xf numFmtId="3" fontId="1" fillId="3" borderId="6" xfId="0" applyNumberFormat="1" applyFont="1" applyFill="1" applyBorder="1" applyAlignment="1">
      <alignment horizontal="center" vertical="center"/>
    </xf>
    <xf numFmtId="3" fontId="1" fillId="3" borderId="45" xfId="0" applyNumberFormat="1" applyFont="1" applyFill="1" applyBorder="1" applyAlignment="1">
      <alignment horizontal="center" vertical="center"/>
    </xf>
    <xf numFmtId="3" fontId="1" fillId="3" borderId="57" xfId="0" applyNumberFormat="1" applyFont="1" applyFill="1" applyBorder="1" applyAlignment="1">
      <alignment horizontal="center" vertical="center"/>
    </xf>
    <xf numFmtId="4" fontId="1" fillId="3" borderId="57" xfId="0" applyNumberFormat="1" applyFont="1" applyFill="1" applyBorder="1" applyAlignment="1">
      <alignment horizontal="center" vertical="center"/>
    </xf>
    <xf numFmtId="3" fontId="1" fillId="4" borderId="3" xfId="0" applyNumberFormat="1" applyFont="1" applyFill="1" applyBorder="1"/>
    <xf numFmtId="3" fontId="1" fillId="4" borderId="4" xfId="0" applyNumberFormat="1" applyFont="1" applyFill="1" applyBorder="1"/>
    <xf numFmtId="3" fontId="1" fillId="6" borderId="4" xfId="0" applyNumberFormat="1" applyFont="1" applyFill="1" applyBorder="1"/>
    <xf numFmtId="3" fontId="1" fillId="0" borderId="7" xfId="0" applyNumberFormat="1" applyFont="1" applyBorder="1"/>
    <xf numFmtId="0" fontId="7" fillId="0" borderId="8" xfId="0" applyFont="1" applyBorder="1" applyAlignment="1">
      <alignment horizontal="right"/>
    </xf>
    <xf numFmtId="3" fontId="1" fillId="0" borderId="9" xfId="0" applyNumberFormat="1" applyFont="1" applyBorder="1"/>
    <xf numFmtId="0" fontId="7" fillId="0" borderId="10" xfId="0" applyFont="1" applyBorder="1" applyAlignment="1">
      <alignment horizontal="right"/>
    </xf>
    <xf numFmtId="3" fontId="1" fillId="0" borderId="11" xfId="0" applyNumberFormat="1" applyFont="1" applyBorder="1"/>
    <xf numFmtId="0" fontId="7" fillId="0" borderId="12" xfId="0" applyFont="1" applyBorder="1" applyAlignment="1">
      <alignment horizontal="right"/>
    </xf>
    <xf numFmtId="0" fontId="2" fillId="5" borderId="56" xfId="0" applyFont="1" applyFill="1" applyBorder="1"/>
    <xf numFmtId="0" fontId="2" fillId="5" borderId="49" xfId="0" applyFont="1" applyFill="1" applyBorder="1"/>
    <xf numFmtId="0" fontId="1" fillId="17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15" borderId="56" xfId="0" applyFont="1" applyFill="1" applyBorder="1"/>
    <xf numFmtId="0" fontId="1" fillId="17" borderId="9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8" fillId="5" borderId="6" xfId="0" applyFont="1" applyFill="1" applyBorder="1"/>
    <xf numFmtId="3" fontId="1" fillId="0" borderId="4" xfId="0" applyNumberFormat="1" applyFont="1" applyBorder="1"/>
    <xf numFmtId="3" fontId="1" fillId="0" borderId="57" xfId="0" applyNumberFormat="1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13" borderId="22" xfId="0" applyFont="1" applyFill="1" applyBorder="1" applyAlignment="1">
      <alignment horizontal="center"/>
    </xf>
    <xf numFmtId="3" fontId="1" fillId="3" borderId="49" xfId="0" applyNumberFormat="1" applyFont="1" applyFill="1" applyBorder="1" applyAlignment="1">
      <alignment horizontal="center" vertical="center"/>
    </xf>
    <xf numFmtId="3" fontId="1" fillId="3" borderId="43" xfId="0" applyNumberFormat="1" applyFont="1" applyFill="1" applyBorder="1" applyAlignment="1">
      <alignment horizontal="center" vertical="center"/>
    </xf>
    <xf numFmtId="3" fontId="1" fillId="0" borderId="30" xfId="0" applyNumberFormat="1" applyFont="1" applyBorder="1"/>
    <xf numFmtId="3" fontId="1" fillId="0" borderId="27" xfId="0" applyNumberFormat="1" applyFont="1" applyBorder="1"/>
    <xf numFmtId="3" fontId="1" fillId="0" borderId="31" xfId="0" applyNumberFormat="1" applyFont="1" applyBorder="1"/>
    <xf numFmtId="3" fontId="6" fillId="2" borderId="32" xfId="0" applyNumberFormat="1" applyFont="1" applyFill="1" applyBorder="1"/>
    <xf numFmtId="3" fontId="6" fillId="2" borderId="33" xfId="0" applyNumberFormat="1" applyFont="1" applyFill="1" applyBorder="1"/>
    <xf numFmtId="3" fontId="6" fillId="2" borderId="36" xfId="0" applyNumberFormat="1" applyFont="1" applyFill="1" applyBorder="1"/>
    <xf numFmtId="3" fontId="6" fillId="2" borderId="34" xfId="0" applyNumberFormat="1" applyFont="1" applyFill="1" applyBorder="1"/>
    <xf numFmtId="3" fontId="1" fillId="14" borderId="1" xfId="0" applyNumberFormat="1" applyFont="1" applyFill="1" applyBorder="1"/>
    <xf numFmtId="0" fontId="1" fillId="0" borderId="29" xfId="0" applyFont="1" applyBorder="1"/>
    <xf numFmtId="0" fontId="1" fillId="0" borderId="59" xfId="0" applyFont="1" applyBorder="1"/>
    <xf numFmtId="0" fontId="1" fillId="0" borderId="0" xfId="0" applyFont="1" applyAlignment="1">
      <alignment horizontal="center"/>
    </xf>
    <xf numFmtId="0" fontId="1" fillId="18" borderId="0" xfId="0" applyFont="1" applyFill="1"/>
    <xf numFmtId="0" fontId="9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" fillId="0" borderId="61" xfId="0" applyFont="1" applyBorder="1"/>
    <xf numFmtId="0" fontId="1" fillId="0" borderId="62" xfId="0" applyFont="1" applyBorder="1"/>
    <xf numFmtId="0" fontId="1" fillId="0" borderId="63" xfId="0" applyFont="1" applyBorder="1" applyAlignment="1">
      <alignment horizontal="center"/>
    </xf>
    <xf numFmtId="0" fontId="1" fillId="0" borderId="61" xfId="0" applyFont="1" applyBorder="1"/>
    <xf numFmtId="0" fontId="1" fillId="0" borderId="61" xfId="0" applyFont="1" applyBorder="1" applyAlignment="1">
      <alignment horizontal="center"/>
    </xf>
    <xf numFmtId="0" fontId="1" fillId="13" borderId="64" xfId="0" applyFont="1" applyFill="1" applyBorder="1" applyAlignment="1">
      <alignment horizontal="center"/>
    </xf>
    <xf numFmtId="3" fontId="1" fillId="0" borderId="65" xfId="0" applyNumberFormat="1" applyFont="1" applyBorder="1"/>
    <xf numFmtId="0" fontId="1" fillId="0" borderId="66" xfId="0" applyFont="1" applyBorder="1"/>
    <xf numFmtId="9" fontId="1" fillId="0" borderId="66" xfId="1" applyFont="1" applyFill="1" applyBorder="1"/>
    <xf numFmtId="3" fontId="1" fillId="0" borderId="62" xfId="0" applyNumberFormat="1" applyFont="1" applyBorder="1"/>
    <xf numFmtId="3" fontId="1" fillId="0" borderId="62" xfId="0" applyNumberFormat="1" applyFont="1" applyBorder="1" applyAlignment="1">
      <alignment horizontal="center"/>
    </xf>
    <xf numFmtId="0" fontId="2" fillId="0" borderId="67" xfId="0" applyFont="1" applyBorder="1"/>
    <xf numFmtId="0" fontId="1" fillId="0" borderId="68" xfId="0" applyFont="1" applyBorder="1"/>
    <xf numFmtId="0" fontId="1" fillId="0" borderId="6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13" borderId="70" xfId="0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3" fontId="1" fillId="0" borderId="8" xfId="0" applyNumberFormat="1" applyFont="1" applyBorder="1"/>
    <xf numFmtId="3" fontId="1" fillId="0" borderId="8" xfId="0" applyNumberFormat="1" applyFont="1" applyBorder="1" applyAlignment="1">
      <alignment horizontal="center"/>
    </xf>
    <xf numFmtId="0" fontId="1" fillId="0" borderId="7" xfId="0" applyFont="1" applyBorder="1"/>
    <xf numFmtId="0" fontId="2" fillId="0" borderId="5" xfId="0" applyFont="1" applyBorder="1"/>
    <xf numFmtId="0" fontId="1" fillId="0" borderId="6" xfId="0" applyFont="1" applyBorder="1"/>
    <xf numFmtId="0" fontId="1" fillId="0" borderId="49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3" fontId="1" fillId="0" borderId="56" xfId="0" applyNumberFormat="1" applyFont="1" applyBorder="1"/>
    <xf numFmtId="0" fontId="1" fillId="0" borderId="16" xfId="0" applyFont="1" applyBorder="1"/>
    <xf numFmtId="9" fontId="1" fillId="0" borderId="16" xfId="1" applyFont="1" applyFill="1" applyBorder="1"/>
    <xf numFmtId="3" fontId="1" fillId="0" borderId="6" xfId="0" applyNumberFormat="1" applyFont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165" fontId="1" fillId="0" borderId="0" xfId="0" applyNumberFormat="1" applyFont="1"/>
    <xf numFmtId="14" fontId="1" fillId="0" borderId="0" xfId="0" applyNumberFormat="1" applyFont="1"/>
    <xf numFmtId="0" fontId="1" fillId="9" borderId="0" xfId="0" applyFont="1" applyFill="1"/>
    <xf numFmtId="0" fontId="10" fillId="4" borderId="1" xfId="0" applyFont="1" applyFill="1" applyBorder="1"/>
    <xf numFmtId="14" fontId="1" fillId="0" borderId="1" xfId="0" applyNumberFormat="1" applyFont="1" applyBorder="1"/>
    <xf numFmtId="166" fontId="1" fillId="0" borderId="1" xfId="0" applyNumberFormat="1" applyFont="1" applyBorder="1"/>
    <xf numFmtId="166" fontId="1" fillId="0" borderId="0" xfId="0" applyNumberFormat="1" applyFont="1"/>
    <xf numFmtId="0" fontId="6" fillId="2" borderId="71" xfId="0" applyFont="1" applyFill="1" applyBorder="1" applyAlignment="1">
      <alignment vertical="center"/>
    </xf>
    <xf numFmtId="3" fontId="1" fillId="0" borderId="30" xfId="0" applyNumberFormat="1" applyFont="1" applyBorder="1" applyAlignment="1">
      <alignment horizontal="center"/>
    </xf>
    <xf numFmtId="0" fontId="6" fillId="2" borderId="71" xfId="0" applyFont="1" applyFill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6" fillId="2" borderId="73" xfId="0" applyFont="1" applyFill="1" applyBorder="1" applyAlignment="1">
      <alignment horizontal="center"/>
    </xf>
    <xf numFmtId="3" fontId="6" fillId="2" borderId="72" xfId="0" applyNumberFormat="1" applyFont="1" applyFill="1" applyBorder="1" applyAlignment="1">
      <alignment horizontal="center"/>
    </xf>
    <xf numFmtId="167" fontId="1" fillId="0" borderId="9" xfId="0" applyNumberFormat="1" applyFont="1" applyBorder="1"/>
    <xf numFmtId="167" fontId="1" fillId="0" borderId="61" xfId="0" applyNumberFormat="1" applyFont="1" applyBorder="1"/>
    <xf numFmtId="167" fontId="1" fillId="0" borderId="5" xfId="0" applyNumberFormat="1" applyFont="1" applyBorder="1"/>
    <xf numFmtId="167" fontId="1" fillId="0" borderId="11" xfId="0" applyNumberFormat="1" applyFont="1" applyBorder="1"/>
    <xf numFmtId="3" fontId="1" fillId="0" borderId="61" xfId="0" applyNumberFormat="1" applyFont="1" applyBorder="1"/>
    <xf numFmtId="3" fontId="1" fillId="0" borderId="5" xfId="0" applyNumberFormat="1" applyFont="1" applyBorder="1"/>
    <xf numFmtId="0" fontId="1" fillId="3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right"/>
    </xf>
    <xf numFmtId="3" fontId="2" fillId="0" borderId="10" xfId="0" applyNumberFormat="1" applyFont="1" applyBorder="1"/>
    <xf numFmtId="0" fontId="3" fillId="3" borderId="11" xfId="0" quotePrefix="1" applyFont="1" applyFill="1" applyBorder="1" applyAlignment="1">
      <alignment horizontal="center"/>
    </xf>
    <xf numFmtId="3" fontId="3" fillId="0" borderId="12" xfId="0" applyNumberFormat="1" applyFont="1" applyBorder="1"/>
    <xf numFmtId="0" fontId="1" fillId="3" borderId="7" xfId="0" applyFont="1" applyFill="1" applyBorder="1" applyAlignment="1">
      <alignment horizontal="right"/>
    </xf>
    <xf numFmtId="0" fontId="1" fillId="4" borderId="8" xfId="0" applyFont="1" applyFill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2" fillId="5" borderId="18" xfId="0" applyFont="1" applyFill="1" applyBorder="1"/>
    <xf numFmtId="0" fontId="2" fillId="5" borderId="75" xfId="0" applyFont="1" applyFill="1" applyBorder="1"/>
    <xf numFmtId="0" fontId="2" fillId="5" borderId="19" xfId="0" applyFont="1" applyFill="1" applyBorder="1"/>
    <xf numFmtId="0" fontId="1" fillId="0" borderId="14" xfId="0" applyFont="1" applyBorder="1"/>
    <xf numFmtId="0" fontId="1" fillId="0" borderId="76" xfId="0" applyFont="1" applyBorder="1"/>
    <xf numFmtId="0" fontId="6" fillId="2" borderId="45" xfId="0" applyFont="1" applyFill="1" applyBorder="1"/>
    <xf numFmtId="0" fontId="2" fillId="5" borderId="18" xfId="0" applyFont="1" applyFill="1" applyBorder="1" applyAlignment="1">
      <alignment horizontal="center"/>
    </xf>
    <xf numFmtId="0" fontId="2" fillId="5" borderId="75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0" borderId="12" xfId="0" applyNumberFormat="1" applyFont="1" applyBorder="1"/>
    <xf numFmtId="3" fontId="1" fillId="3" borderId="9" xfId="0" applyNumberFormat="1" applyFont="1" applyFill="1" applyBorder="1" applyAlignment="1">
      <alignment horizontal="center" vertical="center"/>
    </xf>
    <xf numFmtId="0" fontId="1" fillId="0" borderId="38" xfId="0" applyFont="1" applyBorder="1"/>
    <xf numFmtId="0" fontId="1" fillId="13" borderId="13" xfId="0" applyFont="1" applyFill="1" applyBorder="1" applyAlignment="1">
      <alignment horizontal="center"/>
    </xf>
    <xf numFmtId="3" fontId="1" fillId="3" borderId="11" xfId="0" applyNumberFormat="1" applyFont="1" applyFill="1" applyBorder="1" applyAlignment="1">
      <alignment horizontal="center" vertical="center"/>
    </xf>
    <xf numFmtId="3" fontId="1" fillId="0" borderId="17" xfId="0" applyNumberFormat="1" applyFont="1" applyBorder="1"/>
    <xf numFmtId="0" fontId="5" fillId="2" borderId="12" xfId="0" applyFont="1" applyFill="1" applyBorder="1" applyAlignment="1">
      <alignment horizontal="center" vertical="center"/>
    </xf>
    <xf numFmtId="3" fontId="2" fillId="0" borderId="18" xfId="0" applyNumberFormat="1" applyFont="1" applyBorder="1"/>
    <xf numFmtId="3" fontId="2" fillId="0" borderId="75" xfId="0" applyNumberFormat="1" applyFont="1" applyBorder="1"/>
    <xf numFmtId="9" fontId="2" fillId="0" borderId="19" xfId="1" applyFont="1" applyFill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1" fillId="3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9" fontId="1" fillId="0" borderId="10" xfId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/>
    <xf numFmtId="3" fontId="1" fillId="3" borderId="9" xfId="0" applyNumberFormat="1" applyFont="1" applyFill="1" applyBorder="1" applyAlignment="1">
      <alignment horizontal="left" vertical="center"/>
    </xf>
    <xf numFmtId="164" fontId="1" fillId="0" borderId="1" xfId="0" applyNumberFormat="1" applyFont="1" applyBorder="1"/>
    <xf numFmtId="0" fontId="1" fillId="2" borderId="55" xfId="0" applyFont="1" applyFill="1" applyBorder="1" applyAlignment="1">
      <alignment horizontal="center" vertical="center"/>
    </xf>
    <xf numFmtId="3" fontId="1" fillId="3" borderId="24" xfId="0" applyNumberFormat="1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/>
    </xf>
    <xf numFmtId="3" fontId="1" fillId="3" borderId="24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/>
    </xf>
    <xf numFmtId="0" fontId="2" fillId="2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6" fillId="2" borderId="52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/>
    </xf>
    <xf numFmtId="0" fontId="6" fillId="2" borderId="6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left"/>
    </xf>
    <xf numFmtId="0" fontId="5" fillId="2" borderId="23" xfId="0" applyFont="1" applyFill="1" applyBorder="1" applyAlignment="1">
      <alignment horizontal="left"/>
    </xf>
    <xf numFmtId="3" fontId="2" fillId="3" borderId="18" xfId="0" applyNumberFormat="1" applyFont="1" applyFill="1" applyBorder="1" applyAlignment="1">
      <alignment horizontal="center" vertical="center"/>
    </xf>
    <xf numFmtId="3" fontId="2" fillId="3" borderId="19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52" xfId="0" applyFont="1" applyFill="1" applyBorder="1" applyAlignment="1">
      <alignment horizontal="center"/>
    </xf>
    <xf numFmtId="0" fontId="6" fillId="2" borderId="53" xfId="0" applyFont="1" applyFill="1" applyBorder="1" applyAlignment="1">
      <alignment horizontal="center"/>
    </xf>
    <xf numFmtId="0" fontId="6" fillId="2" borderId="54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80"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bottom style="thin">
          <color auto="1"/>
        </bottom>
      </border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ill>
        <patternFill patternType="mediumGray"/>
      </fill>
    </dxf>
    <dxf>
      <fill>
        <patternFill patternType="mediumGray"/>
      </fill>
    </dxf>
    <dxf>
      <font>
        <color theme="3" tint="0.24994659260841701"/>
      </font>
    </dxf>
    <dxf>
      <font>
        <color rgb="FFC00000"/>
      </font>
    </dxf>
    <dxf>
      <font>
        <color theme="0"/>
      </font>
      <fill>
        <patternFill>
          <bgColor rgb="FFCC66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b/>
        <i val="0"/>
        <color auto="1"/>
      </font>
      <fill>
        <patternFill>
          <bgColor rgb="FF0070C0"/>
        </patternFill>
      </fill>
    </dxf>
  </dxfs>
  <tableStyles count="1" defaultTableStyle="TableStyleMedium2" defaultPivotStyle="PivotStyleLight16">
    <tableStyle name="Style de tableau croisé dynamique 1" table="0" count="2" xr9:uid="{C717BE10-6044-420F-AE60-BEFD6B8D6B9A}">
      <tableStyleElement type="pageFieldLabels" dxfId="79"/>
      <tableStyleElement type="pageFieldValues" dxfId="78"/>
    </tableStyle>
  </tableStyles>
  <colors>
    <mruColors>
      <color rgb="FFFF0000"/>
      <color rgb="FF008000"/>
      <color rgb="FFF6640A"/>
      <color rgb="FFFFFF00"/>
      <color rgb="FF33CC33"/>
      <color rgb="FFCC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0/07/relationships/rdRichValueWebImage" Target="richData/rdRichValueWebImage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Tableaux!$H$1</c:f>
          <c:strCache>
            <c:ptCount val="1"/>
            <c:pt idx="0">
              <c:v>Competency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Tableaux!$I$2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Tableaux!$H$3:$H$32</c:f>
              <c:numCache>
                <c:formatCode>#,##0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Tableaux!$I$3:$I$32</c:f>
              <c:numCache>
                <c:formatCode>#,##0</c:formatCode>
                <c:ptCount val="3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600</c:v>
                </c:pt>
                <c:pt idx="6">
                  <c:v>800</c:v>
                </c:pt>
                <c:pt idx="7">
                  <c:v>1000</c:v>
                </c:pt>
                <c:pt idx="8" formatCode="General">
                  <c:v>1200</c:v>
                </c:pt>
                <c:pt idx="9">
                  <c:v>1400</c:v>
                </c:pt>
                <c:pt idx="10">
                  <c:v>1700</c:v>
                </c:pt>
                <c:pt idx="11">
                  <c:v>2000</c:v>
                </c:pt>
                <c:pt idx="12">
                  <c:v>2300</c:v>
                </c:pt>
                <c:pt idx="13">
                  <c:v>2600</c:v>
                </c:pt>
                <c:pt idx="14">
                  <c:v>2900</c:v>
                </c:pt>
                <c:pt idx="15">
                  <c:v>3200</c:v>
                </c:pt>
                <c:pt idx="16">
                  <c:v>3500</c:v>
                </c:pt>
                <c:pt idx="17">
                  <c:v>3800</c:v>
                </c:pt>
                <c:pt idx="18">
                  <c:v>4100</c:v>
                </c:pt>
                <c:pt idx="19">
                  <c:v>4400</c:v>
                </c:pt>
                <c:pt idx="20">
                  <c:v>4700</c:v>
                </c:pt>
                <c:pt idx="21">
                  <c:v>5000</c:v>
                </c:pt>
                <c:pt idx="22">
                  <c:v>5500</c:v>
                </c:pt>
                <c:pt idx="23">
                  <c:v>6000</c:v>
                </c:pt>
                <c:pt idx="24">
                  <c:v>6500</c:v>
                </c:pt>
                <c:pt idx="25">
                  <c:v>7000</c:v>
                </c:pt>
                <c:pt idx="26">
                  <c:v>7500</c:v>
                </c:pt>
                <c:pt idx="27">
                  <c:v>8000</c:v>
                </c:pt>
                <c:pt idx="28">
                  <c:v>8500</c:v>
                </c:pt>
                <c:pt idx="29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E-406E-9FF8-13D757BFE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088863"/>
        <c:axId val="1069089823"/>
      </c:barChart>
      <c:catAx>
        <c:axId val="1069088863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089823"/>
        <c:crosses val="autoZero"/>
        <c:auto val="1"/>
        <c:lblAlgn val="ctr"/>
        <c:lblOffset val="100"/>
        <c:noMultiLvlLbl val="0"/>
      </c:catAx>
      <c:valAx>
        <c:axId val="10690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08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F$149" fmlaRange="PalmonNamesSorted" noThreeD="1" sel="10" val="0"/>
</file>

<file path=xl/ctrlProps/ctrlProp2.xml><?xml version="1.0" encoding="utf-8"?>
<formControlPr xmlns="http://schemas.microsoft.com/office/spreadsheetml/2009/9/main" objectType="Spin" dx="22" fmlaLink="$C$50" max="30" min="1" page="10" val="28"/>
</file>

<file path=xl/ctrlProps/ctrlProp3.xml><?xml version="1.0" encoding="utf-8"?>
<formControlPr xmlns="http://schemas.microsoft.com/office/spreadsheetml/2009/9/main" objectType="Drop" dropStyle="combo" dx="22" fmlaLink="$C$28" fmlaRange="$O$4:$O$13" sel="2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146</xdr:row>
          <xdr:rowOff>114300</xdr:rowOff>
        </xdr:from>
        <xdr:to>
          <xdr:col>10</xdr:col>
          <xdr:colOff>323850</xdr:colOff>
          <xdr:row>149</xdr:row>
          <xdr:rowOff>9525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28575</xdr:colOff>
          <xdr:row>48</xdr:row>
          <xdr:rowOff>66675</xdr:rowOff>
        </xdr:from>
        <xdr:to>
          <xdr:col>3</xdr:col>
          <xdr:colOff>190500</xdr:colOff>
          <xdr:row>50</xdr:row>
          <xdr:rowOff>76200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32</xdr:row>
      <xdr:rowOff>123830</xdr:rowOff>
    </xdr:from>
    <xdr:to>
      <xdr:col>12</xdr:col>
      <xdr:colOff>28575</xdr:colOff>
      <xdr:row>51</xdr:row>
      <xdr:rowOff>9524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098EFB-BA04-0DDC-2BA2-2F20D5B43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676275</xdr:colOff>
      <xdr:row>5</xdr:row>
      <xdr:rowOff>19050</xdr:rowOff>
    </xdr:from>
    <xdr:to>
      <xdr:col>27</xdr:col>
      <xdr:colOff>542925</xdr:colOff>
      <xdr:row>16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2F6A31-C4F2-601A-2CC0-61E7C7A88D52}"/>
            </a:ext>
          </a:extLst>
        </xdr:cNvPr>
        <xdr:cNvSpPr/>
      </xdr:nvSpPr>
      <xdr:spPr>
        <a:xfrm>
          <a:off x="19326225" y="781050"/>
          <a:ext cx="2124075" cy="167640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1323975</xdr:colOff>
          <xdr:row>26</xdr:row>
          <xdr:rowOff>114300</xdr:rowOff>
        </xdr:from>
        <xdr:to>
          <xdr:col>3</xdr:col>
          <xdr:colOff>9525</xdr:colOff>
          <xdr:row>28</xdr:row>
          <xdr:rowOff>38100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8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encrypted-tbn0.gstatic.com/images?q=tbn:ANd9GcTrE4qGrnpy2BMETqUKNyATj-OrXMdX4IeXcQ&amp;s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  <v>Glacewing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B74B-9FF0-4207-9899-68A047ECE06D}">
  <sheetPr codeName="Feuil2"/>
  <dimension ref="A1:AQ149"/>
  <sheetViews>
    <sheetView tabSelected="1" workbookViewId="0">
      <selection activeCell="H39" sqref="H39"/>
    </sheetView>
  </sheetViews>
  <sheetFormatPr baseColWidth="10" defaultRowHeight="12" customHeight="1" outlineLevelCol="1" x14ac:dyDescent="0.2"/>
  <cols>
    <col min="1" max="1" width="2.85546875" style="1" customWidth="1"/>
    <col min="2" max="2" width="12.5703125" style="1" bestFit="1" customWidth="1"/>
    <col min="3" max="3" width="11.42578125" style="1" customWidth="1"/>
    <col min="4" max="6" width="11.42578125" style="1" customWidth="1" outlineLevel="1"/>
    <col min="7" max="14" width="6.28515625" style="1" customWidth="1" outlineLevel="1"/>
    <col min="15" max="15" width="1.28515625" style="1" customWidth="1"/>
    <col min="16" max="17" width="11.42578125" style="1" hidden="1" customWidth="1" outlineLevel="1"/>
    <col min="18" max="18" width="8" style="1" hidden="1" customWidth="1" outlineLevel="1"/>
    <col min="19" max="20" width="5.7109375" style="1" hidden="1" customWidth="1" outlineLevel="1"/>
    <col min="21" max="21" width="10.28515625" style="1" hidden="1" customWidth="1" outlineLevel="1"/>
    <col min="22" max="22" width="5.7109375" style="1" hidden="1" customWidth="1" outlineLevel="1"/>
    <col min="23" max="23" width="1.42578125" style="1" customWidth="1" collapsed="1"/>
    <col min="24" max="24" width="13" style="1" hidden="1" customWidth="1" outlineLevel="1"/>
    <col min="25" max="25" width="11.5703125" style="1" hidden="1" customWidth="1" outlineLevel="1"/>
    <col min="26" max="26" width="0.85546875" style="1" hidden="1" customWidth="1" outlineLevel="1"/>
    <col min="27" max="28" width="6.28515625" style="1" hidden="1" customWidth="1" outlineLevel="1"/>
    <col min="29" max="29" width="12.5703125" style="1" hidden="1" customWidth="1" outlineLevel="1"/>
    <col min="30" max="30" width="0.85546875" style="1" customWidth="1" collapsed="1"/>
    <col min="31" max="33" width="11.42578125" style="1"/>
    <col min="34" max="34" width="0.85546875" style="1" customWidth="1"/>
    <col min="35" max="16384" width="11.42578125" style="1"/>
  </cols>
  <sheetData>
    <row r="1" spans="1:37" ht="12" customHeight="1" thickBot="1" x14ac:dyDescent="0.25">
      <c r="B1" s="266" t="s">
        <v>107</v>
      </c>
      <c r="C1" s="267"/>
      <c r="D1" s="267"/>
      <c r="E1" s="267"/>
      <c r="F1" s="267"/>
      <c r="G1" s="267"/>
      <c r="H1" s="267"/>
      <c r="I1" s="268"/>
      <c r="J1" s="263" t="s">
        <v>89</v>
      </c>
      <c r="K1" s="264"/>
      <c r="L1" s="264"/>
      <c r="M1" s="264"/>
      <c r="N1" s="265"/>
      <c r="P1" s="271" t="s">
        <v>17</v>
      </c>
      <c r="Q1" s="272"/>
      <c r="R1" s="272"/>
      <c r="S1" s="272"/>
      <c r="T1" s="272"/>
      <c r="U1" s="272"/>
      <c r="V1" s="273"/>
      <c r="X1" s="269" t="s">
        <v>79</v>
      </c>
      <c r="Y1" s="270"/>
      <c r="AA1" s="261" t="s">
        <v>93</v>
      </c>
      <c r="AB1" s="261"/>
      <c r="AC1" s="262"/>
      <c r="AE1" s="254" t="s">
        <v>143</v>
      </c>
      <c r="AF1" s="255"/>
      <c r="AG1" s="256"/>
      <c r="AI1" s="254" t="s">
        <v>103</v>
      </c>
      <c r="AJ1" s="255"/>
      <c r="AK1" s="256"/>
    </row>
    <row r="2" spans="1:37" ht="12" customHeight="1" thickBot="1" x14ac:dyDescent="0.25">
      <c r="B2" s="23" t="s">
        <v>78</v>
      </c>
      <c r="C2" s="114" t="s">
        <v>31</v>
      </c>
      <c r="D2" s="115" t="s">
        <v>96</v>
      </c>
      <c r="E2" s="23" t="s">
        <v>79</v>
      </c>
      <c r="F2" s="23" t="s">
        <v>100</v>
      </c>
      <c r="G2" s="26" t="s">
        <v>83</v>
      </c>
      <c r="H2" s="27" t="s">
        <v>17</v>
      </c>
      <c r="I2" s="118" t="s">
        <v>19</v>
      </c>
      <c r="J2" s="119">
        <v>1</v>
      </c>
      <c r="K2" s="116">
        <v>2</v>
      </c>
      <c r="L2" s="116">
        <v>3</v>
      </c>
      <c r="M2" s="116">
        <v>4</v>
      </c>
      <c r="N2" s="120">
        <v>5</v>
      </c>
      <c r="P2" s="29">
        <v>1</v>
      </c>
      <c r="Q2" s="29">
        <v>2</v>
      </c>
      <c r="R2" s="29">
        <v>3</v>
      </c>
      <c r="S2" s="29">
        <v>4</v>
      </c>
      <c r="T2" s="29">
        <v>5</v>
      </c>
      <c r="U2" s="28" t="s">
        <v>22</v>
      </c>
      <c r="V2" s="30" t="s">
        <v>77</v>
      </c>
      <c r="X2" s="24" t="s">
        <v>81</v>
      </c>
      <c r="Y2" s="122" t="s">
        <v>100</v>
      </c>
      <c r="AA2" s="23" t="s">
        <v>140</v>
      </c>
      <c r="AB2" s="23" t="s">
        <v>92</v>
      </c>
      <c r="AC2" s="24" t="s">
        <v>93</v>
      </c>
      <c r="AE2" s="213" t="s">
        <v>144</v>
      </c>
      <c r="AF2" s="214" t="s">
        <v>194</v>
      </c>
      <c r="AG2" s="215"/>
      <c r="AI2" s="219">
        <v>1</v>
      </c>
      <c r="AJ2" s="220">
        <v>2</v>
      </c>
      <c r="AK2" s="221"/>
    </row>
    <row r="3" spans="1:37" ht="12" customHeight="1" x14ac:dyDescent="0.2">
      <c r="A3" s="1" cm="1">
        <f t="array" ref="A3">GetMutationLevel(B3)</f>
        <v>1</v>
      </c>
      <c r="B3" s="31" t="s">
        <v>82</v>
      </c>
      <c r="C3" s="19" t="s">
        <v>53</v>
      </c>
      <c r="D3" s="71" t="s">
        <v>97</v>
      </c>
      <c r="E3" s="63">
        <v>270</v>
      </c>
      <c r="F3" s="125" cm="1">
        <f t="array" ref="F3">IsUpgradable(E3)</f>
        <v>1</v>
      </c>
      <c r="G3" s="127">
        <f t="shared" ref="G3:G27" si="0">INT(H3)</f>
        <v>5</v>
      </c>
      <c r="H3" s="198">
        <v>5</v>
      </c>
      <c r="I3" s="123">
        <v>0</v>
      </c>
      <c r="J3" s="63">
        <v>30</v>
      </c>
      <c r="K3" s="7">
        <v>30</v>
      </c>
      <c r="L3" s="7">
        <v>30</v>
      </c>
      <c r="M3" s="7" t="str">
        <f t="shared" ref="M3:M27" si="1">IF($G3&gt;3,"Max","")</f>
        <v>Max</v>
      </c>
      <c r="N3" s="19">
        <f t="shared" ref="N3:N27" si="2">IF(H3=5,10,"")</f>
        <v>10</v>
      </c>
      <c r="P3" s="9">
        <f>IFERROR(CHOOSE(IF($H3&gt;=Details!$B$4,1,2),Details!$D$4,IF($H3&gt;Details!$B$4-1,IF($H3&lt;1,$H3,MOD($H3,Details!$B$4-1))*10*Details!$C$4,""))/Details!$D$4,0)</f>
        <v>1</v>
      </c>
      <c r="Q3" s="9">
        <f>IFERROR(CHOOSE(IF($H3&gt;=Details!$B$5,1,2),Details!$D$5,IF($H3&gt;Details!$B$5-1,IF($H3&lt;1,Details!$G$4,MOD($H3,Details!$B$5-1))*10*Details!$C$5,""))/Details!$D$5,0)</f>
        <v>1</v>
      </c>
      <c r="R3" s="9">
        <f>IFERROR(CHOOSE(IF($H3&gt;=Details!$B$6,1,2),Details!$D$6,IF($H3&gt;Details!$B$6-1,IF($H3&lt;1,Details!$G$5,MOD($H3,Details!$B$6-1))*10*Details!$C$6,""))/Details!$D$6,0)</f>
        <v>1</v>
      </c>
      <c r="S3" s="9">
        <f>IFERROR(CHOOSE(IF($H3&gt;=Details!$B$7,1,2),Details!$D$7,IF($H3&gt;Details!$B$7-1,IF($H3&lt;1,Details!$G$5,MOD($H3,Details!$B$7-1))*10*Details!$C$7,""))/Details!$D$7,0)</f>
        <v>1</v>
      </c>
      <c r="T3" s="9">
        <f>IFERROR(CHOOSE(IF($H3&gt;=Details!$B$8,1,2),Details!$D$8,IF($H3&gt;Details!$B$8-1,IF($H3&lt;1,Details!$G$5,MOD($H3,Details!$B$8-1))*10*Details!$C$8,""))/Details!$D$8,0)</f>
        <v>1</v>
      </c>
      <c r="U3" s="9" cm="1">
        <f t="array" ref="U3">SUMPRODUCT(TRANSPOSE(Details!$D$4:$D$8),$P3:$T3)/Details!$D$9</f>
        <v>1</v>
      </c>
      <c r="V3" s="13" cm="1">
        <f t="array" ref="V3">Details!$D$9-SUMPRODUCT(TRANSPOSE(Details!$D$4:$D$8),$P3:$T3)-$I3</f>
        <v>0</v>
      </c>
      <c r="X3" s="13" cm="1">
        <f t="array" ref="X3">LevelUpgradeCost($E3)</f>
        <v>1515640000</v>
      </c>
      <c r="Y3" s="61">
        <f>F3</f>
        <v>1</v>
      </c>
      <c r="AA3" s="110">
        <f>$H3*1000+$E3</f>
        <v>5270</v>
      </c>
      <c r="AB3" s="110">
        <f>RANK($AA3,$AA$3:$AA$47)+COUNTIF($AA$3:$AA3,AA3)-1</f>
        <v>2</v>
      </c>
      <c r="AC3" s="61" cm="1">
        <f t="array" ref="AC3">IFERROR(_xlfn.IFS($AB3&lt;8,1,$AB3&lt;15,2,$AB3&lt;21,3),"")</f>
        <v>1</v>
      </c>
      <c r="AE3" s="170" t="str">
        <f>AF23</f>
        <v>https://encrypted-tbn0.gstatic.com/images?q=tbn:ANd9GcRXczs_Bjhslhr7Mf2HENU6MTyGpz0RJEMjNA&amp;s</v>
      </c>
      <c r="AF3" s="166" t="str">
        <f t="shared" ref="AF3:AF47" si="3">" "</f>
        <v xml:space="preserve"> </v>
      </c>
      <c r="AG3" s="167" t="str">
        <f>" "</f>
        <v xml:space="preserve"> </v>
      </c>
      <c r="AI3" s="170"/>
      <c r="AJ3" s="166" t="s">
        <v>112</v>
      </c>
      <c r="AK3" s="167"/>
    </row>
    <row r="4" spans="1:37" ht="12" customHeight="1" x14ac:dyDescent="0.2">
      <c r="A4" s="1" cm="1">
        <f t="array" ref="A4">GetMutationLevel(B4)</f>
        <v>1</v>
      </c>
      <c r="B4" s="31" t="s">
        <v>195</v>
      </c>
      <c r="C4" s="19" t="s">
        <v>50</v>
      </c>
      <c r="D4" s="71" t="s">
        <v>97</v>
      </c>
      <c r="E4" s="63">
        <v>270</v>
      </c>
      <c r="F4" s="125" cm="1">
        <f t="array" ref="F4">IsUpgradable(E4)</f>
        <v>1</v>
      </c>
      <c r="G4" s="127">
        <f t="shared" si="0"/>
        <v>5</v>
      </c>
      <c r="H4" s="198">
        <v>5</v>
      </c>
      <c r="I4" s="123">
        <v>0</v>
      </c>
      <c r="J4" s="63">
        <v>20</v>
      </c>
      <c r="K4" s="7">
        <v>20</v>
      </c>
      <c r="L4" s="7">
        <v>20</v>
      </c>
      <c r="M4" s="7" t="str">
        <f t="shared" si="1"/>
        <v>Max</v>
      </c>
      <c r="N4" s="19">
        <f t="shared" si="2"/>
        <v>10</v>
      </c>
      <c r="P4" s="9">
        <f>IFERROR(CHOOSE(IF($H4&gt;=Details!$B$4,1,2),Details!$D$4,IF($H4&gt;Details!$B$4-1,IF($H4&lt;1,$H4,MOD($H4,Details!$B$4-1))*10*Details!$C$4,""))/Details!$D$4,0)</f>
        <v>1</v>
      </c>
      <c r="Q4" s="9">
        <f>IFERROR(CHOOSE(IF($H4&gt;=Details!$B$5,1,2),Details!$D$5,IF($H4&gt;Details!$B$5-1,IF($H4&lt;1,Details!$G$4,MOD($H4,Details!$B$5-1))*10*Details!$C$5,""))/Details!$D$5,0)</f>
        <v>1</v>
      </c>
      <c r="R4" s="9">
        <f>IFERROR(CHOOSE(IF($H4&gt;=Details!$B$6,1,2),Details!$D$6,IF($H4&gt;Details!$B$6-1,IF($H4&lt;1,Details!$G$5,MOD($H4,Details!$B$6-1))*10*Details!$C$6,""))/Details!$D$6,0)</f>
        <v>1</v>
      </c>
      <c r="S4" s="9">
        <f>IFERROR(CHOOSE(IF($H4&gt;=Details!$B$7,1,2),Details!$D$7,IF($H4&gt;Details!$B$7-1,IF($H4&lt;1,Details!$G$5,MOD($H4,Details!$B$7-1))*10*Details!$C$7,""))/Details!$D$7,0)</f>
        <v>1</v>
      </c>
      <c r="T4" s="9">
        <f>IFERROR(CHOOSE(IF($H4&gt;=Details!$B$8,1,2),Details!$D$8,IF($H4&gt;Details!$B$8-1,IF($H4&lt;1,Details!$G$5,MOD($H4,Details!$B$8-1))*10*Details!$C$8,""))/Details!$D$8,0)</f>
        <v>1</v>
      </c>
      <c r="U4" s="9" cm="1">
        <f t="array" ref="U4">SUMPRODUCT(TRANSPOSE(Details!$D$4:$D$8),$P4:$T4)/Details!$D$9</f>
        <v>1</v>
      </c>
      <c r="V4" s="13" cm="1">
        <f t="array" ref="V4">Details!$D$9-SUMPRODUCT(TRANSPOSE(Details!$D$4:$D$8),$P4:$T4)-$I4</f>
        <v>0</v>
      </c>
      <c r="X4" s="13" cm="1">
        <f t="array" ref="X4">LevelUpgradeCost($E4)</f>
        <v>1515640000</v>
      </c>
      <c r="Y4" s="61">
        <f t="shared" ref="Y4:Y47" si="4">F4</f>
        <v>1</v>
      </c>
      <c r="AA4" s="110">
        <f t="shared" ref="AA4:AA47" si="5">$H4*1000+$E4</f>
        <v>5270</v>
      </c>
      <c r="AB4" s="63">
        <f>RANK($AA4,$AA$3:$AA$47)+COUNTIF($AA$3:$AA4,AA4)-1</f>
        <v>3</v>
      </c>
      <c r="AC4" s="61" cm="1">
        <f t="array" ref="AC4">IFERROR(_xlfn.IFS($AB4&lt;8,1,$AB4&lt;15,2,$AB4&lt;21,3),"")</f>
        <v>1</v>
      </c>
      <c r="AE4" s="63" t="s">
        <v>193</v>
      </c>
      <c r="AF4" s="7" t="s">
        <v>161</v>
      </c>
      <c r="AG4" s="19" t="str">
        <f t="shared" ref="AG4:AG47" si="6">" "</f>
        <v xml:space="preserve"> </v>
      </c>
      <c r="AI4" s="63"/>
      <c r="AJ4" s="7"/>
      <c r="AK4" s="19"/>
    </row>
    <row r="5" spans="1:37" ht="12" customHeight="1" x14ac:dyDescent="0.2">
      <c r="A5" s="1" t="str" cm="1">
        <f t="array" ref="A5">GetMutationLevel(B5)</f>
        <v/>
      </c>
      <c r="B5" s="31" t="s">
        <v>52</v>
      </c>
      <c r="C5" s="19" t="s">
        <v>50</v>
      </c>
      <c r="D5" s="71" t="s">
        <v>97</v>
      </c>
      <c r="E5" s="63">
        <v>270</v>
      </c>
      <c r="F5" s="125" cm="1">
        <f t="array" ref="F5">IsUpgradable(E5)</f>
        <v>1</v>
      </c>
      <c r="G5" s="127">
        <f t="shared" si="0"/>
        <v>4</v>
      </c>
      <c r="H5" s="198">
        <v>4</v>
      </c>
      <c r="I5" s="123">
        <v>11</v>
      </c>
      <c r="J5" s="63">
        <v>15</v>
      </c>
      <c r="K5" s="7">
        <v>15</v>
      </c>
      <c r="L5" s="7">
        <v>15</v>
      </c>
      <c r="M5" s="7" t="str">
        <f t="shared" si="1"/>
        <v>Max</v>
      </c>
      <c r="N5" s="19" t="str">
        <f t="shared" si="2"/>
        <v/>
      </c>
      <c r="P5" s="9">
        <f>IFERROR(CHOOSE(IF($H5&gt;=Details!$B$4,1,2),Details!$D$4,IF($H5&gt;Details!$B$4-1,IF($H5&lt;1,$H5,MOD($H5,Details!$B$4-1))*10*Details!$C$4,""))/Details!$D$4,0)</f>
        <v>1</v>
      </c>
      <c r="Q5" s="9">
        <f>IFERROR(CHOOSE(IF($H5&gt;=Details!$B$5,1,2),Details!$D$5,IF($H5&gt;Details!$B$5-1,IF($H5&lt;1,Details!$G$4,MOD($H5,Details!$B$5-1))*10*Details!$C$5,""))/Details!$D$5,0)</f>
        <v>1</v>
      </c>
      <c r="R5" s="9">
        <f>IFERROR(CHOOSE(IF($H5&gt;=Details!$B$6,1,2),Details!$D$6,IF($H5&gt;Details!$B$6-1,IF($H5&lt;1,Details!$G$5,MOD($H5,Details!$B$6-1))*10*Details!$C$6,""))/Details!$D$6,0)</f>
        <v>1</v>
      </c>
      <c r="S5" s="9">
        <f>IFERROR(CHOOSE(IF($H5&gt;=Details!$B$7,1,2),Details!$D$7,IF($H5&gt;Details!$B$7-1,IF($H5&lt;1,Details!$G$5,MOD($H5,Details!$B$7-1))*10*Details!$C$7,""))/Details!$D$7,0)</f>
        <v>1</v>
      </c>
      <c r="T5" s="9">
        <f>IFERROR(CHOOSE(IF($H5&gt;=Details!$B$8,1,2),Details!$D$8,IF($H5&gt;Details!$B$8-1,IF($H5&lt;1,Details!$G$5,MOD($H5,Details!$B$8-1))*10*Details!$C$8,""))/Details!$D$8,0)</f>
        <v>0</v>
      </c>
      <c r="U5" s="9" cm="1">
        <f t="array" ref="U5">SUMPRODUCT(TRANSPOSE(Details!$D$4:$D$8),$P5:$T5)/Details!$D$9</f>
        <v>0.48717948717948717</v>
      </c>
      <c r="V5" s="13" cm="1">
        <f t="array" ref="V5">Details!$D$9-SUMPRODUCT(TRANSPOSE(Details!$D$4:$D$8),$P5:$T5)-$I5</f>
        <v>489</v>
      </c>
      <c r="X5" s="13" cm="1">
        <f t="array" ref="X5">LevelUpgradeCost($E5)</f>
        <v>1515640000</v>
      </c>
      <c r="Y5" s="61">
        <f t="shared" si="4"/>
        <v>1</v>
      </c>
      <c r="AA5" s="110">
        <f t="shared" si="5"/>
        <v>4270</v>
      </c>
      <c r="AB5" s="63">
        <f>RANK($AA5,$AA$3:$AA$47)+COUNTIF($AA$3:$AA5,AA5)-1</f>
        <v>13</v>
      </c>
      <c r="AC5" s="61" cm="1">
        <f t="array" ref="AC5">IFERROR(_xlfn.IFS($AB5&lt;8,1,$AB5&lt;15,2,$AB5&lt;21,3),"")</f>
        <v>2</v>
      </c>
      <c r="AE5" s="63" t="s">
        <v>158</v>
      </c>
      <c r="AF5" s="7" t="s">
        <v>179</v>
      </c>
      <c r="AG5" s="19" t="str">
        <f t="shared" si="6"/>
        <v xml:space="preserve"> </v>
      </c>
      <c r="AI5" s="63" t="s">
        <v>211</v>
      </c>
      <c r="AJ5" s="7"/>
      <c r="AK5" s="19"/>
    </row>
    <row r="6" spans="1:37" ht="12" customHeight="1" x14ac:dyDescent="0.2">
      <c r="A6" s="1" t="str" cm="1">
        <f t="array" ref="A6">GetMutationLevel(B6)</f>
        <v/>
      </c>
      <c r="B6" s="31" t="s">
        <v>54</v>
      </c>
      <c r="C6" s="19" t="s">
        <v>55</v>
      </c>
      <c r="D6" s="71" t="s">
        <v>98</v>
      </c>
      <c r="E6" s="63">
        <v>250</v>
      </c>
      <c r="F6" s="125" cm="1">
        <f t="array" ref="F6">IsUpgradable(E6)</f>
        <v>1</v>
      </c>
      <c r="G6" s="127">
        <f t="shared" si="0"/>
        <v>4</v>
      </c>
      <c r="H6" s="198">
        <v>4.0999999999999996</v>
      </c>
      <c r="I6" s="123">
        <v>0</v>
      </c>
      <c r="J6" s="63">
        <v>5</v>
      </c>
      <c r="K6" s="7">
        <v>5</v>
      </c>
      <c r="L6" s="7">
        <v>5</v>
      </c>
      <c r="M6" s="7" t="str">
        <f t="shared" si="1"/>
        <v>Max</v>
      </c>
      <c r="N6" s="19" t="str">
        <f t="shared" si="2"/>
        <v/>
      </c>
      <c r="P6" s="9">
        <f>IFERROR(CHOOSE(IF($H6&gt;=Details!$B$4,1,2),Details!$D$4,IF($H6&gt;Details!$B$4-1,IF($H6&lt;1,$H6,MOD($H6,Details!$B$4-1))*10*Details!$C$4,""))/Details!$D$4,0)</f>
        <v>1</v>
      </c>
      <c r="Q6" s="9">
        <f>IFERROR(CHOOSE(IF($H6&gt;=Details!$B$5,1,2),Details!$D$5,IF($H6&gt;Details!$B$5-1,IF($H6&lt;1,Details!$G$4,MOD($H6,Details!$B$5-1))*10*Details!$C$5,""))/Details!$D$5,0)</f>
        <v>1</v>
      </c>
      <c r="R6" s="9">
        <f>IFERROR(CHOOSE(IF($H6&gt;=Details!$B$6,1,2),Details!$D$6,IF($H6&gt;Details!$B$6-1,IF($H6&lt;1,Details!$G$5,MOD($H6,Details!$B$6-1))*10*Details!$C$6,""))/Details!$D$6,0)</f>
        <v>1</v>
      </c>
      <c r="S6" s="9">
        <f>IFERROR(CHOOSE(IF($H6&gt;=Details!$B$7,1,2),Details!$D$7,IF($H6&gt;Details!$B$7-1,IF($H6&lt;1,Details!$G$5,MOD($H6,Details!$B$7-1))*10*Details!$C$7,""))/Details!$D$7,0)</f>
        <v>1</v>
      </c>
      <c r="T6" s="9">
        <f>IFERROR(CHOOSE(IF($H6&gt;=Details!$B$8,1,2),Details!$D$8,IF($H6&gt;Details!$B$8-1,IF($H6&lt;1,Details!$G$5,MOD($H6,Details!$B$8-1))*10*Details!$C$8,""))/Details!$D$8,0)</f>
        <v>0.19999999999999929</v>
      </c>
      <c r="U6" s="9" cm="1">
        <f t="array" ref="U6">SUMPRODUCT(TRANSPOSE(Details!$D$4:$D$8),$P6:$T6)/Details!$D$9</f>
        <v>0.58974358974358942</v>
      </c>
      <c r="V6" s="13" cm="1">
        <f t="array" ref="V6">Details!$D$9-SUMPRODUCT(TRANSPOSE(Details!$D$4:$D$8),$P6:$T6)-$I6</f>
        <v>400.00000000000034</v>
      </c>
      <c r="X6" s="13" cm="1">
        <f t="array" ref="X6">LevelUpgradeCost($E6)</f>
        <v>3503540000</v>
      </c>
      <c r="Y6" s="61">
        <f t="shared" si="4"/>
        <v>1</v>
      </c>
      <c r="AA6" s="110">
        <f t="shared" si="5"/>
        <v>4350</v>
      </c>
      <c r="AB6" s="63">
        <f>RANK($AA6,$AA$3:$AA$47)+COUNTIF($AA$3:$AA6,AA6)-1</f>
        <v>10</v>
      </c>
      <c r="AC6" s="61" cm="1">
        <f t="array" ref="AC6">IFERROR(_xlfn.IFS($AB6&lt;8,1,$AB6&lt;15,2,$AB6&lt;21,3),"")</f>
        <v>2</v>
      </c>
      <c r="AE6" s="63" t="s">
        <v>186</v>
      </c>
      <c r="AF6" s="7" t="str">
        <f t="shared" si="3"/>
        <v xml:space="preserve"> </v>
      </c>
      <c r="AG6" s="19" t="str">
        <f t="shared" si="6"/>
        <v xml:space="preserve"> </v>
      </c>
      <c r="AI6" s="63" t="s">
        <v>151</v>
      </c>
      <c r="AJ6" s="7"/>
      <c r="AK6" s="19"/>
    </row>
    <row r="7" spans="1:37" ht="12" customHeight="1" x14ac:dyDescent="0.2">
      <c r="A7" s="1" cm="1">
        <f t="array" ref="A7">GetMutationLevel(B7)</f>
        <v>1</v>
      </c>
      <c r="B7" s="31" t="s">
        <v>205</v>
      </c>
      <c r="C7" s="19" t="s">
        <v>53</v>
      </c>
      <c r="D7" s="71" t="s">
        <v>98</v>
      </c>
      <c r="E7" s="63">
        <v>270</v>
      </c>
      <c r="F7" s="125" cm="1">
        <f t="array" ref="F7">IsUpgradable(E7)</f>
        <v>1</v>
      </c>
      <c r="G7" s="127">
        <f t="shared" ref="G7" si="7">INT(H7)</f>
        <v>5</v>
      </c>
      <c r="H7" s="198">
        <v>5</v>
      </c>
      <c r="I7" s="123">
        <v>0</v>
      </c>
      <c r="J7" s="63">
        <v>15</v>
      </c>
      <c r="K7" s="7">
        <v>20</v>
      </c>
      <c r="L7" s="7">
        <v>30</v>
      </c>
      <c r="M7" s="7" t="str">
        <f t="shared" si="1"/>
        <v>Max</v>
      </c>
      <c r="N7" s="19">
        <f t="shared" ref="N7" si="8">IF(H7=5,10,"")</f>
        <v>10</v>
      </c>
      <c r="P7" s="9">
        <f>IFERROR(CHOOSE(IF($H7&gt;=Details!$B$4,1,2),Details!$D$4,IF($H7&gt;Details!$B$4-1,IF($H7&lt;1,$H7,MOD($H7,Details!$B$4-1))*10*Details!$C$4,""))/Details!$D$4,0)</f>
        <v>1</v>
      </c>
      <c r="Q7" s="9">
        <f>IFERROR(CHOOSE(IF($H7&gt;=Details!$B$5,1,2),Details!$D$5,IF($H7&gt;Details!$B$5-1,IF($H7&lt;1,Details!$G$4,MOD($H7,Details!$B$5-1))*10*Details!$C$5,""))/Details!$D$5,0)</f>
        <v>1</v>
      </c>
      <c r="R7" s="9">
        <f>IFERROR(CHOOSE(IF($H7&gt;=Details!$B$6,1,2),Details!$D$6,IF($H7&gt;Details!$B$6-1,IF($H7&lt;1,Details!$G$5,MOD($H7,Details!$B$6-1))*10*Details!$C$6,""))/Details!$D$6,0)</f>
        <v>1</v>
      </c>
      <c r="S7" s="9">
        <f>IFERROR(CHOOSE(IF($H7&gt;=Details!$B$7,1,2),Details!$D$7,IF($H7&gt;Details!$B$7-1,IF($H7&lt;1,Details!$G$5,MOD($H7,Details!$B$7-1))*10*Details!$C$7,""))/Details!$D$7,0)</f>
        <v>1</v>
      </c>
      <c r="T7" s="9">
        <f>IFERROR(CHOOSE(IF($H7&gt;=Details!$B$8,1,2),Details!$D$8,IF($H7&gt;Details!$B$8-1,IF($H7&lt;1,Details!$G$5,MOD($H7,Details!$B$8-1))*10*Details!$C$8,""))/Details!$D$8,0)</f>
        <v>1</v>
      </c>
      <c r="U7" s="9" cm="1">
        <f t="array" ref="U7">SUMPRODUCT(TRANSPOSE(Details!$D$4:$D$8),$P7:$T7)/Details!$D$9</f>
        <v>1</v>
      </c>
      <c r="V7" s="13" cm="1">
        <f t="array" ref="V7">Details!$D$9-SUMPRODUCT(TRANSPOSE(Details!$D$4:$D$8),$P7:$T7)-$I7</f>
        <v>0</v>
      </c>
      <c r="X7" s="13" cm="1">
        <f t="array" ref="X7">LevelUpgradeCost($E7)</f>
        <v>1515640000</v>
      </c>
      <c r="Y7" s="61">
        <f t="shared" ref="Y7" si="9">F7</f>
        <v>1</v>
      </c>
      <c r="AA7" s="110">
        <f t="shared" si="5"/>
        <v>5270</v>
      </c>
      <c r="AB7" s="63">
        <f>RANK($AA7,$AA$3:$AA$47)+COUNTIF($AA$3:$AA7,AA7)-1</f>
        <v>4</v>
      </c>
      <c r="AC7" s="61" cm="1">
        <f t="array" ref="AC7">IFERROR(_xlfn.IFS($AB7&lt;8,1,$AB7&lt;15,2,$AB7&lt;21,3),"")</f>
        <v>1</v>
      </c>
      <c r="AE7" s="63" t="s">
        <v>192</v>
      </c>
      <c r="AF7" s="7" t="str">
        <f t="shared" si="3"/>
        <v xml:space="preserve"> </v>
      </c>
      <c r="AG7" s="19" t="str">
        <f t="shared" si="6"/>
        <v xml:space="preserve"> </v>
      </c>
      <c r="AI7" s="63"/>
      <c r="AJ7" s="7"/>
      <c r="AK7" s="19"/>
    </row>
    <row r="8" spans="1:37" ht="12" customHeight="1" x14ac:dyDescent="0.2">
      <c r="A8" s="1" t="str" cm="1">
        <f t="array" ref="A8">GetMutationLevel(B8)</f>
        <v/>
      </c>
      <c r="B8" s="31" t="s">
        <v>51</v>
      </c>
      <c r="C8" s="19" t="s">
        <v>53</v>
      </c>
      <c r="D8" s="71" t="s">
        <v>98</v>
      </c>
      <c r="E8" s="63">
        <v>1</v>
      </c>
      <c r="F8" s="125" cm="1">
        <f t="array" ref="F8">IsUpgradable(E8)</f>
        <v>1</v>
      </c>
      <c r="G8" s="127">
        <f t="shared" si="0"/>
        <v>1</v>
      </c>
      <c r="H8" s="198">
        <v>1</v>
      </c>
      <c r="I8" s="123">
        <v>0</v>
      </c>
      <c r="J8" s="63">
        <v>1</v>
      </c>
      <c r="K8" s="7">
        <v>1</v>
      </c>
      <c r="L8" s="7">
        <v>1</v>
      </c>
      <c r="M8" s="7" t="str">
        <f t="shared" si="1"/>
        <v/>
      </c>
      <c r="N8" s="19" t="str">
        <f t="shared" si="2"/>
        <v/>
      </c>
      <c r="P8" s="9">
        <f>IFERROR(CHOOSE(IF($H8&gt;=Details!$B$4,1,2),Details!$D$4,IF($H8&gt;Details!$B$4-1,IF($H8&lt;1,$H8,MOD($H8,Details!$B$4-1))*10*Details!$C$4,""))/Details!$D$4,0)</f>
        <v>1</v>
      </c>
      <c r="Q8" s="9">
        <f>IFERROR(CHOOSE(IF($H8&gt;=Details!$B$5,1,2),Details!$D$5,IF($H8&gt;Details!$B$5-1,IF($H8&lt;1,Details!$G$4,MOD($H8,Details!$B$5-1))*10*Details!$C$5,""))/Details!$D$5,0)</f>
        <v>0</v>
      </c>
      <c r="R8" s="9">
        <f>IFERROR(CHOOSE(IF($H8&gt;=Details!$B$6,1,2),Details!$D$6,IF($H8&gt;Details!$B$6-1,IF($H8&lt;1,Details!$G$5,MOD($H8,Details!$B$6-1))*10*Details!$C$6,""))/Details!$D$6,0)</f>
        <v>0</v>
      </c>
      <c r="S8" s="9">
        <f>IFERROR(CHOOSE(IF($H8&gt;=Details!$B$7,1,2),Details!$D$7,IF($H8&gt;Details!$B$7-1,IF($H8&lt;1,Details!$G$5,MOD($H8,Details!$B$7-1))*10*Details!$C$7,""))/Details!$D$7,0)</f>
        <v>0</v>
      </c>
      <c r="T8" s="9">
        <f>IFERROR(CHOOSE(IF($H8&gt;=Details!$B$8,1,2),Details!$D$8,IF($H8&gt;Details!$B$8-1,IF($H8&lt;1,Details!$G$5,MOD($H8,Details!$B$8-1))*10*Details!$C$8,""))/Details!$D$8,0)</f>
        <v>0</v>
      </c>
      <c r="U8" s="9" cm="1">
        <f t="array" ref="U8">SUMPRODUCT(TRANSPOSE(Details!$D$4:$D$8),$P8:$T8)/Details!$D$9</f>
        <v>2.564102564102564E-2</v>
      </c>
      <c r="V8" s="13" cm="1">
        <f t="array" ref="V8">Details!$D$9-SUMPRODUCT(TRANSPOSE(Details!$D$4:$D$8),$P8:$T8)-$I8</f>
        <v>950</v>
      </c>
      <c r="X8" s="13" cm="1">
        <f t="array" ref="X8">LevelUpgradeCost($E8)</f>
        <v>6424613700</v>
      </c>
      <c r="Y8" s="61">
        <f t="shared" si="4"/>
        <v>1</v>
      </c>
      <c r="AA8" s="110">
        <f t="shared" si="5"/>
        <v>1001</v>
      </c>
      <c r="AB8" s="63">
        <f>RANK($AA8,$AA$3:$AA$47)+COUNTIF($AA$3:$AA8,AA8)-1</f>
        <v>32</v>
      </c>
      <c r="AC8" s="61" t="str" cm="1">
        <f t="array" ref="AC8">IFERROR(_xlfn.IFS($AB8&lt;8,1,$AB8&lt;15,2,$AB8&lt;21,3),"")</f>
        <v/>
      </c>
      <c r="AE8" s="63" t="s">
        <v>155</v>
      </c>
      <c r="AF8" s="7" t="s">
        <v>192</v>
      </c>
      <c r="AG8" s="19" t="str">
        <f t="shared" si="6"/>
        <v xml:space="preserve"> </v>
      </c>
      <c r="AI8" s="63" t="s">
        <v>205</v>
      </c>
      <c r="AJ8" s="7"/>
      <c r="AK8" s="19"/>
    </row>
    <row r="9" spans="1:37" ht="12" customHeight="1" x14ac:dyDescent="0.2">
      <c r="A9" s="1" t="str" cm="1">
        <f t="array" ref="A9">GetMutationLevel(B9)</f>
        <v/>
      </c>
      <c r="B9" s="31" t="s">
        <v>56</v>
      </c>
      <c r="C9" s="19" t="s">
        <v>50</v>
      </c>
      <c r="D9" s="71" t="s">
        <v>98</v>
      </c>
      <c r="E9" s="63">
        <v>240</v>
      </c>
      <c r="F9" s="125" cm="1">
        <f t="array" ref="F9">IsUpgradable(E9)</f>
        <v>1</v>
      </c>
      <c r="G9" s="128">
        <f t="shared" si="0"/>
        <v>3</v>
      </c>
      <c r="H9" s="198">
        <v>3.1</v>
      </c>
      <c r="I9" s="123">
        <v>61</v>
      </c>
      <c r="J9" s="63">
        <v>10</v>
      </c>
      <c r="K9" s="7">
        <v>5</v>
      </c>
      <c r="L9" s="7">
        <v>15</v>
      </c>
      <c r="M9" s="7" t="str">
        <f t="shared" si="1"/>
        <v/>
      </c>
      <c r="N9" s="19" t="str">
        <f t="shared" si="2"/>
        <v/>
      </c>
      <c r="P9" s="9">
        <f>IFERROR(CHOOSE(IF($H9&gt;=Details!$B$4,1,2),Details!$D$4,IF($H9&gt;Details!$B$4-1,IF($H9&lt;1,$H9,MOD($H9,Details!$B$4-1))*10*Details!$C$4,""))/Details!$D$4,0)</f>
        <v>1</v>
      </c>
      <c r="Q9" s="9">
        <f>IFERROR(CHOOSE(IF($H9&gt;=Details!$B$5,1,2),Details!$D$5,IF($H9&gt;Details!$B$5-1,IF($H9&lt;1,Details!$G$4,MOD($H9,Details!$B$5-1))*10*Details!$C$5,""))/Details!$D$5,0)</f>
        <v>1</v>
      </c>
      <c r="R9" s="9">
        <f>IFERROR(CHOOSE(IF($H9&gt;=Details!$B$6,1,2),Details!$D$6,IF($H9&gt;Details!$B$6-1,IF($H9&lt;1,Details!$G$5,MOD($H9,Details!$B$6-1))*10*Details!$C$6,""))/Details!$D$6,0)</f>
        <v>1</v>
      </c>
      <c r="S9" s="9">
        <f>IFERROR(CHOOSE(IF($H9&gt;=Details!$B$7,1,2),Details!$D$7,IF($H9&gt;Details!$B$7-1,IF($H9&lt;1,Details!$G$5,MOD($H9,Details!$B$7-1))*10*Details!$C$7,""))/Details!$D$7,0)</f>
        <v>0.20000000000000018</v>
      </c>
      <c r="T9" s="9">
        <f>IFERROR(CHOOSE(IF($H9&gt;=Details!$B$8,1,2),Details!$D$8,IF($H9&gt;Details!$B$8-1,IF($H9&lt;1,Details!$G$5,MOD($H9,Details!$B$8-1))*10*Details!$C$8,""))/Details!$D$8,0)</f>
        <v>0</v>
      </c>
      <c r="U9" s="9" cm="1">
        <f t="array" ref="U9">SUMPRODUCT(TRANSPOSE(Details!$D$4:$D$8),$P9:$T9)/Details!$D$9</f>
        <v>0.24102564102564109</v>
      </c>
      <c r="V9" s="13" cm="1">
        <f t="array" ref="V9">Details!$D$9-SUMPRODUCT(TRANSPOSE(Details!$D$4:$D$8),$P9:$T9)-$I9</f>
        <v>679</v>
      </c>
      <c r="X9" s="13" cm="1">
        <f t="array" ref="X9">LevelUpgradeCost($E9)</f>
        <v>4211940000</v>
      </c>
      <c r="Y9" s="61">
        <f t="shared" si="4"/>
        <v>1</v>
      </c>
      <c r="AA9" s="110">
        <f t="shared" si="5"/>
        <v>3340</v>
      </c>
      <c r="AB9" s="63">
        <f>RANK($AA9,$AA$3:$AA$47)+COUNTIF($AA$3:$AA9,AA9)-1</f>
        <v>16</v>
      </c>
      <c r="AC9" s="61" cm="1">
        <f t="array" ref="AC9">IFERROR(_xlfn.IFS($AB9&lt;8,1,$AB9&lt;15,2,$AB9&lt;21,3),"")</f>
        <v>3</v>
      </c>
      <c r="AE9" s="63" t="s">
        <v>178</v>
      </c>
      <c r="AF9" s="7" t="str">
        <f t="shared" si="3"/>
        <v xml:space="preserve"> </v>
      </c>
      <c r="AG9" s="19" t="str">
        <f t="shared" si="6"/>
        <v xml:space="preserve"> </v>
      </c>
      <c r="AI9" s="63" t="s">
        <v>216</v>
      </c>
      <c r="AJ9" s="7"/>
      <c r="AK9" s="19"/>
    </row>
    <row r="10" spans="1:37" ht="12" customHeight="1" x14ac:dyDescent="0.2">
      <c r="A10" s="1" t="str" cm="1">
        <f t="array" ref="A10">GetMutationLevel(B10)</f>
        <v/>
      </c>
      <c r="B10" s="31" t="s">
        <v>60</v>
      </c>
      <c r="C10" s="19" t="s">
        <v>61</v>
      </c>
      <c r="D10" s="71" t="s">
        <v>97</v>
      </c>
      <c r="E10" s="63">
        <v>230</v>
      </c>
      <c r="F10" s="125" cm="1">
        <f t="array" ref="F10">IsUpgradable(E10)</f>
        <v>1</v>
      </c>
      <c r="G10" s="127">
        <f t="shared" si="0"/>
        <v>2</v>
      </c>
      <c r="H10" s="198">
        <v>2.2000000000000002</v>
      </c>
      <c r="I10" s="123">
        <v>4</v>
      </c>
      <c r="J10" s="63">
        <v>1</v>
      </c>
      <c r="K10" s="7">
        <v>1</v>
      </c>
      <c r="L10" s="7">
        <v>5</v>
      </c>
      <c r="M10" s="7" t="str">
        <f t="shared" si="1"/>
        <v/>
      </c>
      <c r="N10" s="19" t="str">
        <f t="shared" si="2"/>
        <v/>
      </c>
      <c r="P10" s="9">
        <f>IFERROR(CHOOSE(IF($H10&gt;=Details!$B$4,1,2),Details!$D$4,IF($H10&gt;Details!$B$4-1,IF($H10&lt;1,$H10,MOD($H10,Details!$B$4-1))*10*Details!$C$4,""))/Details!$D$4,0)</f>
        <v>1</v>
      </c>
      <c r="Q10" s="9">
        <f>IFERROR(CHOOSE(IF($H10&gt;=Details!$B$5,1,2),Details!$D$5,IF($H10&gt;Details!$B$5-1,IF($H10&lt;1,Details!$G$4,MOD($H10,Details!$B$5-1))*10*Details!$C$5,""))/Details!$D$5,0)</f>
        <v>1</v>
      </c>
      <c r="R10" s="9">
        <f>IFERROR(CHOOSE(IF($H10&gt;=Details!$B$6,1,2),Details!$D$6,IF($H10&gt;Details!$B$6-1,IF($H10&lt;1,Details!$G$5,MOD($H10,Details!$B$6-1))*10*Details!$C$6,""))/Details!$D$6,0)</f>
        <v>0.40000000000000036</v>
      </c>
      <c r="S10" s="9">
        <f>IFERROR(CHOOSE(IF($H10&gt;=Details!$B$7,1,2),Details!$D$7,IF($H10&gt;Details!$B$7-1,IF($H10&lt;1,Details!$G$5,MOD($H10,Details!$B$7-1))*10*Details!$C$7,""))/Details!$D$7,0)</f>
        <v>0</v>
      </c>
      <c r="T10" s="9">
        <f>IFERROR(CHOOSE(IF($H10&gt;=Details!$B$8,1,2),Details!$D$8,IF($H10&gt;Details!$B$8-1,IF($H10&lt;1,Details!$G$5,MOD($H10,Details!$B$8-1))*10*Details!$C$8,""))/Details!$D$8,0)</f>
        <v>0</v>
      </c>
      <c r="U10" s="9" cm="1">
        <f t="array" ref="U10">SUMPRODUCT(TRANSPOSE(Details!$D$4:$D$8),$P10:$T10)/Details!$D$9</f>
        <v>0.11794871794871797</v>
      </c>
      <c r="V10" s="13" cm="1">
        <f t="array" ref="V10">Details!$D$9-SUMPRODUCT(TRANSPOSE(Details!$D$4:$D$8),$P10:$T10)-$I10</f>
        <v>856</v>
      </c>
      <c r="X10" s="13" cm="1">
        <f t="array" ref="X10">LevelUpgradeCost($E10)</f>
        <v>4771140000</v>
      </c>
      <c r="Y10" s="61">
        <f t="shared" si="4"/>
        <v>1</v>
      </c>
      <c r="AA10" s="110">
        <f t="shared" si="5"/>
        <v>2430</v>
      </c>
      <c r="AB10" s="63">
        <f>RANK($AA10,$AA$3:$AA$47)+COUNTIF($AA$3:$AA10,AA10)-1</f>
        <v>28</v>
      </c>
      <c r="AC10" s="61" t="str" cm="1">
        <f t="array" ref="AC10">IFERROR(_xlfn.IFS($AB10&lt;8,1,$AB10&lt;15,2,$AB10&lt;21,3),"")</f>
        <v/>
      </c>
      <c r="AE10" s="63" t="s">
        <v>177</v>
      </c>
      <c r="AF10" s="7" t="s">
        <v>174</v>
      </c>
      <c r="AG10" s="19" t="str">
        <f t="shared" si="6"/>
        <v xml:space="preserve"> </v>
      </c>
      <c r="AI10" s="63" t="s">
        <v>210</v>
      </c>
      <c r="AJ10" s="7"/>
      <c r="AK10" s="19"/>
    </row>
    <row r="11" spans="1:37" ht="12" customHeight="1" x14ac:dyDescent="0.2">
      <c r="A11" s="1" t="str" cm="1">
        <f t="array" ref="A11">GetMutationLevel(B11)</f>
        <v/>
      </c>
      <c r="B11" s="31" t="s">
        <v>63</v>
      </c>
      <c r="C11" s="19" t="s">
        <v>61</v>
      </c>
      <c r="D11" s="71" t="s">
        <v>98</v>
      </c>
      <c r="E11" s="63">
        <v>250</v>
      </c>
      <c r="F11" s="125" cm="1">
        <f t="array" ref="F11">IsUpgradable(E11)</f>
        <v>1</v>
      </c>
      <c r="G11" s="127">
        <f t="shared" si="0"/>
        <v>3</v>
      </c>
      <c r="H11" s="198">
        <v>3</v>
      </c>
      <c r="I11" s="123">
        <v>0</v>
      </c>
      <c r="J11" s="63">
        <v>14</v>
      </c>
      <c r="K11" s="7">
        <v>5</v>
      </c>
      <c r="L11" s="7">
        <v>10</v>
      </c>
      <c r="M11" s="7" t="str">
        <f t="shared" si="1"/>
        <v/>
      </c>
      <c r="N11" s="19" t="str">
        <f t="shared" si="2"/>
        <v/>
      </c>
      <c r="P11" s="9">
        <f>IFERROR(CHOOSE(IF($H11&gt;=Details!$B$4,1,2),Details!$D$4,IF($H11&gt;Details!$B$4-1,IF($H11&lt;1,$H11,MOD($H11,Details!$B$4-1))*10*Details!$C$4,""))/Details!$D$4,0)</f>
        <v>1</v>
      </c>
      <c r="Q11" s="9">
        <f>IFERROR(CHOOSE(IF($H11&gt;=Details!$B$5,1,2),Details!$D$5,IF($H11&gt;Details!$B$5-1,IF($H11&lt;1,Details!$G$4,MOD($H11,Details!$B$5-1))*10*Details!$C$5,""))/Details!$D$5,0)</f>
        <v>1</v>
      </c>
      <c r="R11" s="9">
        <f>IFERROR(CHOOSE(IF($H11&gt;=Details!$B$6,1,2),Details!$D$6,IF($H11&gt;Details!$B$6-1,IF($H11&lt;1,Details!$G$5,MOD($H11,Details!$B$6-1))*10*Details!$C$6,""))/Details!$D$6,0)</f>
        <v>1</v>
      </c>
      <c r="S11" s="9">
        <f>IFERROR(CHOOSE(IF($H11&gt;=Details!$B$7,1,2),Details!$D$7,IF($H11&gt;Details!$B$7-1,IF($H11&lt;1,Details!$G$5,MOD($H11,Details!$B$7-1))*10*Details!$C$7,""))/Details!$D$7,0)</f>
        <v>0</v>
      </c>
      <c r="T11" s="9">
        <f>IFERROR(CHOOSE(IF($H11&gt;=Details!$B$8,1,2),Details!$D$8,IF($H11&gt;Details!$B$8-1,IF($H11&lt;1,Details!$G$5,MOD($H11,Details!$B$8-1))*10*Details!$C$8,""))/Details!$D$8,0)</f>
        <v>0</v>
      </c>
      <c r="U11" s="9" cm="1">
        <f t="array" ref="U11">SUMPRODUCT(TRANSPOSE(Details!$D$4:$D$8),$P11:$T11)/Details!$D$9</f>
        <v>0.17948717948717949</v>
      </c>
      <c r="V11" s="13" cm="1">
        <f t="array" ref="V11">Details!$D$9-SUMPRODUCT(TRANSPOSE(Details!$D$4:$D$8),$P11:$T11)-$I11</f>
        <v>800</v>
      </c>
      <c r="X11" s="13" cm="1">
        <f t="array" ref="X11">LevelUpgradeCost($E11)</f>
        <v>3503540000</v>
      </c>
      <c r="Y11" s="61">
        <f t="shared" si="4"/>
        <v>1</v>
      </c>
      <c r="AA11" s="110">
        <f t="shared" si="5"/>
        <v>3250</v>
      </c>
      <c r="AB11" s="63">
        <f>RANK($AA11,$AA$3:$AA$47)+COUNTIF($AA$3:$AA11,AA11)-1</f>
        <v>18</v>
      </c>
      <c r="AC11" s="61" cm="1">
        <f t="array" ref="AC11">IFERROR(_xlfn.IFS($AB11&lt;8,1,$AB11&lt;15,2,$AB11&lt;21,3),"")</f>
        <v>3</v>
      </c>
      <c r="AE11" s="63" t="s">
        <v>190</v>
      </c>
      <c r="AF11" s="7" t="s">
        <v>169</v>
      </c>
      <c r="AG11" s="19" t="str">
        <f t="shared" si="6"/>
        <v xml:space="preserve"> </v>
      </c>
      <c r="AI11" s="63" t="s">
        <v>222</v>
      </c>
      <c r="AJ11" s="7"/>
      <c r="AK11" s="19"/>
    </row>
    <row r="12" spans="1:37" ht="12" customHeight="1" x14ac:dyDescent="0.2">
      <c r="A12" s="1" t="str" cm="1">
        <f t="array" ref="A12">GetMutationLevel(B12)</f>
        <v/>
      </c>
      <c r="B12" s="31" t="s">
        <v>67</v>
      </c>
      <c r="C12" s="19" t="s">
        <v>61</v>
      </c>
      <c r="D12" s="71" t="s">
        <v>98</v>
      </c>
      <c r="E12" s="63">
        <v>250</v>
      </c>
      <c r="F12" s="125" cm="1">
        <f t="array" ref="F12">IsUpgradable(E12)</f>
        <v>1</v>
      </c>
      <c r="G12" s="127">
        <f t="shared" si="0"/>
        <v>4</v>
      </c>
      <c r="H12" s="198">
        <v>4.0999999999999996</v>
      </c>
      <c r="I12" s="123">
        <v>14</v>
      </c>
      <c r="J12" s="63">
        <v>1</v>
      </c>
      <c r="K12" s="7">
        <v>1</v>
      </c>
      <c r="L12" s="7">
        <v>1</v>
      </c>
      <c r="M12" s="7" t="str">
        <f t="shared" si="1"/>
        <v>Max</v>
      </c>
      <c r="N12" s="19" t="str">
        <f t="shared" si="2"/>
        <v/>
      </c>
      <c r="P12" s="9">
        <f>IFERROR(CHOOSE(IF($H12&gt;=Details!$B$4,1,2),Details!$D$4,IF($H12&gt;Details!$B$4-1,IF($H12&lt;1,$H12,MOD($H12,Details!$B$4-1))*10*Details!$C$4,""))/Details!$D$4,0)</f>
        <v>1</v>
      </c>
      <c r="Q12" s="9">
        <f>IFERROR(CHOOSE(IF($H12&gt;=Details!$B$5,1,2),Details!$D$5,IF($H12&gt;Details!$B$5-1,IF($H12&lt;1,Details!$G$4,MOD($H12,Details!$B$5-1))*10*Details!$C$5,""))/Details!$D$5,0)</f>
        <v>1</v>
      </c>
      <c r="R12" s="9">
        <f>IFERROR(CHOOSE(IF($H12&gt;=Details!$B$6,1,2),Details!$D$6,IF($H12&gt;Details!$B$6-1,IF($H12&lt;1,Details!$G$5,MOD($H12,Details!$B$6-1))*10*Details!$C$6,""))/Details!$D$6,0)</f>
        <v>1</v>
      </c>
      <c r="S12" s="9">
        <f>IFERROR(CHOOSE(IF($H12&gt;=Details!$B$7,1,2),Details!$D$7,IF($H12&gt;Details!$B$7-1,IF($H12&lt;1,Details!$G$5,MOD($H12,Details!$B$7-1))*10*Details!$C$7,""))/Details!$D$7,0)</f>
        <v>1</v>
      </c>
      <c r="T12" s="9">
        <f>IFERROR(CHOOSE(IF($H12&gt;=Details!$B$8,1,2),Details!$D$8,IF($H12&gt;Details!$B$8-1,IF($H12&lt;1,Details!$G$5,MOD($H12,Details!$B$8-1))*10*Details!$C$8,""))/Details!$D$8,0)</f>
        <v>0.19999999999999929</v>
      </c>
      <c r="U12" s="9" cm="1">
        <f t="array" ref="U12">SUMPRODUCT(TRANSPOSE(Details!$D$4:$D$8),$P12:$T12)/Details!$D$9</f>
        <v>0.58974358974358942</v>
      </c>
      <c r="V12" s="13" cm="1">
        <f t="array" ref="V12">Details!$D$9-SUMPRODUCT(TRANSPOSE(Details!$D$4:$D$8),$P12:$T12)-$I12</f>
        <v>386.00000000000034</v>
      </c>
      <c r="X12" s="13" cm="1">
        <f t="array" ref="X12">LevelUpgradeCost($E12)</f>
        <v>3503540000</v>
      </c>
      <c r="Y12" s="61">
        <f t="shared" si="4"/>
        <v>1</v>
      </c>
      <c r="AA12" s="110">
        <f t="shared" si="5"/>
        <v>4350</v>
      </c>
      <c r="AB12" s="63">
        <f>RANK($AA12,$AA$3:$AA$47)+COUNTIF($AA$3:$AA12,AA12)-1</f>
        <v>11</v>
      </c>
      <c r="AC12" s="61" cm="1">
        <f t="array" ref="AC12">IFERROR(_xlfn.IFS($AB12&lt;8,1,$AB12&lt;15,2,$AB12&lt;21,3),"")</f>
        <v>2</v>
      </c>
      <c r="AE12" s="63" t="s">
        <v>170</v>
      </c>
      <c r="AF12" s="7" t="s">
        <v>147</v>
      </c>
      <c r="AG12" s="19" t="str">
        <f t="shared" si="6"/>
        <v xml:space="preserve"> </v>
      </c>
      <c r="AI12" s="63" t="s">
        <v>220</v>
      </c>
      <c r="AJ12" s="7"/>
      <c r="AK12" s="19"/>
    </row>
    <row r="13" spans="1:37" ht="12" customHeight="1" x14ac:dyDescent="0.2">
      <c r="A13" s="1" t="str" cm="1">
        <f t="array" ref="A13">GetMutationLevel(B13)</f>
        <v/>
      </c>
      <c r="B13" s="31" t="s">
        <v>62</v>
      </c>
      <c r="C13" s="19" t="s">
        <v>50</v>
      </c>
      <c r="D13" s="71" t="s">
        <v>98</v>
      </c>
      <c r="E13" s="63">
        <v>240</v>
      </c>
      <c r="F13" s="125" cm="1">
        <f t="array" ref="F13">IsUpgradable(E13)</f>
        <v>1</v>
      </c>
      <c r="G13" s="127">
        <f t="shared" si="0"/>
        <v>2</v>
      </c>
      <c r="H13" s="198">
        <v>2.4</v>
      </c>
      <c r="I13" s="123">
        <v>8</v>
      </c>
      <c r="J13" s="63">
        <v>5</v>
      </c>
      <c r="K13" s="7">
        <v>5</v>
      </c>
      <c r="L13" s="7">
        <v>5</v>
      </c>
      <c r="M13" s="7" t="str">
        <f t="shared" si="1"/>
        <v/>
      </c>
      <c r="N13" s="19" t="str">
        <f t="shared" si="2"/>
        <v/>
      </c>
      <c r="P13" s="9">
        <f>IFERROR(CHOOSE(IF($H13&gt;=Details!$B$4,1,2),Details!$D$4,IF($H13&gt;Details!$B$4-1,IF($H13&lt;1,$H13,MOD($H13,Details!$B$4-1))*10*Details!$C$4,""))/Details!$D$4,0)</f>
        <v>1</v>
      </c>
      <c r="Q13" s="9">
        <f>IFERROR(CHOOSE(IF($H13&gt;=Details!$B$5,1,2),Details!$D$5,IF($H13&gt;Details!$B$5-1,IF($H13&lt;1,Details!$G$4,MOD($H13,Details!$B$5-1))*10*Details!$C$5,""))/Details!$D$5,0)</f>
        <v>1</v>
      </c>
      <c r="R13" s="9">
        <f>IFERROR(CHOOSE(IF($H13&gt;=Details!$B$6,1,2),Details!$D$6,IF($H13&gt;Details!$B$6-1,IF($H13&lt;1,Details!$G$5,MOD($H13,Details!$B$6-1))*10*Details!$C$6,""))/Details!$D$6,0)</f>
        <v>0.79999999999999982</v>
      </c>
      <c r="S13" s="9">
        <f>IFERROR(CHOOSE(IF($H13&gt;=Details!$B$7,1,2),Details!$D$7,IF($H13&gt;Details!$B$7-1,IF($H13&lt;1,Details!$G$5,MOD($H13,Details!$B$7-1))*10*Details!$C$7,""))/Details!$D$7,0)</f>
        <v>0</v>
      </c>
      <c r="T13" s="9">
        <f>IFERROR(CHOOSE(IF($H13&gt;=Details!$B$8,1,2),Details!$D$8,IF($H13&gt;Details!$B$8-1,IF($H13&lt;1,Details!$G$5,MOD($H13,Details!$B$8-1))*10*Details!$C$8,""))/Details!$D$8,0)</f>
        <v>0</v>
      </c>
      <c r="U13" s="9" cm="1">
        <f t="array" ref="U13">SUMPRODUCT(TRANSPOSE(Details!$D$4:$D$8),$P13:$T13)/Details!$D$9</f>
        <v>0.15897435897435896</v>
      </c>
      <c r="V13" s="13" cm="1">
        <f t="array" ref="V13">Details!$D$9-SUMPRODUCT(TRANSPOSE(Details!$D$4:$D$8),$P13:$T13)-$I13</f>
        <v>812</v>
      </c>
      <c r="X13" s="13" cm="1">
        <f t="array" ref="X13">LevelUpgradeCost($E13)</f>
        <v>4211940000</v>
      </c>
      <c r="Y13" s="61">
        <f t="shared" si="4"/>
        <v>1</v>
      </c>
      <c r="AA13" s="110">
        <f t="shared" si="5"/>
        <v>2640</v>
      </c>
      <c r="AB13" s="63">
        <f>RANK($AA13,$AA$3:$AA$47)+COUNTIF($AA$3:$AA13,AA13)-1</f>
        <v>22</v>
      </c>
      <c r="AC13" s="61" t="str" cm="1">
        <f t="array" ref="AC13">IFERROR(_xlfn.IFS($AB13&lt;8,1,$AB13&lt;15,2,$AB13&lt;21,3),"")</f>
        <v/>
      </c>
      <c r="AE13" s="63" t="s">
        <v>160</v>
      </c>
      <c r="AF13" s="7" t="str">
        <f t="shared" si="3"/>
        <v xml:space="preserve"> </v>
      </c>
      <c r="AG13" s="19" t="str">
        <f t="shared" si="6"/>
        <v xml:space="preserve"> </v>
      </c>
      <c r="AI13" s="63" t="s">
        <v>207</v>
      </c>
      <c r="AJ13" s="7"/>
      <c r="AK13" s="19"/>
    </row>
    <row r="14" spans="1:37" ht="12" customHeight="1" x14ac:dyDescent="0.2">
      <c r="A14" s="1" t="str" cm="1">
        <f t="array" ref="A14">GetMutationLevel(B14)</f>
        <v/>
      </c>
      <c r="B14" s="31" t="s">
        <v>57</v>
      </c>
      <c r="C14" s="19" t="s">
        <v>53</v>
      </c>
      <c r="D14" s="71" t="s">
        <v>97</v>
      </c>
      <c r="E14" s="63">
        <v>270</v>
      </c>
      <c r="F14" s="125" cm="1">
        <f t="array" ref="F14">IsUpgradable(E14)</f>
        <v>1</v>
      </c>
      <c r="G14" s="127">
        <f t="shared" si="0"/>
        <v>4</v>
      </c>
      <c r="H14" s="198">
        <v>4</v>
      </c>
      <c r="I14" s="123">
        <v>0</v>
      </c>
      <c r="J14" s="63">
        <v>5</v>
      </c>
      <c r="K14" s="7">
        <v>5</v>
      </c>
      <c r="L14" s="7">
        <v>15</v>
      </c>
      <c r="M14" s="7" t="str">
        <f t="shared" si="1"/>
        <v>Max</v>
      </c>
      <c r="N14" s="19" t="str">
        <f t="shared" si="2"/>
        <v/>
      </c>
      <c r="P14" s="9">
        <f>IFERROR(CHOOSE(IF($H14&gt;=Details!$B$4,1,2),Details!$D$4,IF($H14&gt;Details!$B$4-1,IF($H14&lt;1,$H14,MOD($H14,Details!$B$4-1))*10*Details!$C$4,""))/Details!$D$4,0)</f>
        <v>1</v>
      </c>
      <c r="Q14" s="9">
        <f>IFERROR(CHOOSE(IF($H14&gt;=Details!$B$5,1,2),Details!$D$5,IF($H14&gt;Details!$B$5-1,IF($H14&lt;1,Details!$G$4,MOD($H14,Details!$B$5-1))*10*Details!$C$5,""))/Details!$D$5,0)</f>
        <v>1</v>
      </c>
      <c r="R14" s="9">
        <f>IFERROR(CHOOSE(IF($H14&gt;=Details!$B$6,1,2),Details!$D$6,IF($H14&gt;Details!$B$6-1,IF($H14&lt;1,Details!$G$5,MOD($H14,Details!$B$6-1))*10*Details!$C$6,""))/Details!$D$6,0)</f>
        <v>1</v>
      </c>
      <c r="S14" s="9">
        <f>IFERROR(CHOOSE(IF($H14&gt;=Details!$B$7,1,2),Details!$D$7,IF($H14&gt;Details!$B$7-1,IF($H14&lt;1,Details!$G$5,MOD($H14,Details!$B$7-1))*10*Details!$C$7,""))/Details!$D$7,0)</f>
        <v>1</v>
      </c>
      <c r="T14" s="9">
        <f>IFERROR(CHOOSE(IF($H14&gt;=Details!$B$8,1,2),Details!$D$8,IF($H14&gt;Details!$B$8-1,IF($H14&lt;1,Details!$G$5,MOD($H14,Details!$B$8-1))*10*Details!$C$8,""))/Details!$D$8,0)</f>
        <v>0</v>
      </c>
      <c r="U14" s="9" cm="1">
        <f t="array" ref="U14">SUMPRODUCT(TRANSPOSE(Details!$D$4:$D$8),$P14:$T14)/Details!$D$9</f>
        <v>0.48717948717948717</v>
      </c>
      <c r="V14" s="13" cm="1">
        <f t="array" ref="V14">Details!$D$9-SUMPRODUCT(TRANSPOSE(Details!$D$4:$D$8),$P14:$T14)-$I14</f>
        <v>500</v>
      </c>
      <c r="X14" s="13" cm="1">
        <f t="array" ref="X14">LevelUpgradeCost($E14)</f>
        <v>1515640000</v>
      </c>
      <c r="Y14" s="61">
        <f t="shared" si="4"/>
        <v>1</v>
      </c>
      <c r="AA14" s="110">
        <f t="shared" si="5"/>
        <v>4270</v>
      </c>
      <c r="AB14" s="63">
        <f>RANK($AA14,$AA$3:$AA$47)+COUNTIF($AA$3:$AA14,AA14)-1</f>
        <v>14</v>
      </c>
      <c r="AC14" s="61" cm="1">
        <f t="array" ref="AC14">IFERROR(_xlfn.IFS($AB14&lt;8,1,$AB14&lt;15,2,$AB14&lt;21,3),"")</f>
        <v>2</v>
      </c>
      <c r="AE14" s="63" t="s">
        <v>142</v>
      </c>
      <c r="AF14" s="7" t="str">
        <f t="shared" si="3"/>
        <v xml:space="preserve"> </v>
      </c>
      <c r="AG14" s="19" t="str">
        <f t="shared" si="6"/>
        <v xml:space="preserve"> </v>
      </c>
      <c r="AI14" s="63" t="s">
        <v>141</v>
      </c>
      <c r="AJ14" s="7"/>
      <c r="AK14" s="19"/>
    </row>
    <row r="15" spans="1:37" ht="12" customHeight="1" x14ac:dyDescent="0.2">
      <c r="A15" s="1" cm="1">
        <f t="array" ref="A15">GetMutationLevel(B15)</f>
        <v>1</v>
      </c>
      <c r="B15" s="31" t="s">
        <v>214</v>
      </c>
      <c r="C15" s="19" t="s">
        <v>55</v>
      </c>
      <c r="D15" s="71" t="s">
        <v>97</v>
      </c>
      <c r="E15" s="63">
        <v>270</v>
      </c>
      <c r="F15" s="125" cm="1">
        <f t="array" ref="F15">IsUpgradable(E15)</f>
        <v>1</v>
      </c>
      <c r="G15" s="127">
        <f t="shared" si="0"/>
        <v>5</v>
      </c>
      <c r="H15" s="198">
        <v>5</v>
      </c>
      <c r="I15" s="123">
        <v>0</v>
      </c>
      <c r="J15" s="63">
        <v>1</v>
      </c>
      <c r="K15" s="7">
        <v>1</v>
      </c>
      <c r="L15" s="7">
        <v>1</v>
      </c>
      <c r="M15" s="7" t="str">
        <f t="shared" si="1"/>
        <v>Max</v>
      </c>
      <c r="N15" s="19">
        <f t="shared" si="2"/>
        <v>10</v>
      </c>
      <c r="P15" s="9">
        <f>IFERROR(CHOOSE(IF($H15&gt;=Details!$B$4,1,2),Details!$D$4,IF($H15&gt;Details!$B$4-1,IF($H15&lt;1,$H15,MOD($H15,Details!$B$4-1))*10*Details!$C$4,""))/Details!$D$4,0)</f>
        <v>1</v>
      </c>
      <c r="Q15" s="9">
        <f>IFERROR(CHOOSE(IF($H15&gt;=Details!$B$5,1,2),Details!$D$5,IF($H15&gt;Details!$B$5-1,IF($H15&lt;1,Details!$G$4,MOD($H15,Details!$B$5-1))*10*Details!$C$5,""))/Details!$D$5,0)</f>
        <v>1</v>
      </c>
      <c r="R15" s="9">
        <f>IFERROR(CHOOSE(IF($H15&gt;=Details!$B$6,1,2),Details!$D$6,IF($H15&gt;Details!$B$6-1,IF($H15&lt;1,Details!$G$5,MOD($H15,Details!$B$6-1))*10*Details!$C$6,""))/Details!$D$6,0)</f>
        <v>1</v>
      </c>
      <c r="S15" s="9">
        <f>IFERROR(CHOOSE(IF($H15&gt;=Details!$B$7,1,2),Details!$D$7,IF($H15&gt;Details!$B$7-1,IF($H15&lt;1,Details!$G$5,MOD($H15,Details!$B$7-1))*10*Details!$C$7,""))/Details!$D$7,0)</f>
        <v>1</v>
      </c>
      <c r="T15" s="9">
        <f>IFERROR(CHOOSE(IF($H15&gt;=Details!$B$8,1,2),Details!$D$8,IF($H15&gt;Details!$B$8-1,IF($H15&lt;1,Details!$G$5,MOD($H15,Details!$B$8-1))*10*Details!$C$8,""))/Details!$D$8,0)</f>
        <v>1</v>
      </c>
      <c r="U15" s="9" cm="1">
        <f t="array" ref="U15">SUMPRODUCT(TRANSPOSE(Details!$D$4:$D$8),$P15:$T15)/Details!$D$9</f>
        <v>1</v>
      </c>
      <c r="V15" s="13" cm="1">
        <f t="array" ref="V15">Details!$D$9-SUMPRODUCT(TRANSPOSE(Details!$D$4:$D$8),$P15:$T15)-$I15</f>
        <v>0</v>
      </c>
      <c r="X15" s="13" cm="1">
        <f t="array" ref="X15">LevelUpgradeCost($E15)</f>
        <v>1515640000</v>
      </c>
      <c r="Y15" s="61">
        <f t="shared" si="4"/>
        <v>1</v>
      </c>
      <c r="AA15" s="110">
        <f t="shared" si="5"/>
        <v>5270</v>
      </c>
      <c r="AB15" s="63">
        <f>RANK($AA15,$AA$3:$AA$47)+COUNTIF($AA$3:$AA15,AA15)-1</f>
        <v>5</v>
      </c>
      <c r="AC15" s="61" cm="1">
        <f t="array" ref="AC15">IFERROR(_xlfn.IFS($AB15&lt;8,1,$AB15&lt;15,2,$AB15&lt;21,3),"")</f>
        <v>1</v>
      </c>
      <c r="AE15" s="63" t="s">
        <v>184</v>
      </c>
      <c r="AF15" s="7" t="str">
        <f t="shared" si="3"/>
        <v xml:space="preserve"> </v>
      </c>
      <c r="AG15" s="19" t="str">
        <f t="shared" si="6"/>
        <v xml:space="preserve"> </v>
      </c>
      <c r="AI15" s="63"/>
      <c r="AJ15" s="7"/>
      <c r="AK15" s="19"/>
    </row>
    <row r="16" spans="1:37" ht="12" customHeight="1" x14ac:dyDescent="0.2">
      <c r="A16" s="1" t="str" cm="1">
        <f t="array" ref="A16">GetMutationLevel(B16)</f>
        <v/>
      </c>
      <c r="B16" s="31" t="s">
        <v>65</v>
      </c>
      <c r="C16" s="19" t="s">
        <v>55</v>
      </c>
      <c r="D16" s="71" t="s">
        <v>98</v>
      </c>
      <c r="E16" s="63">
        <v>250</v>
      </c>
      <c r="F16" s="125" cm="1">
        <f t="array" ref="F16">IsUpgradable(E16)</f>
        <v>1</v>
      </c>
      <c r="G16" s="127">
        <f t="shared" si="0"/>
        <v>3</v>
      </c>
      <c r="H16" s="198">
        <v>3</v>
      </c>
      <c r="I16" s="123">
        <v>10</v>
      </c>
      <c r="J16" s="63">
        <v>15</v>
      </c>
      <c r="K16" s="7">
        <v>5</v>
      </c>
      <c r="L16" s="7">
        <v>9</v>
      </c>
      <c r="M16" s="7" t="str">
        <f t="shared" si="1"/>
        <v/>
      </c>
      <c r="N16" s="19" t="str">
        <f t="shared" si="2"/>
        <v/>
      </c>
      <c r="P16" s="9">
        <f>IFERROR(CHOOSE(IF($H16&gt;=Details!$B$4,1,2),Details!$D$4,IF($H16&gt;Details!$B$4-1,IF($H16&lt;1,$H16,MOD($H16,Details!$B$4-1))*10*Details!$C$4,""))/Details!$D$4,0)</f>
        <v>1</v>
      </c>
      <c r="Q16" s="9">
        <f>IFERROR(CHOOSE(IF($H16&gt;=Details!$B$5,1,2),Details!$D$5,IF($H16&gt;Details!$B$5-1,IF($H16&lt;1,Details!$G$4,MOD($H16,Details!$B$5-1))*10*Details!$C$5,""))/Details!$D$5,0)</f>
        <v>1</v>
      </c>
      <c r="R16" s="9">
        <f>IFERROR(CHOOSE(IF($H16&gt;=Details!$B$6,1,2),Details!$D$6,IF($H16&gt;Details!$B$6-1,IF($H16&lt;1,Details!$G$5,MOD($H16,Details!$B$6-1))*10*Details!$C$6,""))/Details!$D$6,0)</f>
        <v>1</v>
      </c>
      <c r="S16" s="9">
        <f>IFERROR(CHOOSE(IF($H16&gt;=Details!$B$7,1,2),Details!$D$7,IF($H16&gt;Details!$B$7-1,IF($H16&lt;1,Details!$G$5,MOD($H16,Details!$B$7-1))*10*Details!$C$7,""))/Details!$D$7,0)</f>
        <v>0</v>
      </c>
      <c r="T16" s="9">
        <f>IFERROR(CHOOSE(IF($H16&gt;=Details!$B$8,1,2),Details!$D$8,IF($H16&gt;Details!$B$8-1,IF($H16&lt;1,Details!$G$5,MOD($H16,Details!$B$8-1))*10*Details!$C$8,""))/Details!$D$8,0)</f>
        <v>0</v>
      </c>
      <c r="U16" s="9" cm="1">
        <f t="array" ref="U16">SUMPRODUCT(TRANSPOSE(Details!$D$4:$D$8),$P16:$T16)/Details!$D$9</f>
        <v>0.17948717948717949</v>
      </c>
      <c r="V16" s="13" cm="1">
        <f t="array" ref="V16">Details!$D$9-SUMPRODUCT(TRANSPOSE(Details!$D$4:$D$8),$P16:$T16)-$I16</f>
        <v>790</v>
      </c>
      <c r="X16" s="13" cm="1">
        <f t="array" ref="X16">LevelUpgradeCost($E16)</f>
        <v>3503540000</v>
      </c>
      <c r="Y16" s="61">
        <f t="shared" si="4"/>
        <v>1</v>
      </c>
      <c r="AA16" s="110">
        <f t="shared" si="5"/>
        <v>3250</v>
      </c>
      <c r="AB16" s="63">
        <f>RANK($AA16,$AA$3:$AA$47)+COUNTIF($AA$3:$AA16,AA16)-1</f>
        <v>19</v>
      </c>
      <c r="AC16" s="61" cm="1">
        <f t="array" ref="AC16">IFERROR(_xlfn.IFS($AB16&lt;8,1,$AB16&lt;15,2,$AB16&lt;21,3),"")</f>
        <v>3</v>
      </c>
      <c r="AE16" s="63" t="s">
        <v>159</v>
      </c>
      <c r="AF16" s="7" t="str">
        <f t="shared" si="3"/>
        <v xml:space="preserve"> </v>
      </c>
      <c r="AG16" s="19" t="str">
        <f t="shared" si="6"/>
        <v xml:space="preserve"> </v>
      </c>
      <c r="AI16" s="63" t="s">
        <v>219</v>
      </c>
      <c r="AJ16" s="7"/>
      <c r="AK16" s="19"/>
    </row>
    <row r="17" spans="1:43" ht="12" customHeight="1" x14ac:dyDescent="0.2">
      <c r="A17" s="1" t="str" cm="1">
        <f t="array" ref="A17">GetMutationLevel(B17)</f>
        <v/>
      </c>
      <c r="B17" s="31" t="s">
        <v>70</v>
      </c>
      <c r="C17" s="19" t="s">
        <v>61</v>
      </c>
      <c r="D17" s="71" t="s">
        <v>97</v>
      </c>
      <c r="E17" s="63">
        <v>250</v>
      </c>
      <c r="F17" s="125" cm="1">
        <f t="array" ref="F17">IsUpgradable(E17)</f>
        <v>1</v>
      </c>
      <c r="G17" s="127">
        <f t="shared" si="0"/>
        <v>4</v>
      </c>
      <c r="H17" s="198">
        <v>4</v>
      </c>
      <c r="I17" s="123">
        <v>0</v>
      </c>
      <c r="J17" s="63">
        <v>1</v>
      </c>
      <c r="K17" s="7">
        <v>1</v>
      </c>
      <c r="L17" s="7">
        <v>1</v>
      </c>
      <c r="M17" s="7" t="str">
        <f t="shared" si="1"/>
        <v>Max</v>
      </c>
      <c r="N17" s="19" t="str">
        <f t="shared" si="2"/>
        <v/>
      </c>
      <c r="P17" s="9">
        <f>IFERROR(CHOOSE(IF($H17&gt;=Details!$B$4,1,2),Details!$D$4,IF($H17&gt;Details!$B$4-1,IF($H17&lt;1,$H17,MOD($H17,Details!$B$4-1))*10*Details!$C$4,""))/Details!$D$4,0)</f>
        <v>1</v>
      </c>
      <c r="Q17" s="9">
        <f>IFERROR(CHOOSE(IF($H17&gt;=Details!$B$5,1,2),Details!$D$5,IF($H17&gt;Details!$B$5-1,IF($H17&lt;1,Details!$G$4,MOD($H17,Details!$B$5-1))*10*Details!$C$5,""))/Details!$D$5,0)</f>
        <v>1</v>
      </c>
      <c r="R17" s="9">
        <f>IFERROR(CHOOSE(IF($H17&gt;=Details!$B$6,1,2),Details!$D$6,IF($H17&gt;Details!$B$6-1,IF($H17&lt;1,Details!$G$5,MOD($H17,Details!$B$6-1))*10*Details!$C$6,""))/Details!$D$6,0)</f>
        <v>1</v>
      </c>
      <c r="S17" s="9">
        <f>IFERROR(CHOOSE(IF($H17&gt;=Details!$B$7,1,2),Details!$D$7,IF($H17&gt;Details!$B$7-1,IF($H17&lt;1,Details!$G$5,MOD($H17,Details!$B$7-1))*10*Details!$C$7,""))/Details!$D$7,0)</f>
        <v>1</v>
      </c>
      <c r="T17" s="9">
        <f>IFERROR(CHOOSE(IF($H17&gt;=Details!$B$8,1,2),Details!$D$8,IF($H17&gt;Details!$B$8-1,IF($H17&lt;1,Details!$G$5,MOD($H17,Details!$B$8-1))*10*Details!$C$8,""))/Details!$D$8,0)</f>
        <v>0</v>
      </c>
      <c r="U17" s="9" cm="1">
        <f t="array" ref="U17">SUMPRODUCT(TRANSPOSE(Details!$D$4:$D$8),$P17:$T17)/Details!$D$9</f>
        <v>0.48717948717948717</v>
      </c>
      <c r="V17" s="13" cm="1">
        <f t="array" ref="V17">Details!$D$9-SUMPRODUCT(TRANSPOSE(Details!$D$4:$D$8),$P17:$T17)-$I17</f>
        <v>500</v>
      </c>
      <c r="X17" s="13" cm="1">
        <f t="array" ref="X17">LevelUpgradeCost($E17)</f>
        <v>3503540000</v>
      </c>
      <c r="Y17" s="61">
        <f t="shared" si="4"/>
        <v>1</v>
      </c>
      <c r="AA17" s="110">
        <f t="shared" si="5"/>
        <v>4250</v>
      </c>
      <c r="AB17" s="63">
        <f>RANK($AA17,$AA$3:$AA$47)+COUNTIF($AA$3:$AA17,AA17)-1</f>
        <v>15</v>
      </c>
      <c r="AC17" s="61" cm="1">
        <f t="array" ref="AC17">IFERROR(_xlfn.IFS($AB17&lt;8,1,$AB17&lt;15,2,$AB17&lt;21,3),"")</f>
        <v>3</v>
      </c>
      <c r="AE17" s="63" t="s">
        <v>171</v>
      </c>
      <c r="AF17" s="7" t="s">
        <v>163</v>
      </c>
      <c r="AG17" s="19" t="str">
        <f t="shared" si="6"/>
        <v xml:space="preserve"> </v>
      </c>
      <c r="AI17" s="63" t="s">
        <v>208</v>
      </c>
      <c r="AJ17" s="7"/>
      <c r="AK17" s="19"/>
    </row>
    <row r="18" spans="1:43" ht="12" customHeight="1" x14ac:dyDescent="0.2">
      <c r="A18" s="1" t="str" cm="1">
        <f t="array" ref="A18">GetMutationLevel(B18)</f>
        <v/>
      </c>
      <c r="B18" s="31" t="s">
        <v>74</v>
      </c>
      <c r="C18" s="19" t="s">
        <v>61</v>
      </c>
      <c r="D18" s="71" t="s">
        <v>98</v>
      </c>
      <c r="E18" s="63">
        <v>230</v>
      </c>
      <c r="F18" s="125" cm="1">
        <f t="array" ref="F18">IsUpgradable(E18)</f>
        <v>1</v>
      </c>
      <c r="G18" s="127">
        <f t="shared" si="0"/>
        <v>3</v>
      </c>
      <c r="H18" s="198">
        <v>3.1</v>
      </c>
      <c r="I18" s="123">
        <v>0</v>
      </c>
      <c r="J18" s="63">
        <v>5</v>
      </c>
      <c r="K18" s="7">
        <v>5</v>
      </c>
      <c r="L18" s="7">
        <v>10</v>
      </c>
      <c r="M18" s="7" t="str">
        <f t="shared" si="1"/>
        <v/>
      </c>
      <c r="N18" s="19" t="str">
        <f t="shared" si="2"/>
        <v/>
      </c>
      <c r="P18" s="9">
        <f>IFERROR(CHOOSE(IF($H18&gt;=Details!$B$4,1,2),Details!$D$4,IF($H18&gt;Details!$B$4-1,IF($H18&lt;1,$H18,MOD($H18,Details!$B$4-1))*10*Details!$C$4,""))/Details!$D$4,0)</f>
        <v>1</v>
      </c>
      <c r="Q18" s="9">
        <f>IFERROR(CHOOSE(IF($H18&gt;=Details!$B$5,1,2),Details!$D$5,IF($H18&gt;Details!$B$5-1,IF($H18&lt;1,Details!$G$4,MOD($H18,Details!$B$5-1))*10*Details!$C$5,""))/Details!$D$5,0)</f>
        <v>1</v>
      </c>
      <c r="R18" s="9">
        <f>IFERROR(CHOOSE(IF($H18&gt;=Details!$B$6,1,2),Details!$D$6,IF($H18&gt;Details!$B$6-1,IF($H18&lt;1,Details!$G$5,MOD($H18,Details!$B$6-1))*10*Details!$C$6,""))/Details!$D$6,0)</f>
        <v>1</v>
      </c>
      <c r="S18" s="9">
        <f>IFERROR(CHOOSE(IF($H18&gt;=Details!$B$7,1,2),Details!$D$7,IF($H18&gt;Details!$B$7-1,IF($H18&lt;1,Details!$G$5,MOD($H18,Details!$B$7-1))*10*Details!$C$7,""))/Details!$D$7,0)</f>
        <v>0.20000000000000018</v>
      </c>
      <c r="T18" s="9">
        <f>IFERROR(CHOOSE(IF($H18&gt;=Details!$B$8,1,2),Details!$D$8,IF($H18&gt;Details!$B$8-1,IF($H18&lt;1,Details!$G$5,MOD($H18,Details!$B$8-1))*10*Details!$C$8,""))/Details!$D$8,0)</f>
        <v>0</v>
      </c>
      <c r="U18" s="9" cm="1">
        <f t="array" ref="U18">SUMPRODUCT(TRANSPOSE(Details!$D$4:$D$8),$P18:$T18)/Details!$D$9</f>
        <v>0.24102564102564109</v>
      </c>
      <c r="V18" s="13" cm="1">
        <f t="array" ref="V18">Details!$D$9-SUMPRODUCT(TRANSPOSE(Details!$D$4:$D$8),$P18:$T18)-$I18</f>
        <v>740</v>
      </c>
      <c r="X18" s="13" cm="1">
        <f t="array" ref="X18">LevelUpgradeCost($E18)</f>
        <v>4771140000</v>
      </c>
      <c r="Y18" s="61">
        <f t="shared" si="4"/>
        <v>1</v>
      </c>
      <c r="AA18" s="110">
        <f t="shared" si="5"/>
        <v>3330</v>
      </c>
      <c r="AB18" s="63">
        <f>RANK($AA18,$AA$3:$AA$47)+COUNTIF($AA$3:$AA18,AA18)-1</f>
        <v>17</v>
      </c>
      <c r="AC18" s="61" cm="1">
        <f t="array" ref="AC18">IFERROR(_xlfn.IFS($AB18&lt;8,1,$AB18&lt;15,2,$AB18&lt;21,3),"")</f>
        <v>3</v>
      </c>
      <c r="AE18" s="63" t="s">
        <v>146</v>
      </c>
      <c r="AF18" s="7" t="s">
        <v>175</v>
      </c>
      <c r="AG18" s="19" t="str">
        <f t="shared" si="6"/>
        <v xml:space="preserve"> </v>
      </c>
      <c r="AI18" s="63" t="s">
        <v>212</v>
      </c>
      <c r="AJ18" s="7"/>
      <c r="AK18" s="19"/>
    </row>
    <row r="19" spans="1:43" ht="12" customHeight="1" x14ac:dyDescent="0.2">
      <c r="A19" s="1" t="str" cm="1">
        <f t="array" ref="A19">GetMutationLevel(B19)</f>
        <v/>
      </c>
      <c r="B19" s="31" t="s">
        <v>59</v>
      </c>
      <c r="C19" s="19" t="s">
        <v>50</v>
      </c>
      <c r="D19" s="71" t="s">
        <v>97</v>
      </c>
      <c r="E19" s="63">
        <v>250</v>
      </c>
      <c r="F19" s="125" cm="1">
        <f t="array" ref="F19">IsUpgradable(E19)</f>
        <v>1</v>
      </c>
      <c r="G19" s="127">
        <f t="shared" si="0"/>
        <v>3</v>
      </c>
      <c r="H19" s="198">
        <v>3</v>
      </c>
      <c r="I19" s="123">
        <v>10</v>
      </c>
      <c r="J19" s="63">
        <v>15</v>
      </c>
      <c r="K19" s="7">
        <v>10</v>
      </c>
      <c r="L19" s="7">
        <v>15</v>
      </c>
      <c r="M19" s="7" t="str">
        <f t="shared" si="1"/>
        <v/>
      </c>
      <c r="N19" s="19" t="str">
        <f t="shared" si="2"/>
        <v/>
      </c>
      <c r="P19" s="9">
        <f>IFERROR(CHOOSE(IF($H19&gt;=Details!$B$4,1,2),Details!$D$4,IF($H19&gt;Details!$B$4-1,IF($H19&lt;1,$H19,MOD($H19,Details!$B$4-1))*10*Details!$C$4,""))/Details!$D$4,0)</f>
        <v>1</v>
      </c>
      <c r="Q19" s="9">
        <f>IFERROR(CHOOSE(IF($H19&gt;=Details!$B$5,1,2),Details!$D$5,IF($H19&gt;Details!$B$5-1,IF($H19&lt;1,Details!$G$4,MOD($H19,Details!$B$5-1))*10*Details!$C$5,""))/Details!$D$5,0)</f>
        <v>1</v>
      </c>
      <c r="R19" s="9">
        <f>IFERROR(CHOOSE(IF($H19&gt;=Details!$B$6,1,2),Details!$D$6,IF($H19&gt;Details!$B$6-1,IF($H19&lt;1,Details!$G$5,MOD($H19,Details!$B$6-1))*10*Details!$C$6,""))/Details!$D$6,0)</f>
        <v>1</v>
      </c>
      <c r="S19" s="9">
        <f>IFERROR(CHOOSE(IF($H19&gt;=Details!$B$7,1,2),Details!$D$7,IF($H19&gt;Details!$B$7-1,IF($H19&lt;1,Details!$G$5,MOD($H19,Details!$B$7-1))*10*Details!$C$7,""))/Details!$D$7,0)</f>
        <v>0</v>
      </c>
      <c r="T19" s="9">
        <f>IFERROR(CHOOSE(IF($H19&gt;=Details!$B$8,1,2),Details!$D$8,IF($H19&gt;Details!$B$8-1,IF($H19&lt;1,Details!$G$5,MOD($H19,Details!$B$8-1))*10*Details!$C$8,""))/Details!$D$8,0)</f>
        <v>0</v>
      </c>
      <c r="U19" s="9" cm="1">
        <f t="array" ref="U19">SUMPRODUCT(TRANSPOSE(Details!$D$4:$D$8),$P19:$T19)/Details!$D$9</f>
        <v>0.17948717948717949</v>
      </c>
      <c r="V19" s="13" cm="1">
        <f t="array" ref="V19">Details!$D$9-SUMPRODUCT(TRANSPOSE(Details!$D$4:$D$8),$P19:$T19)-$I19</f>
        <v>790</v>
      </c>
      <c r="X19" s="13" cm="1">
        <f t="array" ref="X19">LevelUpgradeCost($E19)</f>
        <v>3503540000</v>
      </c>
      <c r="Y19" s="61">
        <f t="shared" si="4"/>
        <v>1</v>
      </c>
      <c r="AA19" s="110">
        <f t="shared" si="5"/>
        <v>3250</v>
      </c>
      <c r="AB19" s="63">
        <f>RANK($AA19,$AA$3:$AA$47)+COUNTIF($AA$3:$AA19,AA19)-1</f>
        <v>20</v>
      </c>
      <c r="AC19" s="61" cm="1">
        <f t="array" ref="AC19">IFERROR(_xlfn.IFS($AB19&lt;8,1,$AB19&lt;15,2,$AB19&lt;21,3),"")</f>
        <v>3</v>
      </c>
      <c r="AE19" s="63" t="s">
        <v>157</v>
      </c>
      <c r="AF19" s="7" t="s">
        <v>167</v>
      </c>
      <c r="AG19" s="19" t="str">
        <f t="shared" si="6"/>
        <v xml:space="preserve"> </v>
      </c>
      <c r="AI19" s="63" t="s">
        <v>218</v>
      </c>
      <c r="AJ19" s="7"/>
      <c r="AK19" s="19"/>
    </row>
    <row r="20" spans="1:43" s="17" customFormat="1" ht="12" customHeight="1" x14ac:dyDescent="0.2">
      <c r="A20" s="17" t="str" cm="1">
        <f t="array" ref="A20">GetMutationLevel(B20)</f>
        <v/>
      </c>
      <c r="B20" s="31" t="s">
        <v>75</v>
      </c>
      <c r="C20" s="19" t="s">
        <v>50</v>
      </c>
      <c r="D20" s="71" t="s">
        <v>97</v>
      </c>
      <c r="E20" s="63">
        <v>270</v>
      </c>
      <c r="F20" s="125" cm="1">
        <f t="array" ref="F20">IsUpgradable(E20)</f>
        <v>1</v>
      </c>
      <c r="G20" s="127">
        <f t="shared" si="0"/>
        <v>4</v>
      </c>
      <c r="H20" s="198">
        <v>4.0999999999999996</v>
      </c>
      <c r="I20" s="123">
        <v>13</v>
      </c>
      <c r="J20" s="121">
        <v>15</v>
      </c>
      <c r="K20" s="117">
        <v>15</v>
      </c>
      <c r="L20" s="7">
        <v>15</v>
      </c>
      <c r="M20" s="117" t="str">
        <f t="shared" si="1"/>
        <v>Max</v>
      </c>
      <c r="N20" s="19" t="str">
        <f t="shared" si="2"/>
        <v/>
      </c>
      <c r="P20" s="9">
        <f>IFERROR(CHOOSE(IF($H20&gt;=Details!$B$4,1,2),Details!$D$4,IF($H20&gt;Details!$B$4-1,IF($H20&lt;1,$H20,MOD($H20,Details!$B$4-1))*10*Details!$C$4,""))/Details!$D$4,0)</f>
        <v>1</v>
      </c>
      <c r="Q20" s="9">
        <f>IFERROR(CHOOSE(IF($H20&gt;=Details!$B$5,1,2),Details!$D$5,IF($H20&gt;Details!$B$5-1,IF($H20&lt;1,Details!$G$4,MOD($H20,Details!$B$5-1))*10*Details!$C$5,""))/Details!$D$5,0)</f>
        <v>1</v>
      </c>
      <c r="R20" s="9">
        <f>IFERROR(CHOOSE(IF($H20&gt;=Details!$B$6,1,2),Details!$D$6,IF($H20&gt;Details!$B$6-1,IF($H20&lt;1,Details!$G$5,MOD($H20,Details!$B$6-1))*10*Details!$C$6,""))/Details!$D$6,0)</f>
        <v>1</v>
      </c>
      <c r="S20" s="9">
        <f>IFERROR(CHOOSE(IF($H20&gt;=Details!$B$7,1,2),Details!$D$7,IF($H20&gt;Details!$B$7-1,IF($H20&lt;1,Details!$G$5,MOD($H20,Details!$B$7-1))*10*Details!$C$7,""))/Details!$D$7,0)</f>
        <v>1</v>
      </c>
      <c r="T20" s="9">
        <f>IFERROR(CHOOSE(IF($H20&gt;=Details!$B$8,1,2),Details!$D$8,IF($H20&gt;Details!$B$8-1,IF($H20&lt;1,Details!$G$5,MOD($H20,Details!$B$8-1))*10*Details!$C$8,""))/Details!$D$8,0)</f>
        <v>0.19999999999999929</v>
      </c>
      <c r="U20" s="9" cm="1">
        <f t="array" ref="U20">SUMPRODUCT(TRANSPOSE(Details!$D$4:$D$8),$P20:$T20)/Details!$D$9</f>
        <v>0.58974358974358942</v>
      </c>
      <c r="V20" s="13" cm="1">
        <f t="array" ref="V20">Details!$D$9-SUMPRODUCT(TRANSPOSE(Details!$D$4:$D$8),$P20:$T20)-$I20</f>
        <v>387.00000000000034</v>
      </c>
      <c r="X20" s="13" cm="1">
        <f t="array" ref="X20">LevelUpgradeCost($E20)</f>
        <v>1515640000</v>
      </c>
      <c r="Y20" s="61">
        <f t="shared" si="4"/>
        <v>1</v>
      </c>
      <c r="AA20" s="110">
        <f t="shared" si="5"/>
        <v>4370</v>
      </c>
      <c r="AB20" s="63">
        <f>RANK($AA20,$AA$3:$AA$47)+COUNTIF($AA$3:$AA20,AA20)-1</f>
        <v>9</v>
      </c>
      <c r="AC20" s="61" cm="1">
        <f t="array" ref="AC20">IFERROR(_xlfn.IFS($AB20&lt;8,1,$AB20&lt;15,2,$AB20&lt;21,3),"")</f>
        <v>2</v>
      </c>
      <c r="AD20" s="1"/>
      <c r="AE20" s="121" t="s">
        <v>172</v>
      </c>
      <c r="AF20" s="117" t="str">
        <f t="shared" si="3"/>
        <v xml:space="preserve"> </v>
      </c>
      <c r="AG20" s="212" t="str">
        <f t="shared" si="6"/>
        <v xml:space="preserve"> </v>
      </c>
      <c r="AI20" s="121" t="s">
        <v>206</v>
      </c>
      <c r="AJ20" s="117"/>
      <c r="AK20" s="212"/>
      <c r="AL20" s="1"/>
      <c r="AM20" s="1"/>
      <c r="AN20" s="1"/>
      <c r="AO20" s="1"/>
      <c r="AP20" s="1"/>
      <c r="AQ20" s="1"/>
    </row>
    <row r="21" spans="1:43" ht="12" customHeight="1" x14ac:dyDescent="0.2">
      <c r="A21" s="1" t="str" cm="1">
        <f t="array" ref="A21">GetMutationLevel(B21)</f>
        <v/>
      </c>
      <c r="B21" s="31" t="s">
        <v>66</v>
      </c>
      <c r="C21" s="19" t="s">
        <v>53</v>
      </c>
      <c r="D21" s="71" t="s">
        <v>97</v>
      </c>
      <c r="E21" s="63">
        <v>200</v>
      </c>
      <c r="F21" s="125" cm="1">
        <f t="array" ref="F21">IsUpgradable(E21)</f>
        <v>1</v>
      </c>
      <c r="G21" s="127">
        <f t="shared" si="0"/>
        <v>2</v>
      </c>
      <c r="H21" s="198">
        <v>2</v>
      </c>
      <c r="I21" s="123">
        <v>13</v>
      </c>
      <c r="J21" s="63">
        <v>5</v>
      </c>
      <c r="K21" s="7">
        <v>1</v>
      </c>
      <c r="L21" s="7">
        <v>5</v>
      </c>
      <c r="M21" s="7" t="str">
        <f t="shared" si="1"/>
        <v/>
      </c>
      <c r="N21" s="19" t="str">
        <f t="shared" si="2"/>
        <v/>
      </c>
      <c r="P21" s="9">
        <f>IFERROR(CHOOSE(IF($H21&gt;=Details!$B$4,1,2),Details!$D$4,IF($H21&gt;Details!$B$4-1,IF($H21&lt;1,$H21,MOD($H21,Details!$B$4-1))*10*Details!$C$4,""))/Details!$D$4,0)</f>
        <v>1</v>
      </c>
      <c r="Q21" s="9">
        <f>IFERROR(CHOOSE(IF($H21&gt;=Details!$B$5,1,2),Details!$D$5,IF($H21&gt;Details!$B$5-1,IF($H21&lt;1,Details!$G$4,MOD($H21,Details!$B$5-1))*10*Details!$C$5,""))/Details!$D$5,0)</f>
        <v>1</v>
      </c>
      <c r="R21" s="9">
        <f>IFERROR(CHOOSE(IF($H21&gt;=Details!$B$6,1,2),Details!$D$6,IF($H21&gt;Details!$B$6-1,IF($H21&lt;1,Details!$G$5,MOD($H21,Details!$B$6-1))*10*Details!$C$6,""))/Details!$D$6,0)</f>
        <v>0</v>
      </c>
      <c r="S21" s="9">
        <f>IFERROR(CHOOSE(IF($H21&gt;=Details!$B$7,1,2),Details!$D$7,IF($H21&gt;Details!$B$7-1,IF($H21&lt;1,Details!$G$5,MOD($H21,Details!$B$7-1))*10*Details!$C$7,""))/Details!$D$7,0)</f>
        <v>0</v>
      </c>
      <c r="T21" s="9">
        <f>IFERROR(CHOOSE(IF($H21&gt;=Details!$B$8,1,2),Details!$D$8,IF($H21&gt;Details!$B$8-1,IF($H21&lt;1,Details!$G$5,MOD($H21,Details!$B$8-1))*10*Details!$C$8,""))/Details!$D$8,0)</f>
        <v>0</v>
      </c>
      <c r="U21" s="9" cm="1">
        <f t="array" ref="U21">SUMPRODUCT(TRANSPOSE(Details!$D$4:$D$8),$P21:$T21)/Details!$D$9</f>
        <v>7.6923076923076927E-2</v>
      </c>
      <c r="V21" s="13" cm="1">
        <f t="array" ref="V21">Details!$D$9-SUMPRODUCT(TRANSPOSE(Details!$D$4:$D$8),$P21:$T21)-$I21</f>
        <v>887</v>
      </c>
      <c r="X21" s="13" cm="1">
        <f t="array" ref="X21">LevelUpgradeCost($E21)</f>
        <v>5796240000</v>
      </c>
      <c r="Y21" s="61">
        <f t="shared" si="4"/>
        <v>1</v>
      </c>
      <c r="AA21" s="110">
        <f t="shared" si="5"/>
        <v>2200</v>
      </c>
      <c r="AB21" s="63">
        <f>RANK($AA21,$AA$3:$AA$47)+COUNTIF($AA$3:$AA21,AA21)-1</f>
        <v>31</v>
      </c>
      <c r="AC21" s="61" t="str" cm="1">
        <f t="array" ref="AC21">IFERROR(_xlfn.IFS($AB21&lt;8,1,$AB21&lt;15,2,$AB21&lt;21,3),"")</f>
        <v/>
      </c>
      <c r="AE21" s="63" t="s">
        <v>145</v>
      </c>
      <c r="AF21" s="7" t="s">
        <v>168</v>
      </c>
      <c r="AG21" s="19" t="str">
        <f t="shared" si="6"/>
        <v xml:space="preserve"> </v>
      </c>
      <c r="AI21" s="63" t="s">
        <v>215</v>
      </c>
      <c r="AJ21" s="7"/>
      <c r="AK21" s="19"/>
    </row>
    <row r="22" spans="1:43" ht="12" customHeight="1" x14ac:dyDescent="0.2">
      <c r="A22" s="1" t="str" cm="1">
        <f t="array" ref="A22">GetMutationLevel(B22)</f>
        <v/>
      </c>
      <c r="B22" s="31" t="s">
        <v>68</v>
      </c>
      <c r="C22" s="19" t="s">
        <v>53</v>
      </c>
      <c r="D22" s="71" t="s">
        <v>98</v>
      </c>
      <c r="E22" s="63">
        <v>210</v>
      </c>
      <c r="F22" s="125" cm="1">
        <f t="array" ref="F22">IsUpgradable(E22)</f>
        <v>1</v>
      </c>
      <c r="G22" s="127">
        <f t="shared" si="0"/>
        <v>2</v>
      </c>
      <c r="H22" s="198">
        <v>2.4</v>
      </c>
      <c r="I22" s="123">
        <v>1</v>
      </c>
      <c r="J22" s="63">
        <v>1</v>
      </c>
      <c r="K22" s="7">
        <v>1</v>
      </c>
      <c r="L22" s="7">
        <v>1</v>
      </c>
      <c r="M22" s="7" t="str">
        <f t="shared" si="1"/>
        <v/>
      </c>
      <c r="N22" s="19" t="str">
        <f t="shared" si="2"/>
        <v/>
      </c>
      <c r="P22" s="9">
        <f>IFERROR(CHOOSE(IF($H22&gt;=Details!$B$4,1,2),Details!$D$4,IF($H22&gt;Details!$B$4-1,IF($H22&lt;1,$H22,MOD($H22,Details!$B$4-1))*10*Details!$C$4,""))/Details!$D$4,0)</f>
        <v>1</v>
      </c>
      <c r="Q22" s="9">
        <f>IFERROR(CHOOSE(IF($H22&gt;=Details!$B$5,1,2),Details!$D$5,IF($H22&gt;Details!$B$5-1,IF($H22&lt;1,Details!$G$4,MOD($H22,Details!$B$5-1))*10*Details!$C$5,""))/Details!$D$5,0)</f>
        <v>1</v>
      </c>
      <c r="R22" s="9">
        <f>IFERROR(CHOOSE(IF($H22&gt;=Details!$B$6,1,2),Details!$D$6,IF($H22&gt;Details!$B$6-1,IF($H22&lt;1,Details!$G$5,MOD($H22,Details!$B$6-1))*10*Details!$C$6,""))/Details!$D$6,0)</f>
        <v>0.79999999999999982</v>
      </c>
      <c r="S22" s="9">
        <f>IFERROR(CHOOSE(IF($H22&gt;=Details!$B$7,1,2),Details!$D$7,IF($H22&gt;Details!$B$7-1,IF($H22&lt;1,Details!$G$5,MOD($H22,Details!$B$7-1))*10*Details!$C$7,""))/Details!$D$7,0)</f>
        <v>0</v>
      </c>
      <c r="T22" s="9">
        <f>IFERROR(CHOOSE(IF($H22&gt;=Details!$B$8,1,2),Details!$D$8,IF($H22&gt;Details!$B$8-1,IF($H22&lt;1,Details!$G$5,MOD($H22,Details!$B$8-1))*10*Details!$C$8,""))/Details!$D$8,0)</f>
        <v>0</v>
      </c>
      <c r="U22" s="9" cm="1">
        <f t="array" ref="U22">SUMPRODUCT(TRANSPOSE(Details!$D$4:$D$8),$P22:$T22)/Details!$D$9</f>
        <v>0.15897435897435896</v>
      </c>
      <c r="V22" s="13" cm="1">
        <f t="array" ref="V22">Details!$D$9-SUMPRODUCT(TRANSPOSE(Details!$D$4:$D$8),$P22:$T22)-$I22</f>
        <v>819</v>
      </c>
      <c r="X22" s="13" cm="1">
        <f t="array" ref="X22">LevelUpgradeCost($E22)</f>
        <v>5541940000</v>
      </c>
      <c r="Y22" s="61">
        <f t="shared" si="4"/>
        <v>1</v>
      </c>
      <c r="AA22" s="110">
        <f t="shared" si="5"/>
        <v>2610</v>
      </c>
      <c r="AB22" s="63">
        <f>RANK($AA22,$AA$3:$AA$47)+COUNTIF($AA$3:$AA22,AA22)-1</f>
        <v>24</v>
      </c>
      <c r="AC22" s="61" t="str" cm="1">
        <f t="array" ref="AC22">IFERROR(_xlfn.IFS($AB22&lt;8,1,$AB22&lt;15,2,$AB22&lt;21,3),"")</f>
        <v/>
      </c>
      <c r="AE22" s="63" t="s">
        <v>162</v>
      </c>
      <c r="AF22" s="7" t="s">
        <v>185</v>
      </c>
      <c r="AG22" s="19" t="str">
        <f t="shared" si="6"/>
        <v xml:space="preserve"> </v>
      </c>
      <c r="AI22" s="63" t="s">
        <v>183</v>
      </c>
      <c r="AJ22" s="7"/>
      <c r="AK22" s="19"/>
    </row>
    <row r="23" spans="1:43" ht="12" customHeight="1" x14ac:dyDescent="0.2">
      <c r="A23" s="1" t="str" cm="1">
        <f t="array" ref="A23">GetMutationLevel(B23)</f>
        <v/>
      </c>
      <c r="B23" s="31" t="s">
        <v>76</v>
      </c>
      <c r="C23" s="19" t="s">
        <v>53</v>
      </c>
      <c r="D23" s="71" t="s">
        <v>97</v>
      </c>
      <c r="E23" s="63">
        <v>160</v>
      </c>
      <c r="F23" s="125" cm="1">
        <f t="array" ref="F23">IsUpgradable(E23)</f>
        <v>1</v>
      </c>
      <c r="G23" s="127">
        <f t="shared" si="0"/>
        <v>2</v>
      </c>
      <c r="H23" s="198">
        <v>2.2999999999999998</v>
      </c>
      <c r="I23" s="123">
        <v>10</v>
      </c>
      <c r="J23" s="63">
        <v>1</v>
      </c>
      <c r="K23" s="7">
        <v>1</v>
      </c>
      <c r="L23" s="7">
        <v>1</v>
      </c>
      <c r="M23" s="7" t="str">
        <f t="shared" si="1"/>
        <v/>
      </c>
      <c r="N23" s="19" t="str">
        <f t="shared" si="2"/>
        <v/>
      </c>
      <c r="P23" s="9">
        <f>IFERROR(CHOOSE(IF($H23&gt;=Details!$B$4,1,2),Details!$D$4,IF($H23&gt;Details!$B$4-1,IF($H23&lt;1,$H23,MOD($H23,Details!$B$4-1))*10*Details!$C$4,""))/Details!$D$4,0)</f>
        <v>1</v>
      </c>
      <c r="Q23" s="9">
        <f>IFERROR(CHOOSE(IF($H23&gt;=Details!$B$5,1,2),Details!$D$5,IF($H23&gt;Details!$B$5-1,IF($H23&lt;1,Details!$G$4,MOD($H23,Details!$B$5-1))*10*Details!$C$5,""))/Details!$D$5,0)</f>
        <v>1</v>
      </c>
      <c r="R23" s="9">
        <f>IFERROR(CHOOSE(IF($H23&gt;=Details!$B$6,1,2),Details!$D$6,IF($H23&gt;Details!$B$6-1,IF($H23&lt;1,Details!$G$5,MOD($H23,Details!$B$6-1))*10*Details!$C$6,""))/Details!$D$6,0)</f>
        <v>0.59999999999999964</v>
      </c>
      <c r="S23" s="9">
        <f>IFERROR(CHOOSE(IF($H23&gt;=Details!$B$7,1,2),Details!$D$7,IF($H23&gt;Details!$B$7-1,IF($H23&lt;1,Details!$G$5,MOD($H23,Details!$B$7-1))*10*Details!$C$7,""))/Details!$D$7,0)</f>
        <v>0</v>
      </c>
      <c r="T23" s="9">
        <f>IFERROR(CHOOSE(IF($H23&gt;=Details!$B$8,1,2),Details!$D$8,IF($H23&gt;Details!$B$8-1,IF($H23&lt;1,Details!$G$5,MOD($H23,Details!$B$8-1))*10*Details!$C$8,""))/Details!$D$8,0)</f>
        <v>0</v>
      </c>
      <c r="U23" s="9" cm="1">
        <f t="array" ref="U23">SUMPRODUCT(TRANSPOSE(Details!$D$4:$D$8),$P23:$T23)/Details!$D$9</f>
        <v>0.13846153846153844</v>
      </c>
      <c r="V23" s="13" cm="1">
        <f t="array" ref="V23">Details!$D$9-SUMPRODUCT(TRANSPOSE(Details!$D$4:$D$8),$P23:$T23)-$I23</f>
        <v>830</v>
      </c>
      <c r="X23" s="13" cm="1">
        <f t="array" ref="X23">LevelUpgradeCost($E23)</f>
        <v>6299740000</v>
      </c>
      <c r="Y23" s="61">
        <f t="shared" si="4"/>
        <v>1</v>
      </c>
      <c r="AA23" s="110">
        <f t="shared" si="5"/>
        <v>2460</v>
      </c>
      <c r="AB23" s="63">
        <f>RANK($AA23,$AA$3:$AA$47)+COUNTIF($AA$3:$AA23,AA23)-1</f>
        <v>26</v>
      </c>
      <c r="AC23" s="61" t="str" cm="1">
        <f t="array" ref="AC23">IFERROR(_xlfn.IFS($AB23&lt;8,1,$AB23&lt;15,2,$AB23&lt;21,3),"")</f>
        <v/>
      </c>
      <c r="AE23" s="63" t="s">
        <v>152</v>
      </c>
      <c r="AF23" s="7" t="s">
        <v>188</v>
      </c>
      <c r="AG23" s="19" t="str">
        <f t="shared" si="6"/>
        <v xml:space="preserve"> </v>
      </c>
      <c r="AI23" s="63" t="s">
        <v>82</v>
      </c>
      <c r="AJ23" s="7" t="s">
        <v>112</v>
      </c>
      <c r="AK23" s="19"/>
    </row>
    <row r="24" spans="1:43" ht="12" customHeight="1" x14ac:dyDescent="0.2">
      <c r="A24" s="1" t="str" cm="1">
        <f t="array" ref="A24">GetMutationLevel(B24)</f>
        <v/>
      </c>
      <c r="B24" s="31" t="s">
        <v>64</v>
      </c>
      <c r="C24" s="19" t="s">
        <v>55</v>
      </c>
      <c r="D24" s="71" t="s">
        <v>97</v>
      </c>
      <c r="E24" s="63">
        <v>230</v>
      </c>
      <c r="F24" s="125" cm="1">
        <f t="array" ref="F24">IsUpgradable(E24)</f>
        <v>1</v>
      </c>
      <c r="G24" s="127">
        <f t="shared" si="0"/>
        <v>2</v>
      </c>
      <c r="H24" s="198">
        <v>2</v>
      </c>
      <c r="I24" s="123">
        <v>0</v>
      </c>
      <c r="J24" s="63">
        <v>10</v>
      </c>
      <c r="K24" s="7">
        <v>10</v>
      </c>
      <c r="L24" s="7">
        <v>10</v>
      </c>
      <c r="M24" s="7" t="str">
        <f t="shared" si="1"/>
        <v/>
      </c>
      <c r="N24" s="19" t="str">
        <f t="shared" si="2"/>
        <v/>
      </c>
      <c r="P24" s="9">
        <f>IFERROR(CHOOSE(IF($H24&gt;=Details!$B$4,1,2),Details!$D$4,IF($H24&gt;Details!$B$4-1,IF($H24&lt;1,$H24,MOD($H24,Details!$B$4-1))*10*Details!$C$4,""))/Details!$D$4,0)</f>
        <v>1</v>
      </c>
      <c r="Q24" s="9">
        <f>IFERROR(CHOOSE(IF($H24&gt;=Details!$B$5,1,2),Details!$D$5,IF($H24&gt;Details!$B$5-1,IF($H24&lt;1,Details!$G$4,MOD($H24,Details!$B$5-1))*10*Details!$C$5,""))/Details!$D$5,0)</f>
        <v>1</v>
      </c>
      <c r="R24" s="9">
        <f>IFERROR(CHOOSE(IF($H24&gt;=Details!$B$6,1,2),Details!$D$6,IF($H24&gt;Details!$B$6-1,IF($H24&lt;1,Details!$G$5,MOD($H24,Details!$B$6-1))*10*Details!$C$6,""))/Details!$D$6,0)</f>
        <v>0</v>
      </c>
      <c r="S24" s="9">
        <f>IFERROR(CHOOSE(IF($H24&gt;=Details!$B$7,1,2),Details!$D$7,IF($H24&gt;Details!$B$7-1,IF($H24&lt;1,Details!$G$5,MOD($H24,Details!$B$7-1))*10*Details!$C$7,""))/Details!$D$7,0)</f>
        <v>0</v>
      </c>
      <c r="T24" s="9">
        <f>IFERROR(CHOOSE(IF($H24&gt;=Details!$B$8,1,2),Details!$D$8,IF($H24&gt;Details!$B$8-1,IF($H24&lt;1,Details!$G$5,MOD($H24,Details!$B$8-1))*10*Details!$C$8,""))/Details!$D$8,0)</f>
        <v>0</v>
      </c>
      <c r="U24" s="9" cm="1">
        <f t="array" ref="U24">SUMPRODUCT(TRANSPOSE(Details!$D$4:$D$8),$P24:$T24)/Details!$D$9</f>
        <v>7.6923076923076927E-2</v>
      </c>
      <c r="V24" s="13" cm="1">
        <f t="array" ref="V24">Details!$D$9-SUMPRODUCT(TRANSPOSE(Details!$D$4:$D$8),$P24:$T24)-$I24</f>
        <v>900</v>
      </c>
      <c r="X24" s="13" cm="1">
        <f t="array" ref="X24">LevelUpgradeCost($E24)</f>
        <v>4771140000</v>
      </c>
      <c r="Y24" s="61">
        <f t="shared" si="4"/>
        <v>1</v>
      </c>
      <c r="AA24" s="110">
        <f t="shared" si="5"/>
        <v>2230</v>
      </c>
      <c r="AB24" s="63">
        <f>RANK($AA24,$AA$3:$AA$47)+COUNTIF($AA$3:$AA24,AA24)-1</f>
        <v>30</v>
      </c>
      <c r="AC24" s="61" t="str" cm="1">
        <f t="array" ref="AC24">IFERROR(_xlfn.IFS($AB24&lt;8,1,$AB24&lt;15,2,$AB24&lt;21,3),"")</f>
        <v/>
      </c>
      <c r="AE24" s="63" t="s">
        <v>156</v>
      </c>
      <c r="AF24" s="7" t="s">
        <v>173</v>
      </c>
      <c r="AG24" s="19" t="str">
        <f t="shared" si="6"/>
        <v xml:space="preserve"> </v>
      </c>
      <c r="AI24" s="63" t="s">
        <v>187</v>
      </c>
      <c r="AJ24" s="7"/>
      <c r="AK24" s="19"/>
    </row>
    <row r="25" spans="1:43" ht="12" customHeight="1" x14ac:dyDescent="0.2">
      <c r="A25" s="1" t="str" cm="1">
        <f t="array" ref="A25">GetMutationLevel(B25)</f>
        <v/>
      </c>
      <c r="B25" s="31" t="s">
        <v>71</v>
      </c>
      <c r="C25" s="19" t="s">
        <v>55</v>
      </c>
      <c r="D25" s="71" t="s">
        <v>97</v>
      </c>
      <c r="E25" s="63">
        <v>200</v>
      </c>
      <c r="F25" s="125" cm="1">
        <f t="array" ref="F25">IsUpgradable(E25)</f>
        <v>1</v>
      </c>
      <c r="G25" s="127">
        <f t="shared" si="0"/>
        <v>2</v>
      </c>
      <c r="H25" s="198">
        <v>2.2999999999999998</v>
      </c>
      <c r="I25" s="123">
        <v>0</v>
      </c>
      <c r="J25" s="63">
        <v>1</v>
      </c>
      <c r="K25" s="7">
        <v>1</v>
      </c>
      <c r="L25" s="7">
        <v>1</v>
      </c>
      <c r="M25" s="7" t="str">
        <f t="shared" si="1"/>
        <v/>
      </c>
      <c r="N25" s="19" t="str">
        <f t="shared" si="2"/>
        <v/>
      </c>
      <c r="P25" s="9">
        <f>IFERROR(CHOOSE(IF($H25&gt;=Details!$B$4,1,2),Details!$D$4,IF($H25&gt;Details!$B$4-1,IF($H25&lt;1,$H25,MOD($H25,Details!$B$4-1))*10*Details!$C$4,""))/Details!$D$4,0)</f>
        <v>1</v>
      </c>
      <c r="Q25" s="9">
        <f>IFERROR(CHOOSE(IF($H25&gt;=Details!$B$5,1,2),Details!$D$5,IF($H25&gt;Details!$B$5-1,IF($H25&lt;1,Details!$G$4,MOD($H25,Details!$B$5-1))*10*Details!$C$5,""))/Details!$D$5,0)</f>
        <v>1</v>
      </c>
      <c r="R25" s="9">
        <f>IFERROR(CHOOSE(IF($H25&gt;=Details!$B$6,1,2),Details!$D$6,IF($H25&gt;Details!$B$6-1,IF($H25&lt;1,Details!$G$5,MOD($H25,Details!$B$6-1))*10*Details!$C$6,""))/Details!$D$6,0)</f>
        <v>0.59999999999999964</v>
      </c>
      <c r="S25" s="9">
        <f>IFERROR(CHOOSE(IF($H25&gt;=Details!$B$7,1,2),Details!$D$7,IF($H25&gt;Details!$B$7-1,IF($H25&lt;1,Details!$G$5,MOD($H25,Details!$B$7-1))*10*Details!$C$7,""))/Details!$D$7,0)</f>
        <v>0</v>
      </c>
      <c r="T25" s="9">
        <f>IFERROR(CHOOSE(IF($H25&gt;=Details!$B$8,1,2),Details!$D$8,IF($H25&gt;Details!$B$8-1,IF($H25&lt;1,Details!$G$5,MOD($H25,Details!$B$8-1))*10*Details!$C$8,""))/Details!$D$8,0)</f>
        <v>0</v>
      </c>
      <c r="U25" s="9" cm="1">
        <f t="array" ref="U25">SUMPRODUCT(TRANSPOSE(Details!$D$4:$D$8),$P25:$T25)/Details!$D$9</f>
        <v>0.13846153846153844</v>
      </c>
      <c r="V25" s="13" cm="1">
        <f t="array" ref="V25">Details!$D$9-SUMPRODUCT(TRANSPOSE(Details!$D$4:$D$8),$P25:$T25)-$I25</f>
        <v>840</v>
      </c>
      <c r="X25" s="13" cm="1">
        <f t="array" ref="X25">LevelUpgradeCost($E25)</f>
        <v>5796240000</v>
      </c>
      <c r="Y25" s="61">
        <f t="shared" si="4"/>
        <v>1</v>
      </c>
      <c r="AA25" s="110">
        <f t="shared" si="5"/>
        <v>2500</v>
      </c>
      <c r="AB25" s="63">
        <f>RANK($AA25,$AA$3:$AA$47)+COUNTIF($AA$3:$AA25,AA25)-1</f>
        <v>25</v>
      </c>
      <c r="AC25" s="61" t="str" cm="1">
        <f t="array" ref="AC25">IFERROR(_xlfn.IFS($AB25&lt;8,1,$AB25&lt;15,2,$AB25&lt;21,3),"")</f>
        <v/>
      </c>
      <c r="AE25" s="63" t="s">
        <v>191</v>
      </c>
      <c r="AF25" s="7"/>
      <c r="AG25" s="19" t="str">
        <f t="shared" si="6"/>
        <v xml:space="preserve"> </v>
      </c>
      <c r="AI25" s="63" t="s">
        <v>213</v>
      </c>
      <c r="AJ25" s="7"/>
      <c r="AK25" s="19"/>
    </row>
    <row r="26" spans="1:43" ht="12" customHeight="1" x14ac:dyDescent="0.2">
      <c r="A26" s="1" t="str" cm="1">
        <f t="array" ref="A26">GetMutationLevel(B26)</f>
        <v/>
      </c>
      <c r="B26" s="31" t="s">
        <v>69</v>
      </c>
      <c r="C26" s="19" t="s">
        <v>53</v>
      </c>
      <c r="D26" s="71" t="s">
        <v>98</v>
      </c>
      <c r="E26" s="63">
        <v>200</v>
      </c>
      <c r="F26" s="125" cm="1">
        <f t="array" ref="F26">IsUpgradable(E26)</f>
        <v>1</v>
      </c>
      <c r="G26" s="127">
        <f t="shared" si="0"/>
        <v>2</v>
      </c>
      <c r="H26" s="198">
        <v>2.2000000000000002</v>
      </c>
      <c r="I26" s="123">
        <v>11</v>
      </c>
      <c r="J26" s="63">
        <v>10</v>
      </c>
      <c r="K26" s="7">
        <v>10</v>
      </c>
      <c r="L26" s="7">
        <v>10</v>
      </c>
      <c r="M26" s="7" t="str">
        <f t="shared" si="1"/>
        <v/>
      </c>
      <c r="N26" s="19" t="str">
        <f t="shared" si="2"/>
        <v/>
      </c>
      <c r="P26" s="9">
        <f>IFERROR(CHOOSE(IF($H26&gt;=Details!$B$4,1,2),Details!$D$4,IF($H26&gt;Details!$B$4-1,IF($H26&lt;1,$H26,MOD($H26,Details!$B$4-1))*10*Details!$C$4,""))/Details!$D$4,0)</f>
        <v>1</v>
      </c>
      <c r="Q26" s="9">
        <f>IFERROR(CHOOSE(IF($H26&gt;=Details!$B$5,1,2),Details!$D$5,IF($H26&gt;Details!$B$5-1,IF($H26&lt;1,Details!$G$4,MOD($H26,Details!$B$5-1))*10*Details!$C$5,""))/Details!$D$5,0)</f>
        <v>1</v>
      </c>
      <c r="R26" s="9">
        <f>IFERROR(CHOOSE(IF($H26&gt;=Details!$B$6,1,2),Details!$D$6,IF($H26&gt;Details!$B$6-1,IF($H26&lt;1,Details!$G$5,MOD($H26,Details!$B$6-1))*10*Details!$C$6,""))/Details!$D$6,0)</f>
        <v>0.40000000000000036</v>
      </c>
      <c r="S26" s="9">
        <f>IFERROR(CHOOSE(IF($H26&gt;=Details!$B$7,1,2),Details!$D$7,IF($H26&gt;Details!$B$7-1,IF($H26&lt;1,Details!$G$5,MOD($H26,Details!$B$7-1))*10*Details!$C$7,""))/Details!$D$7,0)</f>
        <v>0</v>
      </c>
      <c r="T26" s="9">
        <f>IFERROR(CHOOSE(IF($H26&gt;=Details!$B$8,1,2),Details!$D$8,IF($H26&gt;Details!$B$8-1,IF($H26&lt;1,Details!$G$5,MOD($H26,Details!$B$8-1))*10*Details!$C$8,""))/Details!$D$8,0)</f>
        <v>0</v>
      </c>
      <c r="U26" s="9" cm="1">
        <f t="array" ref="U26">SUMPRODUCT(TRANSPOSE(Details!$D$4:$D$8),$P26:$T26)/Details!$D$9</f>
        <v>0.11794871794871797</v>
      </c>
      <c r="V26" s="13" cm="1">
        <f t="array" ref="V26">Details!$D$9-SUMPRODUCT(TRANSPOSE(Details!$D$4:$D$8),$P26:$T26)-$I26</f>
        <v>849</v>
      </c>
      <c r="X26" s="13" cm="1">
        <f t="array" ref="X26">LevelUpgradeCost($E26)</f>
        <v>5796240000</v>
      </c>
      <c r="Y26" s="61">
        <f t="shared" si="4"/>
        <v>1</v>
      </c>
      <c r="AA26" s="110">
        <f t="shared" si="5"/>
        <v>2400</v>
      </c>
      <c r="AB26" s="63">
        <f>RANK($AA26,$AA$3:$AA$47)+COUNTIF($AA$3:$AA26,AA26)-1</f>
        <v>29</v>
      </c>
      <c r="AC26" s="61" t="str" cm="1">
        <f t="array" ref="AC26">IFERROR(_xlfn.IFS($AB26&lt;8,1,$AB26&lt;15,2,$AB26&lt;21,3),"")</f>
        <v/>
      </c>
      <c r="AE26" s="63" t="s">
        <v>149</v>
      </c>
      <c r="AF26" s="7" t="s">
        <v>150</v>
      </c>
      <c r="AG26" s="19" t="str">
        <f t="shared" si="6"/>
        <v xml:space="preserve"> </v>
      </c>
      <c r="AI26" s="63" t="s">
        <v>209</v>
      </c>
      <c r="AJ26" s="7"/>
      <c r="AK26" s="19"/>
    </row>
    <row r="27" spans="1:43" ht="12" customHeight="1" x14ac:dyDescent="0.2">
      <c r="A27" s="1" t="str" cm="1">
        <f t="array" ref="A27">GetMutationLevel(B27)</f>
        <v/>
      </c>
      <c r="B27" s="31" t="s">
        <v>72</v>
      </c>
      <c r="C27" s="19" t="s">
        <v>61</v>
      </c>
      <c r="D27" s="71" t="s">
        <v>97</v>
      </c>
      <c r="E27" s="63">
        <v>230</v>
      </c>
      <c r="F27" s="125" cm="1">
        <f t="array" ref="F27">IsUpgradable(E27)</f>
        <v>1</v>
      </c>
      <c r="G27" s="127">
        <f t="shared" si="0"/>
        <v>2</v>
      </c>
      <c r="H27" s="198">
        <v>2.4</v>
      </c>
      <c r="I27" s="123">
        <v>3</v>
      </c>
      <c r="J27" s="63">
        <v>4</v>
      </c>
      <c r="K27" s="7">
        <v>1</v>
      </c>
      <c r="L27" s="7">
        <v>1</v>
      </c>
      <c r="M27" s="7" t="str">
        <f t="shared" si="1"/>
        <v/>
      </c>
      <c r="N27" s="19" t="str">
        <f t="shared" si="2"/>
        <v/>
      </c>
      <c r="P27" s="9">
        <f>IFERROR(CHOOSE(IF($H27&gt;=Details!$B$4,1,2),Details!$D$4,IF($H27&gt;Details!$B$4-1,IF($H27&lt;1,$H27,MOD($H27,Details!$B$4-1))*10*Details!$C$4,""))/Details!$D$4,0)</f>
        <v>1</v>
      </c>
      <c r="Q27" s="9">
        <f>IFERROR(CHOOSE(IF($H27&gt;=Details!$B$5,1,2),Details!$D$5,IF($H27&gt;Details!$B$5-1,IF($H27&lt;1,Details!$G$4,MOD($H27,Details!$B$5-1))*10*Details!$C$5,""))/Details!$D$5,0)</f>
        <v>1</v>
      </c>
      <c r="R27" s="9">
        <f>IFERROR(CHOOSE(IF($H27&gt;=Details!$B$6,1,2),Details!$D$6,IF($H27&gt;Details!$B$6-1,IF($H27&lt;1,Details!$G$5,MOD($H27,Details!$B$6-1))*10*Details!$C$6,""))/Details!$D$6,0)</f>
        <v>0.79999999999999982</v>
      </c>
      <c r="S27" s="9">
        <f>IFERROR(CHOOSE(IF($H27&gt;=Details!$B$7,1,2),Details!$D$7,IF($H27&gt;Details!$B$7-1,IF($H27&lt;1,Details!$G$5,MOD($H27,Details!$B$7-1))*10*Details!$C$7,""))/Details!$D$7,0)</f>
        <v>0</v>
      </c>
      <c r="T27" s="9">
        <f>IFERROR(CHOOSE(IF($H27&gt;=Details!$B$8,1,2),Details!$D$8,IF($H27&gt;Details!$B$8-1,IF($H27&lt;1,Details!$G$5,MOD($H27,Details!$B$8-1))*10*Details!$C$8,""))/Details!$D$8,0)</f>
        <v>0</v>
      </c>
      <c r="U27" s="9" cm="1">
        <f t="array" ref="U27">SUMPRODUCT(TRANSPOSE(Details!$D$4:$D$8),$P27:$T27)/Details!$D$9</f>
        <v>0.15897435897435896</v>
      </c>
      <c r="V27" s="13" cm="1">
        <f t="array" ref="V27">Details!$D$9-SUMPRODUCT(TRANSPOSE(Details!$D$4:$D$8),$P27:$T27)-$I27</f>
        <v>817</v>
      </c>
      <c r="X27" s="13" cm="1">
        <f t="array" ref="X27">LevelUpgradeCost($E27)</f>
        <v>4771140000</v>
      </c>
      <c r="Y27" s="61">
        <f t="shared" si="4"/>
        <v>1</v>
      </c>
      <c r="AA27" s="110">
        <f t="shared" si="5"/>
        <v>2630</v>
      </c>
      <c r="AB27" s="63">
        <f>RANK($AA27,$AA$3:$AA$47)+COUNTIF($AA$3:$AA27,AA27)-1</f>
        <v>23</v>
      </c>
      <c r="AC27" s="61" t="str" cm="1">
        <f t="array" ref="AC27">IFERROR(_xlfn.IFS($AB27&lt;8,1,$AB27&lt;15,2,$AB27&lt;21,3),"")</f>
        <v/>
      </c>
      <c r="AE27" s="63" t="s">
        <v>148</v>
      </c>
      <c r="AF27" s="7" t="str">
        <f t="shared" si="3"/>
        <v xml:space="preserve"> </v>
      </c>
      <c r="AG27" s="19" t="str">
        <f t="shared" si="6"/>
        <v xml:space="preserve"> </v>
      </c>
      <c r="AI27" s="63" t="s">
        <v>221</v>
      </c>
      <c r="AJ27" s="7"/>
      <c r="AK27" s="19"/>
    </row>
    <row r="28" spans="1:43" ht="12" customHeight="1" x14ac:dyDescent="0.2">
      <c r="A28" s="1" t="str" cm="1">
        <f t="array" ref="A28">GetMutationLevel(B28)</f>
        <v/>
      </c>
      <c r="B28" s="150" t="s">
        <v>120</v>
      </c>
      <c r="C28" s="151" t="s">
        <v>55</v>
      </c>
      <c r="D28" s="152" t="s">
        <v>97</v>
      </c>
      <c r="E28" s="153">
        <v>260</v>
      </c>
      <c r="F28" s="125" cm="1">
        <f t="array" ref="F28">IsUpgradable(E28)</f>
        <v>1</v>
      </c>
      <c r="G28" s="127">
        <f>INT(H28)</f>
        <v>5</v>
      </c>
      <c r="H28" s="199">
        <v>5</v>
      </c>
      <c r="I28" s="156">
        <v>128</v>
      </c>
      <c r="J28" s="153">
        <v>1</v>
      </c>
      <c r="K28" s="157">
        <v>1</v>
      </c>
      <c r="L28" s="157">
        <v>1</v>
      </c>
      <c r="M28" s="7" t="str">
        <f t="shared" ref="M28:M34" si="10">IF($G28&gt;3,"Max","")</f>
        <v>Max</v>
      </c>
      <c r="N28" s="19">
        <f t="shared" ref="N28:N34" si="11">IF(H28=5,10,"")</f>
        <v>10</v>
      </c>
      <c r="P28" s="9">
        <f>IFERROR(CHOOSE(IF($H28&gt;=Details!$B$4,1,2),Details!$D$4,IF($H28&gt;Details!$B$4-1,IF($H28&lt;1,$H28,MOD($H28,Details!$B$4-1))*10*Details!$C$4,""))/Details!$D$4,0)</f>
        <v>1</v>
      </c>
      <c r="Q28" s="9">
        <f>IFERROR(CHOOSE(IF($H28&gt;=Details!$B$5,1,2),Details!$D$5,IF($H28&gt;Details!$B$5-1,IF($H28&lt;1,Details!$G$4,MOD($H28,Details!$B$5-1))*10*Details!$C$5,""))/Details!$D$5,0)</f>
        <v>1</v>
      </c>
      <c r="R28" s="9">
        <f>IFERROR(CHOOSE(IF($H28&gt;=Details!$B$6,1,2),Details!$D$6,IF($H28&gt;Details!$B$6-1,IF($H28&lt;1,Details!$G$5,MOD($H28,Details!$B$6-1))*10*Details!$C$6,""))/Details!$D$6,0)</f>
        <v>1</v>
      </c>
      <c r="S28" s="9">
        <f>IFERROR(CHOOSE(IF($H28&gt;=Details!$B$7,1,2),Details!$D$7,IF($H28&gt;Details!$B$7-1,IF($H28&lt;1,Details!$G$5,MOD($H28,Details!$B$7-1))*10*Details!$C$7,""))/Details!$D$7,0)</f>
        <v>1</v>
      </c>
      <c r="T28" s="9">
        <f>IFERROR(CHOOSE(IF($H28&gt;=Details!$B$8,1,2),Details!$D$8,IF($H28&gt;Details!$B$8-1,IF($H28&lt;1,Details!$G$5,MOD($H28,Details!$B$8-1))*10*Details!$C$8,""))/Details!$D$8,0)</f>
        <v>1</v>
      </c>
      <c r="U28" s="9" cm="1">
        <f t="array" ref="U28">SUMPRODUCT(TRANSPOSE(Details!$D$4:$D$8),$P28:$T28)/Details!$D$9</f>
        <v>1</v>
      </c>
      <c r="V28" s="13" cm="1">
        <f t="array" ref="V28">Details!$D$9-SUMPRODUCT(TRANSPOSE(Details!$D$4:$D$8),$P28:$T28)-$I28</f>
        <v>-128</v>
      </c>
      <c r="X28" s="13" cm="1">
        <f t="array" ref="X28">LevelUpgradeCost($E28)</f>
        <v>2616040000</v>
      </c>
      <c r="Y28" s="61">
        <f t="shared" si="4"/>
        <v>1</v>
      </c>
      <c r="AA28" s="110">
        <f t="shared" si="5"/>
        <v>5260</v>
      </c>
      <c r="AB28" s="63">
        <f>RANK($AA28,$AA$3:$AA$47)+COUNTIF($AA$3:$AA28,AA28)-1</f>
        <v>7</v>
      </c>
      <c r="AC28" s="61" cm="1">
        <f t="array" ref="AC28">IFERROR(_xlfn.IFS($AB28&lt;8,1,$AB28&lt;15,2,$AB28&lt;21,3),"")</f>
        <v>1</v>
      </c>
      <c r="AE28" s="63" t="s">
        <v>189</v>
      </c>
      <c r="AF28" s="7" t="str">
        <f t="shared" si="3"/>
        <v xml:space="preserve"> </v>
      </c>
      <c r="AG28" s="19" t="str">
        <f t="shared" si="6"/>
        <v xml:space="preserve"> </v>
      </c>
      <c r="AI28" s="63"/>
      <c r="AJ28" s="7"/>
      <c r="AK28" s="19"/>
    </row>
    <row r="29" spans="1:43" ht="12" customHeight="1" x14ac:dyDescent="0.2">
      <c r="A29" s="1" t="str" cm="1">
        <f t="array" ref="A29">GetMutationLevel(B29)</f>
        <v/>
      </c>
      <c r="B29" s="150" t="s">
        <v>121</v>
      </c>
      <c r="C29" s="151" t="s">
        <v>50</v>
      </c>
      <c r="D29" s="152" t="s">
        <v>97</v>
      </c>
      <c r="E29" s="153">
        <v>230</v>
      </c>
      <c r="F29" s="125" cm="1">
        <f t="array" ref="F29">IsUpgradable(E29)</f>
        <v>1</v>
      </c>
      <c r="G29" s="127">
        <f>INT(H29)</f>
        <v>5</v>
      </c>
      <c r="H29" s="199">
        <v>5</v>
      </c>
      <c r="I29" s="156">
        <v>10</v>
      </c>
      <c r="J29" s="153">
        <v>1</v>
      </c>
      <c r="K29" s="157">
        <v>1</v>
      </c>
      <c r="L29" s="157">
        <v>30</v>
      </c>
      <c r="M29" s="7" t="str">
        <f t="shared" si="10"/>
        <v>Max</v>
      </c>
      <c r="N29" s="19">
        <f t="shared" si="11"/>
        <v>10</v>
      </c>
      <c r="P29" s="9">
        <f>IFERROR(CHOOSE(IF($H29&gt;=Details!$B$4,1,2),Details!$D$4,IF($H29&gt;Details!$B$4-1,IF($H29&lt;1,$H29,MOD($H29,Details!$B$4-1))*10*Details!$C$4,""))/Details!$D$4,0)</f>
        <v>1</v>
      </c>
      <c r="Q29" s="9">
        <f>IFERROR(CHOOSE(IF($H29&gt;=Details!$B$5,1,2),Details!$D$5,IF($H29&gt;Details!$B$5-1,IF($H29&lt;1,Details!$G$4,MOD($H29,Details!$B$5-1))*10*Details!$C$5,""))/Details!$D$5,0)</f>
        <v>1</v>
      </c>
      <c r="R29" s="9">
        <f>IFERROR(CHOOSE(IF($H29&gt;=Details!$B$6,1,2),Details!$D$6,IF($H29&gt;Details!$B$6-1,IF($H29&lt;1,Details!$G$5,MOD($H29,Details!$B$6-1))*10*Details!$C$6,""))/Details!$D$6,0)</f>
        <v>1</v>
      </c>
      <c r="S29" s="9">
        <f>IFERROR(CHOOSE(IF($H29&gt;=Details!$B$7,1,2),Details!$D$7,IF($H29&gt;Details!$B$7-1,IF($H29&lt;1,Details!$G$5,MOD($H29,Details!$B$7-1))*10*Details!$C$7,""))/Details!$D$7,0)</f>
        <v>1</v>
      </c>
      <c r="T29" s="9">
        <f>IFERROR(CHOOSE(IF($H29&gt;=Details!$B$8,1,2),Details!$D$8,IF($H29&gt;Details!$B$8-1,IF($H29&lt;1,Details!$G$5,MOD($H29,Details!$B$8-1))*10*Details!$C$8,""))/Details!$D$8,0)</f>
        <v>1</v>
      </c>
      <c r="U29" s="9" cm="1">
        <f t="array" ref="U29">SUMPRODUCT(TRANSPOSE(Details!$D$4:$D$8),$P29:$T29)/Details!$D$9</f>
        <v>1</v>
      </c>
      <c r="V29" s="13" cm="1">
        <f t="array" ref="V29">Details!$D$9-SUMPRODUCT(TRANSPOSE(Details!$D$4:$D$8),$P29:$T29)-$I29</f>
        <v>-10</v>
      </c>
      <c r="X29" s="13" cm="1">
        <f t="array" ref="X29">LevelUpgradeCost($E29)</f>
        <v>4771140000</v>
      </c>
      <c r="Y29" s="61">
        <f t="shared" si="4"/>
        <v>1</v>
      </c>
      <c r="AA29" s="110">
        <f t="shared" si="5"/>
        <v>5230</v>
      </c>
      <c r="AB29" s="63">
        <f>RANK($AA29,$AA$3:$AA$47)+COUNTIF($AA$3:$AA29,AA29)-1</f>
        <v>8</v>
      </c>
      <c r="AC29" s="61" cm="1">
        <f t="array" ref="AC29">IFERROR(_xlfn.IFS($AB29&lt;8,1,$AB29&lt;15,2,$AB29&lt;21,3),"")</f>
        <v>2</v>
      </c>
      <c r="AE29" s="63" t="s">
        <v>180</v>
      </c>
      <c r="AF29" s="7" t="str">
        <f t="shared" si="3"/>
        <v xml:space="preserve"> </v>
      </c>
      <c r="AG29" s="19" t="str">
        <f t="shared" si="6"/>
        <v xml:space="preserve"> </v>
      </c>
      <c r="AI29" s="63"/>
      <c r="AJ29" s="7"/>
      <c r="AK29" s="19"/>
    </row>
    <row r="30" spans="1:43" ht="12" customHeight="1" x14ac:dyDescent="0.2">
      <c r="A30" s="1" t="str" cm="1">
        <f t="array" ref="A30">GetMutationLevel(B30)</f>
        <v/>
      </c>
      <c r="B30" s="31" t="s">
        <v>236</v>
      </c>
      <c r="C30" s="19" t="s">
        <v>53</v>
      </c>
      <c r="D30" s="71" t="s">
        <v>98</v>
      </c>
      <c r="E30" s="63">
        <v>200</v>
      </c>
      <c r="F30" s="125" cm="1">
        <f t="array" ref="F30">IsUpgradable(E30)</f>
        <v>1</v>
      </c>
      <c r="G30" s="127">
        <f t="shared" ref="G30" si="12">INT(H30)</f>
        <v>4</v>
      </c>
      <c r="H30" s="198">
        <v>4.0999999999999996</v>
      </c>
      <c r="I30" s="123">
        <v>30</v>
      </c>
      <c r="J30" s="153">
        <v>1</v>
      </c>
      <c r="K30" s="157">
        <v>1</v>
      </c>
      <c r="L30" s="157">
        <v>1</v>
      </c>
      <c r="M30" s="7" t="str">
        <f t="shared" si="10"/>
        <v>Max</v>
      </c>
      <c r="N30" s="19" t="str">
        <f t="shared" si="11"/>
        <v/>
      </c>
      <c r="P30" s="9">
        <f>IFERROR(CHOOSE(IF($H30&gt;=Details!$B$4,1,2),Details!$D$4,IF($H30&gt;Details!$B$4-1,IF($H30&lt;1,$H30,MOD($H30,Details!$B$4-1))*10*Details!$C$4,""))/Details!$D$4,0)</f>
        <v>1</v>
      </c>
      <c r="Q30" s="9">
        <f>IFERROR(CHOOSE(IF($H30&gt;=Details!$B$5,1,2),Details!$D$5,IF($H30&gt;Details!$B$5-1,IF($H30&lt;1,Details!$G$4,MOD($H30,Details!$B$5-1))*10*Details!$C$5,""))/Details!$D$5,0)</f>
        <v>1</v>
      </c>
      <c r="R30" s="9">
        <f>IFERROR(CHOOSE(IF($H30&gt;=Details!$B$6,1,2),Details!$D$6,IF($H30&gt;Details!$B$6-1,IF($H30&lt;1,Details!$G$5,MOD($H30,Details!$B$6-1))*10*Details!$C$6,""))/Details!$D$6,0)</f>
        <v>1</v>
      </c>
      <c r="S30" s="9">
        <f>IFERROR(CHOOSE(IF($H30&gt;=Details!$B$7,1,2),Details!$D$7,IF($H30&gt;Details!$B$7-1,IF($H30&lt;1,Details!$G$5,MOD($H30,Details!$B$7-1))*10*Details!$C$7,""))/Details!$D$7,0)</f>
        <v>1</v>
      </c>
      <c r="T30" s="9">
        <f>IFERROR(CHOOSE(IF($H30&gt;=Details!$B$8,1,2),Details!$D$8,IF($H30&gt;Details!$B$8-1,IF($H30&lt;1,Details!$G$5,MOD($H30,Details!$B$8-1))*10*Details!$C$8,""))/Details!$D$8,0)</f>
        <v>0.19999999999999929</v>
      </c>
      <c r="U30" s="9" cm="1">
        <f t="array" ref="U30">SUMPRODUCT(TRANSPOSE(Details!$D$4:$D$8),$P30:$T30)/Details!$D$9</f>
        <v>0.58974358974358942</v>
      </c>
      <c r="V30" s="13" cm="1">
        <f t="array" ref="V30">Details!$D$9-SUMPRODUCT(TRANSPOSE(Details!$D$4:$D$8),$P30:$T30)-$I30</f>
        <v>370.00000000000034</v>
      </c>
      <c r="X30" s="13" cm="1">
        <f t="array" ref="X30">LevelUpgradeCost($E30)</f>
        <v>5796240000</v>
      </c>
      <c r="Y30" s="61">
        <f t="shared" ref="Y30" si="13">F30</f>
        <v>1</v>
      </c>
      <c r="AA30" s="110">
        <f t="shared" si="5"/>
        <v>4300</v>
      </c>
      <c r="AB30" s="63">
        <f>RANK($AA30,$AA$3:$AA$47)+COUNTIF($AA$3:$AA30,AA30)-1</f>
        <v>12</v>
      </c>
      <c r="AC30" s="61" cm="1">
        <f t="array" ref="AC30">IFERROR(_xlfn.IFS($AB30&lt;8,1,$AB30&lt;15,2,$AB30&lt;21,3),"")</f>
        <v>2</v>
      </c>
      <c r="AE30" s="63" t="s">
        <v>239</v>
      </c>
      <c r="AF30" s="7"/>
      <c r="AG30" s="19" t="str">
        <f t="shared" si="6"/>
        <v xml:space="preserve"> </v>
      </c>
      <c r="AI30" s="63"/>
      <c r="AJ30" s="7"/>
      <c r="AK30" s="19"/>
    </row>
    <row r="31" spans="1:43" ht="12" customHeight="1" thickBot="1" x14ac:dyDescent="0.25">
      <c r="A31" s="1" t="str" cm="1">
        <f t="array" ref="A31">GetMutationLevel(B31)</f>
        <v/>
      </c>
      <c r="B31" s="150" t="s">
        <v>73</v>
      </c>
      <c r="C31" s="151" t="s">
        <v>55</v>
      </c>
      <c r="D31" s="152" t="s">
        <v>97</v>
      </c>
      <c r="E31" s="153">
        <v>240</v>
      </c>
      <c r="F31" s="154" cm="1">
        <f t="array" ref="F31">IsUpgradable(E31)</f>
        <v>1</v>
      </c>
      <c r="G31" s="155">
        <f>INT(H31)</f>
        <v>3</v>
      </c>
      <c r="H31" s="199">
        <v>3</v>
      </c>
      <c r="I31" s="156">
        <v>10</v>
      </c>
      <c r="J31" s="153">
        <v>5</v>
      </c>
      <c r="K31" s="157">
        <v>1</v>
      </c>
      <c r="L31" s="157">
        <v>1</v>
      </c>
      <c r="M31" s="157" t="str">
        <f t="shared" si="10"/>
        <v/>
      </c>
      <c r="N31" s="151" t="str">
        <f t="shared" si="11"/>
        <v/>
      </c>
      <c r="P31" s="158">
        <f>IFERROR(CHOOSE(IF($H31&gt;=Details!$B$4,1,2),Details!$D$4,IF($H31&gt;Details!$B$4-1,IF($H31&lt;1,$H31,MOD($H31,Details!$B$4-1))*10*Details!$C$4,""))/Details!$D$4,0)</f>
        <v>1</v>
      </c>
      <c r="Q31" s="9">
        <f>IFERROR(CHOOSE(IF($H31&gt;=Details!$B$5,1,2),Details!$D$5,IF($H31&gt;Details!$B$5-1,IF($H31&lt;1,Details!$G$4,MOD($H31,Details!$B$5-1))*10*Details!$C$5,""))/Details!$D$5,0)</f>
        <v>1</v>
      </c>
      <c r="R31" s="158">
        <f>IFERROR(CHOOSE(IF($H31&gt;=Details!$B$6,1,2),Details!$D$6,IF($H31&gt;Details!$B$6-1,IF($H31&lt;1,Details!$G$5,MOD($H31,Details!$B$6-1))*10*Details!$C$6,""))/Details!$D$6,0)</f>
        <v>1</v>
      </c>
      <c r="S31" s="158">
        <f>IFERROR(CHOOSE(IF($H31&gt;=Details!$B$7,1,2),Details!$D$7,IF($H31&gt;Details!$B$7-1,IF($H31&lt;1,Details!$G$5,MOD($H31,Details!$B$7-1))*10*Details!$C$7,""))/Details!$D$7,0)</f>
        <v>0</v>
      </c>
      <c r="T31" s="158">
        <f>IFERROR(CHOOSE(IF($H31&gt;=Details!$B$8,1,2),Details!$D$8,IF($H31&gt;Details!$B$8-1,IF($H31&lt;1,Details!$G$5,MOD($H31,Details!$B$8-1))*10*Details!$C$8,""))/Details!$D$8,0)</f>
        <v>0</v>
      </c>
      <c r="U31" s="158" cm="1">
        <f t="array" ref="U31">SUMPRODUCT(TRANSPOSE(Details!$D$4:$D$8),$P31:$T31)/Details!$D$9</f>
        <v>0.17948717948717949</v>
      </c>
      <c r="V31" s="159" cm="1">
        <f t="array" ref="V31">Details!$D$9-SUMPRODUCT(TRANSPOSE(Details!$D$4:$D$8),$P31:$T31)-$I31</f>
        <v>790</v>
      </c>
      <c r="X31" s="159" cm="1">
        <f t="array" ref="X31">LevelUpgradeCost($E31)</f>
        <v>4211940000</v>
      </c>
      <c r="Y31" s="160">
        <f t="shared" si="4"/>
        <v>1</v>
      </c>
      <c r="AA31" s="202">
        <f t="shared" si="5"/>
        <v>3240</v>
      </c>
      <c r="AB31" s="153">
        <f>RANK($AA31,$AA$3:$AA$47)+COUNTIF($AA$3:$AA31,AA31)-1</f>
        <v>21</v>
      </c>
      <c r="AC31" s="160" t="str" cm="1">
        <f t="array" ref="AC31">IFERROR(_xlfn.IFS($AB31&lt;8,1,$AB31&lt;15,2,$AB31&lt;21,3),"")</f>
        <v/>
      </c>
      <c r="AE31" s="64" t="s">
        <v>153</v>
      </c>
      <c r="AF31" s="70" t="s">
        <v>166</v>
      </c>
      <c r="AG31" s="20" t="str">
        <f t="shared" si="6"/>
        <v xml:space="preserve"> </v>
      </c>
      <c r="AI31" s="64" t="s">
        <v>217</v>
      </c>
      <c r="AJ31" s="70"/>
      <c r="AK31" s="20"/>
    </row>
    <row r="32" spans="1:43" ht="12" customHeight="1" x14ac:dyDescent="0.2">
      <c r="A32" s="1" t="str" cm="1">
        <f t="array" ref="A32">GetMutationLevel(B32)</f>
        <v/>
      </c>
      <c r="B32" s="171" t="s">
        <v>84</v>
      </c>
      <c r="C32" s="172" t="s">
        <v>50</v>
      </c>
      <c r="D32" s="173" t="s">
        <v>98</v>
      </c>
      <c r="E32" s="174"/>
      <c r="F32" s="175" t="str" cm="1">
        <f t="array" ref="F32">IsUpgradable(E32)</f>
        <v/>
      </c>
      <c r="G32" s="176">
        <f t="shared" ref="G32:G46" si="14">INT(H32)</f>
        <v>0</v>
      </c>
      <c r="H32" s="200"/>
      <c r="I32" s="177"/>
      <c r="J32" s="174" t="str" cm="1">
        <f t="array" ref="J32">IF(E32="","",_xlfn.MAKEARRAY(1,3,_xlfn.LAMBDA(_xlpm.row,_xlpm.col,1)))</f>
        <v/>
      </c>
      <c r="K32" s="178"/>
      <c r="L32" s="178"/>
      <c r="M32" s="178" t="str">
        <f t="shared" si="10"/>
        <v/>
      </c>
      <c r="N32" s="172" t="str">
        <f t="shared" si="11"/>
        <v/>
      </c>
      <c r="O32" s="140"/>
      <c r="P32" s="179">
        <f>IFERROR(CHOOSE(IF($H32&gt;=Details!$B$4,1,2),Details!$D$4,IF($H32&gt;Details!$B$4-1,IF($H32&lt;1,$H32,MOD($H32,Details!$B$4-1))*10*Details!$C$4,""))/Details!$D$4,0)</f>
        <v>0</v>
      </c>
      <c r="Q32" s="9">
        <f>IFERROR(CHOOSE(IF($H32&gt;=Details!$B$5,1,2),Details!$D$5,IF($H32&gt;Details!$B$5-1,IF($H32&lt;1,Details!$G$4,MOD($H32,Details!$B$5-1))*10*Details!$C$5,""))/Details!$D$5,0)</f>
        <v>0</v>
      </c>
      <c r="R32" s="179">
        <f>IFERROR(CHOOSE(IF($H32&gt;=Details!$B$6,1,2),Details!$D$6,IF($H32&gt;Details!$B$6-1,IF($H32&lt;1,Details!$G$5,MOD($H32,Details!$B$6-1))*10*Details!$C$6,""))/Details!$D$6,0)</f>
        <v>0</v>
      </c>
      <c r="S32" s="179">
        <f>IFERROR(CHOOSE(IF($H32&gt;=Details!$B$7,1,2),Details!$D$7,IF($H32&gt;Details!$B$7-1,IF($H32&lt;1,Details!$G$5,MOD($H32,Details!$B$7-1))*10*Details!$C$7,""))/Details!$D$7,0)</f>
        <v>0</v>
      </c>
      <c r="T32" s="179">
        <f>IFERROR(CHOOSE(IF($H32&gt;=Details!$B$8,1,2),Details!$D$8,IF($H32&gt;Details!$B$8-1,IF($H32&lt;1,Details!$G$5,MOD($H32,Details!$B$8-1))*10*Details!$C$8,""))/Details!$D$8,0)</f>
        <v>0</v>
      </c>
      <c r="U32" s="179" cm="1">
        <f t="array" ref="U32">SUMPRODUCT(TRANSPOSE(Details!$D$4:$D$8),$P32:$T32)/Details!$D$9</f>
        <v>0</v>
      </c>
      <c r="V32" s="60" cm="1">
        <f t="array" ref="V32">Details!$D$9-SUMPRODUCT(TRANSPOSE(Details!$D$4:$D$8),$P32:$T32)-$I32</f>
        <v>975</v>
      </c>
      <c r="W32" s="140"/>
      <c r="X32" s="60" cm="1">
        <f t="array" ref="X32">LevelUpgradeCost($E32)</f>
        <v>6424613700</v>
      </c>
      <c r="Y32" s="180" t="str">
        <f t="shared" si="4"/>
        <v/>
      </c>
      <c r="Z32" s="140"/>
      <c r="AA32" s="203">
        <f t="shared" si="5"/>
        <v>0</v>
      </c>
      <c r="AB32" s="174">
        <f>RANK($AA32,$AA$3:$AA$47)+COUNTIF($AA$3:$AA32,AA32)-1</f>
        <v>34</v>
      </c>
      <c r="AC32" s="180" t="str" cm="1">
        <f t="array" ref="AC32">IFERROR(_xlfn.IFS($AB32&lt;8,1,$AB32&lt;15,2,$AB32&lt;21,3),"")</f>
        <v/>
      </c>
      <c r="AE32" s="174" t="s">
        <v>164</v>
      </c>
      <c r="AF32" s="178" t="str">
        <f t="shared" si="3"/>
        <v xml:space="preserve"> </v>
      </c>
      <c r="AG32" s="172" t="str">
        <f t="shared" si="6"/>
        <v xml:space="preserve"> </v>
      </c>
      <c r="AI32" s="174" t="s">
        <v>223</v>
      </c>
      <c r="AJ32" s="178"/>
      <c r="AK32" s="172"/>
    </row>
    <row r="33" spans="1:37" ht="12" customHeight="1" x14ac:dyDescent="0.2">
      <c r="A33" s="1" t="str" cm="1">
        <f t="array" ref="A33">GetMutationLevel(B33)</f>
        <v/>
      </c>
      <c r="B33" s="31" t="s">
        <v>85</v>
      </c>
      <c r="C33" s="19" t="s">
        <v>61</v>
      </c>
      <c r="D33" s="71" t="s">
        <v>97</v>
      </c>
      <c r="E33" s="63">
        <v>270</v>
      </c>
      <c r="F33" s="125" cm="1">
        <f t="array" ref="F33">IsUpgradable(E33)</f>
        <v>1</v>
      </c>
      <c r="G33" s="127">
        <f t="shared" si="14"/>
        <v>5</v>
      </c>
      <c r="H33" s="198">
        <v>5</v>
      </c>
      <c r="I33" s="123">
        <v>0</v>
      </c>
      <c r="J33" s="63" cm="1">
        <f t="array" ref="J33:L33">IF(E33="","",_xlfn.MAKEARRAY(1,3,_xlfn.LAMBDA(_xlpm.row,_xlpm.col,1)))</f>
        <v>1</v>
      </c>
      <c r="K33" s="7">
        <v>1</v>
      </c>
      <c r="L33" s="7">
        <v>1</v>
      </c>
      <c r="M33" s="7" t="str">
        <f t="shared" si="10"/>
        <v>Max</v>
      </c>
      <c r="N33" s="19">
        <f t="shared" si="11"/>
        <v>10</v>
      </c>
      <c r="P33" s="9">
        <f>IFERROR(CHOOSE(IF($H33&gt;=Details!$B$4,1,2),Details!$D$4,IF($H33&gt;Details!$B$4-1,IF($H33&lt;1,$H33,MOD($H33,Details!$B$4-1))*10*Details!$C$4,""))/Details!$D$4,0)</f>
        <v>1</v>
      </c>
      <c r="Q33" s="9">
        <f>IFERROR(CHOOSE(IF($H33&gt;=Details!$B$5,1,2),Details!$D$5,IF($H33&gt;Details!$B$5-1,IF($H33&lt;1,Details!$G$4,MOD($H33,Details!$B$5-1))*10*Details!$C$5,""))/Details!$D$5,0)</f>
        <v>1</v>
      </c>
      <c r="R33" s="9">
        <f>IFERROR(CHOOSE(IF($H33&gt;=Details!$B$6,1,2),Details!$D$6,IF($H33&gt;Details!$B$6-1,IF($H33&lt;1,Details!$G$5,MOD($H33,Details!$B$6-1))*10*Details!$C$6,""))/Details!$D$6,0)</f>
        <v>1</v>
      </c>
      <c r="S33" s="9">
        <f>IFERROR(CHOOSE(IF($H33&gt;=Details!$B$7,1,2),Details!$D$7,IF($H33&gt;Details!$B$7-1,IF($H33&lt;1,Details!$G$5,MOD($H33,Details!$B$7-1))*10*Details!$C$7,""))/Details!$D$7,0)</f>
        <v>1</v>
      </c>
      <c r="T33" s="9">
        <f>IFERROR(CHOOSE(IF($H33&gt;=Details!$B$8,1,2),Details!$D$8,IF($H33&gt;Details!$B$8-1,IF($H33&lt;1,Details!$G$5,MOD($H33,Details!$B$8-1))*10*Details!$C$8,""))/Details!$D$8,0)</f>
        <v>1</v>
      </c>
      <c r="U33" s="9" cm="1">
        <f t="array" ref="U33">SUMPRODUCT(TRANSPOSE(Details!$D$4:$D$8),$P33:$T33)/Details!$D$9</f>
        <v>1</v>
      </c>
      <c r="V33" s="13" cm="1">
        <f t="array" ref="V33">Details!$D$9-SUMPRODUCT(TRANSPOSE(Details!$D$4:$D$8),$P33:$T33)-$I33</f>
        <v>0</v>
      </c>
      <c r="X33" s="13" cm="1">
        <f t="array" ref="X33">LevelUpgradeCost($E33)</f>
        <v>1515640000</v>
      </c>
      <c r="Y33" s="61">
        <f t="shared" si="4"/>
        <v>1</v>
      </c>
      <c r="AA33" s="110">
        <f t="shared" si="5"/>
        <v>5270</v>
      </c>
      <c r="AB33" s="63">
        <f>RANK($AA33,$AA$3:$AA$47)+COUNTIF($AA$3:$AA33,AA33)-1</f>
        <v>6</v>
      </c>
      <c r="AC33" s="61" cm="1">
        <f t="array" ref="AC33">IFERROR(_xlfn.IFS($AB33&lt;8,1,$AB33&lt;15,2,$AB33&lt;21,3),"")</f>
        <v>1</v>
      </c>
      <c r="AE33" s="63" t="s">
        <v>165</v>
      </c>
      <c r="AF33" s="7" t="s">
        <v>181</v>
      </c>
      <c r="AG33" s="19" t="str">
        <f t="shared" si="6"/>
        <v xml:space="preserve"> </v>
      </c>
      <c r="AI33" s="63" t="s">
        <v>224</v>
      </c>
      <c r="AJ33" s="7"/>
      <c r="AK33" s="19"/>
    </row>
    <row r="34" spans="1:37" ht="12" customHeight="1" x14ac:dyDescent="0.2">
      <c r="A34" s="1" t="str" cm="1">
        <f t="array" ref="A34">GetMutationLevel(B34)</f>
        <v/>
      </c>
      <c r="B34" s="31" t="s">
        <v>225</v>
      </c>
      <c r="C34" s="19" t="s">
        <v>55</v>
      </c>
      <c r="D34" s="71" t="s">
        <v>98</v>
      </c>
      <c r="E34" s="63"/>
      <c r="F34" s="125" t="str" cm="1">
        <f t="array" ref="F34">IsUpgradable(E34)</f>
        <v/>
      </c>
      <c r="G34" s="127">
        <f t="shared" si="14"/>
        <v>0</v>
      </c>
      <c r="H34" s="198"/>
      <c r="I34" s="123"/>
      <c r="J34" s="63" t="str" cm="1">
        <f t="array" ref="J34">IF(E34="","",_xlfn.MAKEARRAY(1,3,_xlfn.LAMBDA(_xlpm.row,_xlpm.col,1)))</f>
        <v/>
      </c>
      <c r="K34" s="7"/>
      <c r="L34" s="7"/>
      <c r="M34" s="7" t="str">
        <f t="shared" si="10"/>
        <v/>
      </c>
      <c r="N34" s="19" t="str">
        <f t="shared" si="11"/>
        <v/>
      </c>
      <c r="P34" s="9">
        <f>IFERROR(CHOOSE(IF($H34&gt;=Details!$B$4,1,2),Details!$D$4,IF($H34&gt;Details!$B$4-1,IF($H34&lt;1,$H34,MOD($H34,Details!$B$4-1))*10*Details!$C$4,""))/Details!$D$4,0)</f>
        <v>0</v>
      </c>
      <c r="Q34" s="9">
        <f>IFERROR(CHOOSE(IF($H34&gt;=Details!$B$5,1,2),Details!$D$5,IF($H34&gt;Details!$B$5-1,IF($H34&lt;1,Details!$G$4,MOD($H34,Details!$B$5-1))*10*Details!$C$5,""))/Details!$D$5,0)</f>
        <v>0</v>
      </c>
      <c r="R34" s="9">
        <f>IFERROR(CHOOSE(IF($H34&gt;=Details!$B$6,1,2),Details!$D$6,IF($H34&gt;Details!$B$6-1,IF($H34&lt;1,Details!$G$5,MOD($H34,Details!$B$6-1))*10*Details!$C$6,""))/Details!$D$6,0)</f>
        <v>0</v>
      </c>
      <c r="S34" s="9">
        <f>IFERROR(CHOOSE(IF($H34&gt;=Details!$B$7,1,2),Details!$D$7,IF($H34&gt;Details!$B$7-1,IF($H34&lt;1,Details!$G$5,MOD($H34,Details!$B$7-1))*10*Details!$C$7,""))/Details!$D$7,0)</f>
        <v>0</v>
      </c>
      <c r="T34" s="9">
        <f>IFERROR(CHOOSE(IF($H34&gt;=Details!$B$8,1,2),Details!$D$8,IF($H34&gt;Details!$B$8-1,IF($H34&lt;1,Details!$G$5,MOD($H34,Details!$B$8-1))*10*Details!$C$8,""))/Details!$D$8,0)</f>
        <v>0</v>
      </c>
      <c r="U34" s="9" cm="1">
        <f t="array" ref="U34">SUMPRODUCT(TRANSPOSE(Details!$D$4:$D$8),$P34:$T34)/Details!$D$9</f>
        <v>0</v>
      </c>
      <c r="V34" s="13" cm="1">
        <f t="array" ref="V34">Details!$D$9-SUMPRODUCT(TRANSPOSE(Details!$D$4:$D$8),$P34:$T34)-$I34</f>
        <v>975</v>
      </c>
      <c r="X34" s="13" cm="1">
        <f t="array" ref="X34">LevelUpgradeCost($E34)</f>
        <v>6424613700</v>
      </c>
      <c r="Y34" s="61" t="str">
        <f t="shared" si="4"/>
        <v/>
      </c>
      <c r="AA34" s="110">
        <f t="shared" si="5"/>
        <v>0</v>
      </c>
      <c r="AB34" s="63">
        <f>RANK($AA34,$AA$3:$AA$47)+COUNTIF($AA$3:$AA34,AA34)-1</f>
        <v>35</v>
      </c>
      <c r="AC34" s="61" t="str" cm="1">
        <f t="array" ref="AC34">IFERROR(_xlfn.IFS($AB34&lt;8,1,$AB34&lt;15,2,$AB34&lt;21,3),"")</f>
        <v/>
      </c>
      <c r="AE34" s="63" t="s">
        <v>176</v>
      </c>
      <c r="AF34" s="7" t="str">
        <f t="shared" si="3"/>
        <v xml:space="preserve"> </v>
      </c>
      <c r="AG34" s="19" t="str">
        <f t="shared" si="6"/>
        <v xml:space="preserve"> </v>
      </c>
      <c r="AI34" s="63" t="s">
        <v>86</v>
      </c>
      <c r="AJ34" s="7"/>
      <c r="AK34" s="19"/>
    </row>
    <row r="35" spans="1:37" ht="12" customHeight="1" thickBot="1" x14ac:dyDescent="0.25">
      <c r="A35" s="1" t="str" cm="1">
        <f t="array" ref="A35">GetMutationLevel(B35)</f>
        <v/>
      </c>
      <c r="B35" s="14" t="s">
        <v>139</v>
      </c>
      <c r="C35" s="20" t="s">
        <v>53</v>
      </c>
      <c r="D35" s="72" t="s">
        <v>97</v>
      </c>
      <c r="E35" s="64">
        <v>280</v>
      </c>
      <c r="F35" s="126" t="str" cm="1">
        <f t="array" ref="F35">IsUpgradable(E35)</f>
        <v/>
      </c>
      <c r="G35" s="129">
        <f t="shared" si="14"/>
        <v>5</v>
      </c>
      <c r="H35" s="201">
        <v>5</v>
      </c>
      <c r="I35" s="124">
        <v>0</v>
      </c>
      <c r="J35" s="64">
        <v>30</v>
      </c>
      <c r="K35" s="70">
        <v>30</v>
      </c>
      <c r="L35" s="70">
        <v>30</v>
      </c>
      <c r="M35" s="70" t="str">
        <f t="shared" ref="M35:M46" si="15">IF($G35&gt;3,"Max","")</f>
        <v>Max</v>
      </c>
      <c r="N35" s="20">
        <f t="shared" ref="N35:N46" si="16">IF(H35=5,10,"")</f>
        <v>10</v>
      </c>
      <c r="O35" s="141"/>
      <c r="P35" s="21">
        <f>IFERROR(CHOOSE(IF($H35&gt;=Details!$B$4,1,2),Details!$D$4,IF($H35&gt;Details!$B$4-1,IF($H35&lt;1,$H35,MOD($H35,Details!$B$4-1))*10*Details!$C$4,""))/Details!$D$4,0)</f>
        <v>1</v>
      </c>
      <c r="Q35" s="9">
        <f>IFERROR(CHOOSE(IF($H35&gt;=Details!$B$5,1,2),Details!$D$5,IF($H35&gt;Details!$B$5-1,IF($H35&lt;1,Details!$G$4,MOD($H35,Details!$B$5-1))*10*Details!$C$5,""))/Details!$D$5,0)</f>
        <v>1</v>
      </c>
      <c r="R35" s="21">
        <f>IFERROR(CHOOSE(IF($H35&gt;=Details!$B$6,1,2),Details!$D$6,IF($H35&gt;Details!$B$6-1,IF($H35&lt;1,Details!$G$5,MOD($H35,Details!$B$6-1))*10*Details!$C$6,""))/Details!$D$6,0)</f>
        <v>1</v>
      </c>
      <c r="S35" s="21">
        <f>IFERROR(CHOOSE(IF($H35&gt;=Details!$B$7,1,2),Details!$D$7,IF($H35&gt;Details!$B$7-1,IF($H35&lt;1,Details!$G$5,MOD($H35,Details!$B$7-1))*10*Details!$C$7,""))/Details!$D$7,0)</f>
        <v>1</v>
      </c>
      <c r="T35" s="21">
        <f>IFERROR(CHOOSE(IF($H35&gt;=Details!$B$8,1,2),Details!$D$8,IF($H35&gt;Details!$B$8-1,IF($H35&lt;1,Details!$G$5,MOD($H35,Details!$B$8-1))*10*Details!$C$8,""))/Details!$D$8,0)</f>
        <v>1</v>
      </c>
      <c r="U35" s="21" cm="1">
        <f t="array" ref="U35">SUMPRODUCT(TRANSPOSE(Details!$D$4:$D$8),$P35:$T35)/Details!$D$9</f>
        <v>1</v>
      </c>
      <c r="V35" s="22" cm="1">
        <f t="array" ref="V35">Details!$D$9-SUMPRODUCT(TRANSPOSE(Details!$D$4:$D$8),$P35:$T35)-$I35</f>
        <v>0</v>
      </c>
      <c r="W35" s="141"/>
      <c r="X35" s="22" cm="1">
        <f t="array" ref="X35">LevelUpgradeCost($E35)</f>
        <v>164440000</v>
      </c>
      <c r="Y35" s="62" t="str">
        <f t="shared" si="4"/>
        <v/>
      </c>
      <c r="Z35" s="141"/>
      <c r="AA35" s="112">
        <f t="shared" si="5"/>
        <v>5280</v>
      </c>
      <c r="AB35" s="64">
        <f>RANK($AA35,$AA$3:$AA$47)+COUNTIF($AA$3:$AA35,AA35)-1</f>
        <v>1</v>
      </c>
      <c r="AC35" s="62" cm="1">
        <f t="array" ref="AC35">IFERROR(_xlfn.IFS($AB35&lt;8,1,$AB35&lt;15,2,$AB35&lt;21,3),"")</f>
        <v>1</v>
      </c>
      <c r="AE35" s="64" t="s">
        <v>154</v>
      </c>
      <c r="AF35" s="70" t="s">
        <v>182</v>
      </c>
      <c r="AG35" s="20" t="str">
        <f t="shared" si="6"/>
        <v xml:space="preserve"> </v>
      </c>
      <c r="AI35" s="64" t="s">
        <v>87</v>
      </c>
      <c r="AJ35" s="70"/>
      <c r="AK35" s="20"/>
    </row>
    <row r="36" spans="1:37" ht="12" customHeight="1" x14ac:dyDescent="0.2">
      <c r="A36" s="1" cm="1">
        <f t="array" ref="A36">GetMutationLevel(B36)</f>
        <v>2</v>
      </c>
      <c r="B36" s="161" t="s">
        <v>112</v>
      </c>
      <c r="C36" s="162" t="s">
        <v>53</v>
      </c>
      <c r="D36" s="163" t="s">
        <v>97</v>
      </c>
      <c r="E36" s="174"/>
      <c r="F36" s="164" t="str" cm="1">
        <f t="array" ref="F36">IsUpgradable(E36)</f>
        <v/>
      </c>
      <c r="G36" s="165">
        <f t="shared" si="14"/>
        <v>0</v>
      </c>
      <c r="H36" s="200"/>
      <c r="I36" s="177"/>
      <c r="J36" s="174" t="str" cm="1">
        <f t="array" ref="J36">IF(E36="","",_xlfn.MAKEARRAY(1,3,_xlfn.LAMBDA(_xlpm.row,_xlpm.col,1)))</f>
        <v/>
      </c>
      <c r="K36" s="178"/>
      <c r="L36" s="178"/>
      <c r="M36" s="166" t="str">
        <f t="shared" si="15"/>
        <v/>
      </c>
      <c r="N36" s="167" t="str">
        <f t="shared" si="16"/>
        <v/>
      </c>
      <c r="P36" s="57">
        <f>IFERROR(CHOOSE(IF($H36&gt;=Details!$B$4,1,2),Details!$D$4,IF($H36&gt;Details!$B$4-1,IF($H36&lt;1,$H36,MOD($H36,Details!$B$4-1))*10*Details!$C$4,""))/Details!$D$4,0)</f>
        <v>0</v>
      </c>
      <c r="Q36" s="9">
        <f>IFERROR(CHOOSE(IF($H36&gt;=Details!$B$5,1,2),Details!$D$5,IF($H36&gt;Details!$B$5-1,IF($H36&lt;1,Details!$G$4,MOD($H36,Details!$B$5-1))*10*Details!$C$5,""))/Details!$D$5,0)</f>
        <v>0</v>
      </c>
      <c r="R36" s="57">
        <f>IFERROR(CHOOSE(IF($H36&gt;=Details!$B$6,1,2),Details!$D$6,IF($H36&gt;Details!$B$6-1,IF($H36&lt;1,Details!$G$5,MOD($H36,Details!$B$6-1))*10*Details!$C$6,""))/Details!$D$6,0)</f>
        <v>0</v>
      </c>
      <c r="S36" s="57">
        <f>IFERROR(CHOOSE(IF($H36&gt;=Details!$B$7,1,2),Details!$D$7,IF($H36&gt;Details!$B$7-1,IF($H36&lt;1,Details!$G$5,MOD($H36,Details!$B$7-1))*10*Details!$C$7,""))/Details!$D$7,0)</f>
        <v>0</v>
      </c>
      <c r="T36" s="57">
        <f>IFERROR(CHOOSE(IF($H36&gt;=Details!$B$8,1,2),Details!$D$8,IF($H36&gt;Details!$B$8-1,IF($H36&lt;1,Details!$G$5,MOD($H36,Details!$B$8-1))*10*Details!$C$8,""))/Details!$D$8,0)</f>
        <v>0</v>
      </c>
      <c r="U36" s="57" cm="1">
        <f t="array" ref="U36">SUMPRODUCT(TRANSPOSE(Details!$D$4:$D$8),$P36:$T36)/Details!$D$9</f>
        <v>0</v>
      </c>
      <c r="V36" s="168" cm="1">
        <f t="array" ref="V36">Details!$D$9-SUMPRODUCT(TRANSPOSE(Details!$D$4:$D$8),$P36:$T36)-$I36</f>
        <v>975</v>
      </c>
      <c r="X36" s="168" cm="1">
        <f t="array" ref="X36">LevelUpgradeCost($E36)</f>
        <v>6424613700</v>
      </c>
      <c r="Y36" s="169" t="str">
        <f t="shared" si="4"/>
        <v/>
      </c>
      <c r="AA36" s="108">
        <f t="shared" si="5"/>
        <v>0</v>
      </c>
      <c r="AB36" s="170">
        <f>RANK($AA36,$AA$3:$AA$47)+COUNTIF($AA$3:$AA36,AA36)-1</f>
        <v>36</v>
      </c>
      <c r="AC36" s="169" t="str" cm="1">
        <f t="array" ref="AC36">IFERROR(_xlfn.IFS($AB36&lt;8,1,$AB36&lt;15,2,$AB36&lt;21,3),"")</f>
        <v/>
      </c>
      <c r="AE36" s="170"/>
      <c r="AF36" s="166" t="str">
        <f t="shared" si="3"/>
        <v xml:space="preserve"> </v>
      </c>
      <c r="AG36" s="167" t="str">
        <f t="shared" si="6"/>
        <v xml:space="preserve"> </v>
      </c>
      <c r="AI36" s="170"/>
      <c r="AJ36" s="166"/>
      <c r="AK36" s="167"/>
    </row>
    <row r="37" spans="1:37" ht="12" customHeight="1" x14ac:dyDescent="0.2">
      <c r="B37" s="161" t="s">
        <v>264</v>
      </c>
      <c r="C37" s="162" t="s">
        <v>53</v>
      </c>
      <c r="D37" s="152" t="s">
        <v>97</v>
      </c>
      <c r="E37" s="63"/>
      <c r="F37" s="164" t="str" cm="1">
        <f t="array" ref="F37">IsUpgradable(E37)</f>
        <v/>
      </c>
      <c r="G37" s="165">
        <f t="shared" si="14"/>
        <v>0</v>
      </c>
      <c r="H37" s="198"/>
      <c r="I37" s="123">
        <v>2</v>
      </c>
      <c r="J37" s="63" t="str" cm="1">
        <f t="array" ref="J37">IF(E37="","",_xlfn.MAKEARRAY(1,3,_xlfn.LAMBDA(_xlpm.row,_xlpm.col,1)))</f>
        <v/>
      </c>
      <c r="K37" s="7"/>
      <c r="L37" s="7"/>
      <c r="M37" s="166" t="str">
        <f t="shared" si="15"/>
        <v/>
      </c>
      <c r="N37" s="167" t="str">
        <f t="shared" ref="N37" si="17">IF(H37=5,10,"")</f>
        <v/>
      </c>
      <c r="P37" s="57">
        <f>IFERROR(CHOOSE(IF($H37&gt;=Details!$B$4,1,2),Details!$D$4,IF($H37&gt;Details!$B$4-1,IF($H37&lt;1,$H37,MOD($H37,Details!$B$4-1))*10*Details!$C$4,""))/Details!$D$4,0)</f>
        <v>0</v>
      </c>
      <c r="Q37" s="9">
        <f>IFERROR(CHOOSE(IF($H37&gt;=Details!$B$5,1,2),Details!$D$5,IF($H37&gt;Details!$B$5-1,IF($H37&lt;1,Details!$G$4,MOD($H37,Details!$B$5-1))*10*Details!$C$5,""))/Details!$D$5,0)</f>
        <v>0</v>
      </c>
      <c r="R37" s="57">
        <f>IFERROR(CHOOSE(IF($H37&gt;=Details!$B$6,1,2),Details!$D$6,IF($H37&gt;Details!$B$6-1,IF($H37&lt;1,Details!$G$5,MOD($H37,Details!$B$6-1))*10*Details!$C$6,""))/Details!$D$6,0)</f>
        <v>0</v>
      </c>
      <c r="S37" s="57">
        <f>IFERROR(CHOOSE(IF($H37&gt;=Details!$B$7,1,2),Details!$D$7,IF($H37&gt;Details!$B$7-1,IF($H37&lt;1,Details!$G$5,MOD($H37,Details!$B$7-1))*10*Details!$C$7,""))/Details!$D$7,0)</f>
        <v>0</v>
      </c>
      <c r="T37" s="57">
        <f>IFERROR(CHOOSE(IF($H37&gt;=Details!$B$8,1,2),Details!$D$8,IF($H37&gt;Details!$B$8-1,IF($H37&lt;1,Details!$G$5,MOD($H37,Details!$B$8-1))*10*Details!$C$8,""))/Details!$D$8,0)</f>
        <v>0</v>
      </c>
      <c r="U37" s="57" cm="1">
        <f t="array" ref="U37">SUMPRODUCT(TRANSPOSE(Details!$D$4:$D$8),$P37:$T37)/Details!$D$9</f>
        <v>0</v>
      </c>
      <c r="V37" s="168" cm="1">
        <f t="array" ref="V37">Details!$D$9-SUMPRODUCT(TRANSPOSE(Details!$D$4:$D$8),$P37:$T37)-$I37</f>
        <v>973</v>
      </c>
      <c r="X37" s="168" cm="1">
        <f t="array" ref="X37">LevelUpgradeCost($E37)</f>
        <v>6424613700</v>
      </c>
      <c r="Y37" s="169" t="str">
        <f t="shared" si="4"/>
        <v/>
      </c>
      <c r="AA37" s="108">
        <f t="shared" si="5"/>
        <v>0</v>
      </c>
      <c r="AB37" s="170">
        <f>RANK($AA37,$AA$3:$AA$47)+COUNTIF($AA$3:$AA37,AA37)-1</f>
        <v>37</v>
      </c>
      <c r="AC37" s="169" t="str" cm="1">
        <f t="array" ref="AC37">IFERROR(_xlfn.IFS($AB37&lt;8,1,$AB37&lt;15,2,$AB37&lt;21,3),"")</f>
        <v/>
      </c>
      <c r="AE37" s="170" t="s">
        <v>265</v>
      </c>
      <c r="AF37" s="166" t="str">
        <f t="shared" si="3"/>
        <v xml:space="preserve"> </v>
      </c>
      <c r="AG37" s="167"/>
      <c r="AI37" s="170"/>
      <c r="AJ37" s="166"/>
      <c r="AK37" s="167"/>
    </row>
    <row r="38" spans="1:37" ht="12" customHeight="1" x14ac:dyDescent="0.2">
      <c r="B38" s="161" t="s">
        <v>263</v>
      </c>
      <c r="C38" s="162" t="s">
        <v>53</v>
      </c>
      <c r="D38" s="152" t="s">
        <v>97</v>
      </c>
      <c r="E38" s="63"/>
      <c r="F38" s="164" t="str" cm="1">
        <f t="array" ref="F38">IsUpgradable(E38)</f>
        <v/>
      </c>
      <c r="G38" s="165">
        <f t="shared" ref="G38" si="18">INT(H38)</f>
        <v>0</v>
      </c>
      <c r="H38" s="198"/>
      <c r="I38" s="123"/>
      <c r="J38" s="63" t="str" cm="1">
        <f t="array" ref="J38">IF(E38="","",_xlfn.MAKEARRAY(1,3,_xlfn.LAMBDA(_xlpm.row,_xlpm.col,1)))</f>
        <v/>
      </c>
      <c r="K38" s="7"/>
      <c r="L38" s="7"/>
      <c r="M38" s="166" t="str">
        <f t="shared" si="15"/>
        <v/>
      </c>
      <c r="N38" s="167" t="str">
        <f t="shared" ref="N38" si="19">IF(H38=5,10,"")</f>
        <v/>
      </c>
      <c r="P38" s="57">
        <f>IFERROR(CHOOSE(IF($H38&gt;=Details!$B$4,1,2),Details!$D$4,IF($H38&gt;Details!$B$4-1,IF($H38&lt;1,$H38,MOD($H38,Details!$B$4-1))*10*Details!$C$4,""))/Details!$D$4,0)</f>
        <v>0</v>
      </c>
      <c r="Q38" s="9">
        <f>IFERROR(CHOOSE(IF($H38&gt;=Details!$B$5,1,2),Details!$D$5,IF($H38&gt;Details!$B$5-1,IF($H38&lt;1,Details!$G$4,MOD($H38,Details!$B$5-1))*10*Details!$C$5,""))/Details!$D$5,0)</f>
        <v>0</v>
      </c>
      <c r="R38" s="57">
        <f>IFERROR(CHOOSE(IF($H38&gt;=Details!$B$6,1,2),Details!$D$6,IF($H38&gt;Details!$B$6-1,IF($H38&lt;1,Details!$G$5,MOD($H38,Details!$B$6-1))*10*Details!$C$6,""))/Details!$D$6,0)</f>
        <v>0</v>
      </c>
      <c r="S38" s="57">
        <f>IFERROR(CHOOSE(IF($H38&gt;=Details!$B$7,1,2),Details!$D$7,IF($H38&gt;Details!$B$7-1,IF($H38&lt;1,Details!$G$5,MOD($H38,Details!$B$7-1))*10*Details!$C$7,""))/Details!$D$7,0)</f>
        <v>0</v>
      </c>
      <c r="T38" s="57">
        <f>IFERROR(CHOOSE(IF($H38&gt;=Details!$B$8,1,2),Details!$D$8,IF($H38&gt;Details!$B$8-1,IF($H38&lt;1,Details!$G$5,MOD($H38,Details!$B$8-1))*10*Details!$C$8,""))/Details!$D$8,0)</f>
        <v>0</v>
      </c>
      <c r="U38" s="57" cm="1">
        <f t="array" ref="U38">SUMPRODUCT(TRANSPOSE(Details!$D$4:$D$8),$P38:$T38)/Details!$D$9</f>
        <v>0</v>
      </c>
      <c r="V38" s="168" cm="1">
        <f t="array" ref="V38">Details!$D$9-SUMPRODUCT(TRANSPOSE(Details!$D$4:$D$8),$P38:$T38)-$I38</f>
        <v>975</v>
      </c>
      <c r="X38" s="168" cm="1">
        <f t="array" ref="X38">LevelUpgradeCost($E38)</f>
        <v>6424613700</v>
      </c>
      <c r="Y38" s="169" t="str">
        <f t="shared" ref="Y38" si="20">F38</f>
        <v/>
      </c>
      <c r="AA38" s="108">
        <f t="shared" si="5"/>
        <v>0</v>
      </c>
      <c r="AB38" s="170">
        <f>RANK($AA38,$AA$3:$AA$47)+COUNTIF($AA$3:$AA38,AA38)-1</f>
        <v>38</v>
      </c>
      <c r="AC38" s="169" t="str" cm="1">
        <f t="array" ref="AC38">IFERROR(_xlfn.IFS($AB38&lt;8,1,$AB38&lt;15,2,$AB38&lt;21,3),"")</f>
        <v/>
      </c>
      <c r="AE38" s="170" t="s">
        <v>265</v>
      </c>
      <c r="AF38" s="166" t="str">
        <f t="shared" si="3"/>
        <v xml:space="preserve"> </v>
      </c>
      <c r="AG38" s="167"/>
      <c r="AI38" s="170" t="s">
        <v>263</v>
      </c>
      <c r="AJ38" s="166"/>
      <c r="AK38" s="167"/>
    </row>
    <row r="39" spans="1:37" ht="12" customHeight="1" x14ac:dyDescent="0.2">
      <c r="B39" s="150" t="s">
        <v>58</v>
      </c>
      <c r="C39" s="151" t="s">
        <v>55</v>
      </c>
      <c r="D39" s="152" t="s">
        <v>97</v>
      </c>
      <c r="E39" s="153">
        <v>1</v>
      </c>
      <c r="F39" s="125" cm="1">
        <f t="array" ref="F39">IsUpgradable(E39)</f>
        <v>1</v>
      </c>
      <c r="G39" s="127">
        <f t="shared" ref="G39" si="21">INT(H39)</f>
        <v>0</v>
      </c>
      <c r="H39" s="199">
        <v>0</v>
      </c>
      <c r="I39" s="156">
        <v>0</v>
      </c>
      <c r="J39" s="153" cm="1">
        <f t="array" ref="J39:L39">IF(E39="","",_xlfn.MAKEARRAY(1,3,_xlfn.LAMBDA(_xlpm.row,_xlpm.col,1)))</f>
        <v>1</v>
      </c>
      <c r="K39" s="157">
        <v>1</v>
      </c>
      <c r="L39" s="157">
        <v>1</v>
      </c>
      <c r="M39" s="7" t="str">
        <f t="shared" si="15"/>
        <v/>
      </c>
      <c r="N39" s="19" t="str">
        <f t="shared" ref="N39" si="22">IF(H39=5,10,"")</f>
        <v/>
      </c>
      <c r="P39" s="9">
        <f>IFERROR(CHOOSE(IF($H39&gt;=Details!$B$4,1,2),Details!$D$4,IF($H39&gt;Details!$B$4-1,IF($H39&lt;1,$H39,MOD($H39,Details!$B$4-1))*10*Details!$C$4,""))/Details!$D$4,0)</f>
        <v>0</v>
      </c>
      <c r="Q39" s="9">
        <f>IFERROR(CHOOSE(IF($H39&gt;=Details!$B$5,1,2),Details!$D$5,IF($H39&gt;Details!$B$5-1,IF($H39&lt;1,Details!$G$4,MOD($H39,Details!$B$5-1))*10*Details!$C$5,""))/Details!$D$5,0)</f>
        <v>0</v>
      </c>
      <c r="R39" s="9">
        <f>IFERROR(CHOOSE(IF($H39&gt;=Details!$B$6,1,2),Details!$D$6,IF($H39&gt;Details!$B$6-1,IF($H39&lt;1,Details!$G$5,MOD($H39,Details!$B$6-1))*10*Details!$C$6,""))/Details!$D$6,0)</f>
        <v>0</v>
      </c>
      <c r="S39" s="9">
        <f>IFERROR(CHOOSE(IF($H39&gt;=Details!$B$7,1,2),Details!$D$7,IF($H39&gt;Details!$B$7-1,IF($H39&lt;1,Details!$G$5,MOD($H39,Details!$B$7-1))*10*Details!$C$7,""))/Details!$D$7,0)</f>
        <v>0</v>
      </c>
      <c r="T39" s="9">
        <f>IFERROR(CHOOSE(IF($H39&gt;=Details!$B$8,1,2),Details!$D$8,IF($H39&gt;Details!$B$8-1,IF($H39&lt;1,Details!$G$5,MOD($H39,Details!$B$8-1))*10*Details!$C$8,""))/Details!$D$8,0)</f>
        <v>0</v>
      </c>
      <c r="U39" s="9" cm="1">
        <f t="array" ref="U39">SUMPRODUCT(TRANSPOSE(Details!$D$4:$D$8),$P39:$T39)/Details!$D$9</f>
        <v>0</v>
      </c>
      <c r="V39" s="13" cm="1">
        <f t="array" ref="V39">Details!$D$9-SUMPRODUCT(TRANSPOSE(Details!$D$4:$D$8),$P39:$T39)-$I39</f>
        <v>975</v>
      </c>
      <c r="X39" s="13" cm="1">
        <f t="array" ref="X39">LevelUpgradeCost($E39)</f>
        <v>6424613700</v>
      </c>
      <c r="Y39" s="61">
        <f t="shared" ref="Y39" si="23">F39</f>
        <v>1</v>
      </c>
      <c r="AA39" s="110">
        <f t="shared" si="5"/>
        <v>1</v>
      </c>
      <c r="AB39" s="63">
        <f>RANK($AA39,$AA$3:$AA$47)+COUNTIF($AA$3:$AA39,AA39)-1</f>
        <v>33</v>
      </c>
      <c r="AC39" s="61" t="str" cm="1">
        <f t="array" ref="AC39">IFERROR(_xlfn.IFS($AB39&lt;8,1,$AB39&lt;15,2,$AB39&lt;21,3),"")</f>
        <v/>
      </c>
      <c r="AE39" s="63" t="s">
        <v>184</v>
      </c>
      <c r="AF39" s="7" t="str">
        <f t="shared" si="3"/>
        <v xml:space="preserve"> </v>
      </c>
      <c r="AG39" s="19" t="str">
        <f t="shared" si="6"/>
        <v xml:space="preserve"> </v>
      </c>
      <c r="AI39" s="63" t="s">
        <v>214</v>
      </c>
      <c r="AJ39" s="7"/>
      <c r="AK39" s="19"/>
    </row>
    <row r="40" spans="1:37" ht="12" customHeight="1" x14ac:dyDescent="0.2">
      <c r="A40" s="1" t="str" cm="1">
        <f t="array" ref="A40">GetMutationLevel(B40)</f>
        <v/>
      </c>
      <c r="B40" s="150" t="s">
        <v>113</v>
      </c>
      <c r="C40" s="151" t="s">
        <v>61</v>
      </c>
      <c r="D40" s="152" t="s">
        <v>97</v>
      </c>
      <c r="E40" s="153"/>
      <c r="F40" s="125" t="str" cm="1">
        <f t="array" ref="F40">IsUpgradable(E40)</f>
        <v/>
      </c>
      <c r="G40" s="127">
        <f t="shared" si="14"/>
        <v>0</v>
      </c>
      <c r="H40" s="199"/>
      <c r="I40" s="156"/>
      <c r="J40" s="153" t="str" cm="1">
        <f t="array" ref="J40">IF(E40="","",_xlfn.MAKEARRAY(1,3,_xlfn.LAMBDA(_xlpm.row,_xlpm.col,1)))</f>
        <v/>
      </c>
      <c r="K40" s="157"/>
      <c r="L40" s="157"/>
      <c r="M40" s="7" t="str">
        <f t="shared" si="15"/>
        <v/>
      </c>
      <c r="N40" s="19" t="str">
        <f t="shared" si="16"/>
        <v/>
      </c>
      <c r="P40" s="9">
        <f>IFERROR(CHOOSE(IF($H40&gt;=Details!$B$4,1,2),Details!$D$4,IF($H40&gt;Details!$B$4-1,IF($H40&lt;1,$H40,MOD($H40,Details!$B$4-1))*10*Details!$C$4,""))/Details!$D$4,0)</f>
        <v>0</v>
      </c>
      <c r="Q40" s="9">
        <f>IFERROR(CHOOSE(IF($H40&gt;=Details!$B$5,1,2),Details!$D$5,IF($H40&gt;Details!$B$5-1,IF($H40&lt;1,Details!$G$4,MOD($H40,Details!$B$5-1))*10*Details!$C$5,""))/Details!$D$5,0)</f>
        <v>0</v>
      </c>
      <c r="R40" s="9">
        <f>IFERROR(CHOOSE(IF($H40&gt;=Details!$B$6,1,2),Details!$D$6,IF($H40&gt;Details!$B$6-1,IF($H40&lt;1,Details!$G$5,MOD($H40,Details!$B$6-1))*10*Details!$C$6,""))/Details!$D$6,0)</f>
        <v>0</v>
      </c>
      <c r="S40" s="9">
        <f>IFERROR(CHOOSE(IF($H40&gt;=Details!$B$7,1,2),Details!$D$7,IF($H40&gt;Details!$B$7-1,IF($H40&lt;1,Details!$G$5,MOD($H40,Details!$B$7-1))*10*Details!$C$7,""))/Details!$D$7,0)</f>
        <v>0</v>
      </c>
      <c r="T40" s="9">
        <f>IFERROR(CHOOSE(IF($H40&gt;=Details!$B$8,1,2),Details!$D$8,IF($H40&gt;Details!$B$8-1,IF($H40&lt;1,Details!$G$5,MOD($H40,Details!$B$8-1))*10*Details!$C$8,""))/Details!$D$8,0)</f>
        <v>0</v>
      </c>
      <c r="U40" s="9" cm="1">
        <f t="array" ref="U40">SUMPRODUCT(TRANSPOSE(Details!$D$4:$D$8),$P40:$T40)/Details!$D$9</f>
        <v>0</v>
      </c>
      <c r="V40" s="13" cm="1">
        <f t="array" ref="V40">Details!$D$9-SUMPRODUCT(TRANSPOSE(Details!$D$4:$D$8),$P40:$T40)-$I40</f>
        <v>975</v>
      </c>
      <c r="X40" s="13" cm="1">
        <f t="array" ref="X40">LevelUpgradeCost($E40)</f>
        <v>6424613700</v>
      </c>
      <c r="Y40" s="61" t="str">
        <f t="shared" si="4"/>
        <v/>
      </c>
      <c r="AA40" s="110">
        <f t="shared" si="5"/>
        <v>0</v>
      </c>
      <c r="AB40" s="63">
        <f>RANK($AA40,$AA$3:$AA$47)+COUNTIF($AA$3:$AA40,AA40)-1</f>
        <v>39</v>
      </c>
      <c r="AC40" s="61" t="str" cm="1">
        <f t="array" ref="AC40">IFERROR(_xlfn.IFS($AB40&lt;8,1,$AB40&lt;15,2,$AB40&lt;21,3),"")</f>
        <v/>
      </c>
      <c r="AE40" s="63"/>
      <c r="AF40" s="7" t="str">
        <f t="shared" si="3"/>
        <v xml:space="preserve"> </v>
      </c>
      <c r="AG40" s="19" t="str">
        <f t="shared" si="6"/>
        <v xml:space="preserve"> </v>
      </c>
      <c r="AI40" s="63"/>
      <c r="AJ40" s="7"/>
      <c r="AK40" s="19"/>
    </row>
    <row r="41" spans="1:37" ht="12" customHeight="1" x14ac:dyDescent="0.2">
      <c r="A41" s="1" t="str" cm="1">
        <f t="array" ref="A41">GetMutationLevel(B41)</f>
        <v/>
      </c>
      <c r="B41" s="150" t="s">
        <v>114</v>
      </c>
      <c r="C41" s="151" t="s">
        <v>55</v>
      </c>
      <c r="D41" s="152" t="s">
        <v>97</v>
      </c>
      <c r="E41" s="153"/>
      <c r="F41" s="125" t="str" cm="1">
        <f t="array" ref="F41">IsUpgradable(E41)</f>
        <v/>
      </c>
      <c r="G41" s="127">
        <f t="shared" si="14"/>
        <v>0</v>
      </c>
      <c r="H41" s="199"/>
      <c r="I41" s="156"/>
      <c r="J41" s="153" t="str" cm="1">
        <f t="array" ref="J41">IF(E41="","",_xlfn.MAKEARRAY(1,3,_xlfn.LAMBDA(_xlpm.row,_xlpm.col,1)))</f>
        <v/>
      </c>
      <c r="K41" s="157"/>
      <c r="L41" s="157"/>
      <c r="M41" s="7" t="str">
        <f t="shared" si="15"/>
        <v/>
      </c>
      <c r="N41" s="19" t="str">
        <f t="shared" si="16"/>
        <v/>
      </c>
      <c r="P41" s="9">
        <f>IFERROR(CHOOSE(IF($H41&gt;=Details!$B$4,1,2),Details!$D$4,IF($H41&gt;Details!$B$4-1,IF($H41&lt;1,$H41,MOD($H41,Details!$B$4-1))*10*Details!$C$4,""))/Details!$D$4,0)</f>
        <v>0</v>
      </c>
      <c r="Q41" s="9">
        <f>IFERROR(CHOOSE(IF($H41&gt;=Details!$B$5,1,2),Details!$D$5,IF($H41&gt;Details!$B$5-1,IF($H41&lt;1,Details!$G$4,MOD($H41,Details!$B$5-1))*10*Details!$C$5,""))/Details!$D$5,0)</f>
        <v>0</v>
      </c>
      <c r="R41" s="9">
        <f>IFERROR(CHOOSE(IF($H41&gt;=Details!$B$6,1,2),Details!$D$6,IF($H41&gt;Details!$B$6-1,IF($H41&lt;1,Details!$G$5,MOD($H41,Details!$B$6-1))*10*Details!$C$6,""))/Details!$D$6,0)</f>
        <v>0</v>
      </c>
      <c r="S41" s="9">
        <f>IFERROR(CHOOSE(IF($H41&gt;=Details!$B$7,1,2),Details!$D$7,IF($H41&gt;Details!$B$7-1,IF($H41&lt;1,Details!$G$5,MOD($H41,Details!$B$7-1))*10*Details!$C$7,""))/Details!$D$7,0)</f>
        <v>0</v>
      </c>
      <c r="T41" s="9">
        <f>IFERROR(CHOOSE(IF($H41&gt;=Details!$B$8,1,2),Details!$D$8,IF($H41&gt;Details!$B$8-1,IF($H41&lt;1,Details!$G$5,MOD($H41,Details!$B$8-1))*10*Details!$C$8,""))/Details!$D$8,0)</f>
        <v>0</v>
      </c>
      <c r="U41" s="9" cm="1">
        <f t="array" ref="U41">SUMPRODUCT(TRANSPOSE(Details!$D$4:$D$8),$P41:$T41)/Details!$D$9</f>
        <v>0</v>
      </c>
      <c r="V41" s="13" cm="1">
        <f t="array" ref="V41">Details!$D$9-SUMPRODUCT(TRANSPOSE(Details!$D$4:$D$8),$P41:$T41)-$I41</f>
        <v>975</v>
      </c>
      <c r="X41" s="13" cm="1">
        <f t="array" ref="X41">LevelUpgradeCost($E41)</f>
        <v>6424613700</v>
      </c>
      <c r="Y41" s="61" t="str">
        <f t="shared" si="4"/>
        <v/>
      </c>
      <c r="AA41" s="110">
        <f t="shared" si="5"/>
        <v>0</v>
      </c>
      <c r="AB41" s="63">
        <f>RANK($AA41,$AA$3:$AA$47)+COUNTIF($AA$3:$AA41,AA41)-1</f>
        <v>40</v>
      </c>
      <c r="AC41" s="61" t="str" cm="1">
        <f t="array" ref="AC41">IFERROR(_xlfn.IFS($AB41&lt;8,1,$AB41&lt;15,2,$AB41&lt;21,3),"")</f>
        <v/>
      </c>
      <c r="AE41" s="63"/>
      <c r="AF41" s="7" t="str">
        <f t="shared" si="3"/>
        <v xml:space="preserve"> </v>
      </c>
      <c r="AG41" s="19" t="str">
        <f t="shared" si="6"/>
        <v xml:space="preserve"> </v>
      </c>
      <c r="AI41" s="63"/>
      <c r="AJ41" s="7"/>
      <c r="AK41" s="19"/>
    </row>
    <row r="42" spans="1:37" ht="12" customHeight="1" x14ac:dyDescent="0.2">
      <c r="A42" s="1" t="str" cm="1">
        <f t="array" ref="A42">GetMutationLevel(B42)</f>
        <v/>
      </c>
      <c r="B42" s="150" t="s">
        <v>115</v>
      </c>
      <c r="C42" s="151" t="s">
        <v>50</v>
      </c>
      <c r="D42" s="152" t="s">
        <v>97</v>
      </c>
      <c r="E42" s="153"/>
      <c r="F42" s="125" t="str" cm="1">
        <f t="array" ref="F42">IsUpgradable(E42)</f>
        <v/>
      </c>
      <c r="G42" s="127">
        <f t="shared" si="14"/>
        <v>0</v>
      </c>
      <c r="H42" s="199"/>
      <c r="I42" s="156"/>
      <c r="J42" s="153" t="str" cm="1">
        <f t="array" ref="J42">IF(E42="","",_xlfn.MAKEARRAY(1,3,_xlfn.LAMBDA(_xlpm.row,_xlpm.col,1)))</f>
        <v/>
      </c>
      <c r="K42" s="157"/>
      <c r="L42" s="157"/>
      <c r="M42" s="7" t="str">
        <f t="shared" si="15"/>
        <v/>
      </c>
      <c r="N42" s="19" t="str">
        <f t="shared" si="16"/>
        <v/>
      </c>
      <c r="P42" s="9">
        <f>IFERROR(CHOOSE(IF($H42&gt;=Details!$B$4,1,2),Details!$D$4,IF($H42&gt;Details!$B$4-1,IF($H42&lt;1,$H42,MOD($H42,Details!$B$4-1))*10*Details!$C$4,""))/Details!$D$4,0)</f>
        <v>0</v>
      </c>
      <c r="Q42" s="9">
        <f>IFERROR(CHOOSE(IF($H42&gt;=Details!$B$5,1,2),Details!$D$5,IF($H42&gt;Details!$B$5-1,IF($H42&lt;1,Details!$G$4,MOD($H42,Details!$B$5-1))*10*Details!$C$5,""))/Details!$D$5,0)</f>
        <v>0</v>
      </c>
      <c r="R42" s="9">
        <f>IFERROR(CHOOSE(IF($H42&gt;=Details!$B$6,1,2),Details!$D$6,IF($H42&gt;Details!$B$6-1,IF($H42&lt;1,Details!$G$5,MOD($H42,Details!$B$6-1))*10*Details!$C$6,""))/Details!$D$6,0)</f>
        <v>0</v>
      </c>
      <c r="S42" s="9">
        <f>IFERROR(CHOOSE(IF($H42&gt;=Details!$B$7,1,2),Details!$D$7,IF($H42&gt;Details!$B$7-1,IF($H42&lt;1,Details!$G$5,MOD($H42,Details!$B$7-1))*10*Details!$C$7,""))/Details!$D$7,0)</f>
        <v>0</v>
      </c>
      <c r="T42" s="9">
        <f>IFERROR(CHOOSE(IF($H42&gt;=Details!$B$8,1,2),Details!$D$8,IF($H42&gt;Details!$B$8-1,IF($H42&lt;1,Details!$G$5,MOD($H42,Details!$B$8-1))*10*Details!$C$8,""))/Details!$D$8,0)</f>
        <v>0</v>
      </c>
      <c r="U42" s="9" cm="1">
        <f t="array" ref="U42">SUMPRODUCT(TRANSPOSE(Details!$D$4:$D$8),$P42:$T42)/Details!$D$9</f>
        <v>0</v>
      </c>
      <c r="V42" s="13" cm="1">
        <f t="array" ref="V42">Details!$D$9-SUMPRODUCT(TRANSPOSE(Details!$D$4:$D$8),$P42:$T42)-$I42</f>
        <v>975</v>
      </c>
      <c r="X42" s="13" cm="1">
        <f t="array" ref="X42">LevelUpgradeCost($E42)</f>
        <v>6424613700</v>
      </c>
      <c r="Y42" s="61" t="str">
        <f t="shared" si="4"/>
        <v/>
      </c>
      <c r="AA42" s="110">
        <f t="shared" si="5"/>
        <v>0</v>
      </c>
      <c r="AB42" s="63">
        <f>RANK($AA42,$AA$3:$AA$47)+COUNTIF($AA$3:$AA42,AA42)-1</f>
        <v>41</v>
      </c>
      <c r="AC42" s="61" t="str" cm="1">
        <f t="array" ref="AC42">IFERROR(_xlfn.IFS($AB42&lt;8,1,$AB42&lt;15,2,$AB42&lt;21,3),"")</f>
        <v/>
      </c>
      <c r="AE42" s="63"/>
      <c r="AF42" s="7" t="str">
        <f t="shared" si="3"/>
        <v xml:space="preserve"> </v>
      </c>
      <c r="AG42" s="19" t="str">
        <f t="shared" si="6"/>
        <v xml:space="preserve"> </v>
      </c>
      <c r="AI42" s="63"/>
      <c r="AJ42" s="7"/>
      <c r="AK42" s="19"/>
    </row>
    <row r="43" spans="1:37" ht="12" customHeight="1" x14ac:dyDescent="0.2">
      <c r="A43" s="1" t="str" cm="1">
        <f t="array" ref="A43">GetMutationLevel(B43)</f>
        <v/>
      </c>
      <c r="B43" s="150" t="s">
        <v>116</v>
      </c>
      <c r="C43" s="151" t="s">
        <v>53</v>
      </c>
      <c r="D43" s="152" t="s">
        <v>97</v>
      </c>
      <c r="E43" s="153"/>
      <c r="F43" s="125" t="str" cm="1">
        <f t="array" ref="F43">IsUpgradable(E43)</f>
        <v/>
      </c>
      <c r="G43" s="127">
        <f t="shared" si="14"/>
        <v>0</v>
      </c>
      <c r="H43" s="199"/>
      <c r="I43" s="156"/>
      <c r="J43" s="153" t="str" cm="1">
        <f t="array" ref="J43">IF(E43="","",_xlfn.MAKEARRAY(1,3,_xlfn.LAMBDA(_xlpm.row,_xlpm.col,1)))</f>
        <v/>
      </c>
      <c r="K43" s="157"/>
      <c r="L43" s="157"/>
      <c r="M43" s="7" t="str">
        <f t="shared" si="15"/>
        <v/>
      </c>
      <c r="N43" s="19" t="str">
        <f t="shared" si="16"/>
        <v/>
      </c>
      <c r="P43" s="9">
        <f>IFERROR(CHOOSE(IF($H43&gt;=Details!$B$4,1,2),Details!$D$4,IF($H43&gt;Details!$B$4-1,IF($H43&lt;1,$H43,MOD($H43,Details!$B$4-1))*10*Details!$C$4,""))/Details!$D$4,0)</f>
        <v>0</v>
      </c>
      <c r="Q43" s="9">
        <f>IFERROR(CHOOSE(IF($H43&gt;=Details!$B$5,1,2),Details!$D$5,IF($H43&gt;Details!$B$5-1,IF($H43&lt;1,Details!$G$4,MOD($H43,Details!$B$5-1))*10*Details!$C$5,""))/Details!$D$5,0)</f>
        <v>0</v>
      </c>
      <c r="R43" s="9">
        <f>IFERROR(CHOOSE(IF($H43&gt;=Details!$B$6,1,2),Details!$D$6,IF($H43&gt;Details!$B$6-1,IF($H43&lt;1,Details!$G$5,MOD($H43,Details!$B$6-1))*10*Details!$C$6,""))/Details!$D$6,0)</f>
        <v>0</v>
      </c>
      <c r="S43" s="9">
        <f>IFERROR(CHOOSE(IF($H43&gt;=Details!$B$7,1,2),Details!$D$7,IF($H43&gt;Details!$B$7-1,IF($H43&lt;1,Details!$G$5,MOD($H43,Details!$B$7-1))*10*Details!$C$7,""))/Details!$D$7,0)</f>
        <v>0</v>
      </c>
      <c r="T43" s="9">
        <f>IFERROR(CHOOSE(IF($H43&gt;=Details!$B$8,1,2),Details!$D$8,IF($H43&gt;Details!$B$8-1,IF($H43&lt;1,Details!$G$5,MOD($H43,Details!$B$8-1))*10*Details!$C$8,""))/Details!$D$8,0)</f>
        <v>0</v>
      </c>
      <c r="U43" s="9" cm="1">
        <f t="array" ref="U43">SUMPRODUCT(TRANSPOSE(Details!$D$4:$D$8),$P43:$T43)/Details!$D$9</f>
        <v>0</v>
      </c>
      <c r="V43" s="13" cm="1">
        <f t="array" ref="V43">Details!$D$9-SUMPRODUCT(TRANSPOSE(Details!$D$4:$D$8),$P43:$T43)-$I43</f>
        <v>975</v>
      </c>
      <c r="X43" s="13" cm="1">
        <f t="array" ref="X43">LevelUpgradeCost($E43)</f>
        <v>6424613700</v>
      </c>
      <c r="Y43" s="61" t="str">
        <f t="shared" si="4"/>
        <v/>
      </c>
      <c r="AA43" s="110">
        <f t="shared" si="5"/>
        <v>0</v>
      </c>
      <c r="AB43" s="63">
        <f>RANK($AA43,$AA$3:$AA$47)+COUNTIF($AA$3:$AA43,AA43)-1</f>
        <v>42</v>
      </c>
      <c r="AC43" s="61" t="str" cm="1">
        <f t="array" ref="AC43">IFERROR(_xlfn.IFS($AB43&lt;8,1,$AB43&lt;15,2,$AB43&lt;21,3),"")</f>
        <v/>
      </c>
      <c r="AE43" s="63"/>
      <c r="AF43" s="7" t="str">
        <f t="shared" si="3"/>
        <v xml:space="preserve"> </v>
      </c>
      <c r="AG43" s="19" t="str">
        <f t="shared" si="6"/>
        <v xml:space="preserve"> </v>
      </c>
      <c r="AI43" s="63"/>
      <c r="AJ43" s="7"/>
      <c r="AK43" s="19"/>
    </row>
    <row r="44" spans="1:37" ht="12" customHeight="1" x14ac:dyDescent="0.2">
      <c r="A44" s="1" t="str" cm="1">
        <f t="array" ref="A44">GetMutationLevel(B44)</f>
        <v/>
      </c>
      <c r="B44" s="150" t="s">
        <v>117</v>
      </c>
      <c r="C44" s="151" t="s">
        <v>61</v>
      </c>
      <c r="D44" s="152" t="s">
        <v>97</v>
      </c>
      <c r="E44" s="153"/>
      <c r="F44" s="125" t="str" cm="1">
        <f t="array" ref="F44">IsUpgradable(E44)</f>
        <v/>
      </c>
      <c r="G44" s="127">
        <f t="shared" si="14"/>
        <v>0</v>
      </c>
      <c r="H44" s="199"/>
      <c r="I44" s="156"/>
      <c r="J44" s="153" t="str" cm="1">
        <f t="array" ref="J44">IF(E44="","",_xlfn.MAKEARRAY(1,3,_xlfn.LAMBDA(_xlpm.row,_xlpm.col,1)))</f>
        <v/>
      </c>
      <c r="K44" s="157"/>
      <c r="L44" s="157"/>
      <c r="M44" s="7" t="str">
        <f t="shared" si="15"/>
        <v/>
      </c>
      <c r="N44" s="19" t="str">
        <f t="shared" si="16"/>
        <v/>
      </c>
      <c r="P44" s="9">
        <f>IFERROR(CHOOSE(IF($H44&gt;=Details!$B$4,1,2),Details!$D$4,IF($H44&gt;Details!$B$4-1,IF($H44&lt;1,$H44,MOD($H44,Details!$B$4-1))*10*Details!$C$4,""))/Details!$D$4,0)</f>
        <v>0</v>
      </c>
      <c r="Q44" s="9">
        <f>IFERROR(CHOOSE(IF($H44&gt;=Details!$B$5,1,2),Details!$D$5,IF($H44&gt;Details!$B$5-1,IF($H44&lt;1,Details!$G$4,MOD($H44,Details!$B$5-1))*10*Details!$C$5,""))/Details!$D$5,0)</f>
        <v>0</v>
      </c>
      <c r="R44" s="9">
        <f>IFERROR(CHOOSE(IF($H44&gt;=Details!$B$6,1,2),Details!$D$6,IF($H44&gt;Details!$B$6-1,IF($H44&lt;1,Details!$G$5,MOD($H44,Details!$B$6-1))*10*Details!$C$6,""))/Details!$D$6,0)</f>
        <v>0</v>
      </c>
      <c r="S44" s="9">
        <f>IFERROR(CHOOSE(IF($H44&gt;=Details!$B$7,1,2),Details!$D$7,IF($H44&gt;Details!$B$7-1,IF($H44&lt;1,Details!$G$5,MOD($H44,Details!$B$7-1))*10*Details!$C$7,""))/Details!$D$7,0)</f>
        <v>0</v>
      </c>
      <c r="T44" s="9">
        <f>IFERROR(CHOOSE(IF($H44&gt;=Details!$B$8,1,2),Details!$D$8,IF($H44&gt;Details!$B$8-1,IF($H44&lt;1,Details!$G$5,MOD($H44,Details!$B$8-1))*10*Details!$C$8,""))/Details!$D$8,0)</f>
        <v>0</v>
      </c>
      <c r="U44" s="9" cm="1">
        <f t="array" ref="U44">SUMPRODUCT(TRANSPOSE(Details!$D$4:$D$8),$P44:$T44)/Details!$D$9</f>
        <v>0</v>
      </c>
      <c r="V44" s="13" cm="1">
        <f t="array" ref="V44">Details!$D$9-SUMPRODUCT(TRANSPOSE(Details!$D$4:$D$8),$P44:$T44)-$I44</f>
        <v>975</v>
      </c>
      <c r="X44" s="13" cm="1">
        <f t="array" ref="X44">LevelUpgradeCost($E44)</f>
        <v>6424613700</v>
      </c>
      <c r="Y44" s="61" t="str">
        <f t="shared" si="4"/>
        <v/>
      </c>
      <c r="AA44" s="110">
        <f t="shared" si="5"/>
        <v>0</v>
      </c>
      <c r="AB44" s="63">
        <f>RANK($AA44,$AA$3:$AA$47)+COUNTIF($AA$3:$AA44,AA44)-1</f>
        <v>43</v>
      </c>
      <c r="AC44" s="61" t="str" cm="1">
        <f t="array" ref="AC44">IFERROR(_xlfn.IFS($AB44&lt;8,1,$AB44&lt;15,2,$AB44&lt;21,3),"")</f>
        <v/>
      </c>
      <c r="AE44" s="63"/>
      <c r="AF44" s="7" t="str">
        <f t="shared" si="3"/>
        <v xml:space="preserve"> </v>
      </c>
      <c r="AG44" s="19" t="str">
        <f t="shared" si="6"/>
        <v xml:space="preserve"> </v>
      </c>
      <c r="AI44" s="63"/>
      <c r="AJ44" s="7"/>
      <c r="AK44" s="19"/>
    </row>
    <row r="45" spans="1:37" ht="12" customHeight="1" x14ac:dyDescent="0.2">
      <c r="A45" s="1" t="str" cm="1">
        <f t="array" ref="A45">GetMutationLevel(B45)</f>
        <v/>
      </c>
      <c r="B45" s="150" t="s">
        <v>118</v>
      </c>
      <c r="C45" s="151" t="s">
        <v>55</v>
      </c>
      <c r="D45" s="152" t="s">
        <v>97</v>
      </c>
      <c r="E45" s="153"/>
      <c r="F45" s="125" t="str" cm="1">
        <f t="array" ref="F45">IsUpgradable(E45)</f>
        <v/>
      </c>
      <c r="G45" s="127">
        <f t="shared" si="14"/>
        <v>0</v>
      </c>
      <c r="H45" s="199"/>
      <c r="I45" s="156"/>
      <c r="J45" s="153" t="str" cm="1">
        <f t="array" ref="J45">IF(E45="","",_xlfn.MAKEARRAY(1,3,_xlfn.LAMBDA(_xlpm.row,_xlpm.col,1)))</f>
        <v/>
      </c>
      <c r="K45" s="157"/>
      <c r="L45" s="157"/>
      <c r="M45" s="7" t="str">
        <f t="shared" si="15"/>
        <v/>
      </c>
      <c r="N45" s="19" t="str">
        <f t="shared" si="16"/>
        <v/>
      </c>
      <c r="P45" s="9">
        <f>IFERROR(CHOOSE(IF($H45&gt;=Details!$B$4,1,2),Details!$D$4,IF($H45&gt;Details!$B$4-1,IF($H45&lt;1,$H45,MOD($H45,Details!$B$4-1))*10*Details!$C$4,""))/Details!$D$4,0)</f>
        <v>0</v>
      </c>
      <c r="Q45" s="9">
        <f>IFERROR(CHOOSE(IF($H45&gt;=Details!$B$5,1,2),Details!$D$5,IF($H45&gt;Details!$B$5-1,IF($H45&lt;1,Details!$G$4,MOD($H45,Details!$B$5-1))*10*Details!$C$5,""))/Details!$D$5,0)</f>
        <v>0</v>
      </c>
      <c r="R45" s="9">
        <f>IFERROR(CHOOSE(IF($H45&gt;=Details!$B$6,1,2),Details!$D$6,IF($H45&gt;Details!$B$6-1,IF($H45&lt;1,Details!$G$5,MOD($H45,Details!$B$6-1))*10*Details!$C$6,""))/Details!$D$6,0)</f>
        <v>0</v>
      </c>
      <c r="S45" s="9">
        <f>IFERROR(CHOOSE(IF($H45&gt;=Details!$B$7,1,2),Details!$D$7,IF($H45&gt;Details!$B$7-1,IF($H45&lt;1,Details!$G$5,MOD($H45,Details!$B$7-1))*10*Details!$C$7,""))/Details!$D$7,0)</f>
        <v>0</v>
      </c>
      <c r="T45" s="9">
        <f>IFERROR(CHOOSE(IF($H45&gt;=Details!$B$8,1,2),Details!$D$8,IF($H45&gt;Details!$B$8-1,IF($H45&lt;1,Details!$G$5,MOD($H45,Details!$B$8-1))*10*Details!$C$8,""))/Details!$D$8,0)</f>
        <v>0</v>
      </c>
      <c r="U45" s="9" cm="1">
        <f t="array" ref="U45">SUMPRODUCT(TRANSPOSE(Details!$D$4:$D$8),$P45:$T45)/Details!$D$9</f>
        <v>0</v>
      </c>
      <c r="V45" s="13" cm="1">
        <f t="array" ref="V45">Details!$D$9-SUMPRODUCT(TRANSPOSE(Details!$D$4:$D$8),$P45:$T45)-$I45</f>
        <v>975</v>
      </c>
      <c r="X45" s="13" cm="1">
        <f t="array" ref="X45">LevelUpgradeCost($E45)</f>
        <v>6424613700</v>
      </c>
      <c r="Y45" s="61" t="str">
        <f t="shared" si="4"/>
        <v/>
      </c>
      <c r="AA45" s="110">
        <f t="shared" si="5"/>
        <v>0</v>
      </c>
      <c r="AB45" s="63">
        <f>RANK($AA45,$AA$3:$AA$47)+COUNTIF($AA$3:$AA45,AA45)-1</f>
        <v>44</v>
      </c>
      <c r="AC45" s="61" t="str" cm="1">
        <f t="array" ref="AC45">IFERROR(_xlfn.IFS($AB45&lt;8,1,$AB45&lt;15,2,$AB45&lt;21,3),"")</f>
        <v/>
      </c>
      <c r="AE45" s="63"/>
      <c r="AF45" s="7" t="str">
        <f t="shared" si="3"/>
        <v xml:space="preserve"> </v>
      </c>
      <c r="AG45" s="19" t="str">
        <f t="shared" si="6"/>
        <v xml:space="preserve"> </v>
      </c>
      <c r="AI45" s="63"/>
      <c r="AJ45" s="7"/>
      <c r="AK45" s="19"/>
    </row>
    <row r="46" spans="1:37" ht="12" customHeight="1" x14ac:dyDescent="0.2">
      <c r="A46" s="1" t="str" cm="1">
        <f t="array" ref="A46">GetMutationLevel(B46)</f>
        <v/>
      </c>
      <c r="B46" s="150" t="s">
        <v>119</v>
      </c>
      <c r="C46" s="151" t="s">
        <v>50</v>
      </c>
      <c r="D46" s="152" t="s">
        <v>97</v>
      </c>
      <c r="E46" s="153"/>
      <c r="F46" s="125" t="str" cm="1">
        <f t="array" ref="F46">IsUpgradable(E46)</f>
        <v/>
      </c>
      <c r="G46" s="127">
        <f t="shared" si="14"/>
        <v>0</v>
      </c>
      <c r="H46" s="199"/>
      <c r="I46" s="156"/>
      <c r="J46" s="153" t="str" cm="1">
        <f t="array" ref="J46">IF(E46="","",_xlfn.MAKEARRAY(1,3,_xlfn.LAMBDA(_xlpm.row,_xlpm.col,1)))</f>
        <v/>
      </c>
      <c r="K46" s="157"/>
      <c r="L46" s="157"/>
      <c r="M46" s="7" t="str">
        <f t="shared" si="15"/>
        <v/>
      </c>
      <c r="N46" s="19" t="str">
        <f t="shared" si="16"/>
        <v/>
      </c>
      <c r="P46" s="9">
        <f>IFERROR(CHOOSE(IF($H46&gt;=Details!$B$4,1,2),Details!$D$4,IF($H46&gt;Details!$B$4-1,IF($H46&lt;1,$H46,MOD($H46,Details!$B$4-1))*10*Details!$C$4,""))/Details!$D$4,0)</f>
        <v>0</v>
      </c>
      <c r="Q46" s="9">
        <f>IFERROR(CHOOSE(IF($H46&gt;=Details!$B$5,1,2),Details!$D$5,IF($H46&gt;Details!$B$5-1,IF($H46&lt;1,Details!$G$4,MOD($H46,Details!$B$5-1))*10*Details!$C$5,""))/Details!$D$5,0)</f>
        <v>0</v>
      </c>
      <c r="R46" s="9">
        <f>IFERROR(CHOOSE(IF($H46&gt;=Details!$B$6,1,2),Details!$D$6,IF($H46&gt;Details!$B$6-1,IF($H46&lt;1,Details!$G$5,MOD($H46,Details!$B$6-1))*10*Details!$C$6,""))/Details!$D$6,0)</f>
        <v>0</v>
      </c>
      <c r="S46" s="9">
        <f>IFERROR(CHOOSE(IF($H46&gt;=Details!$B$7,1,2),Details!$D$7,IF($H46&gt;Details!$B$7-1,IF($H46&lt;1,Details!$G$5,MOD($H46,Details!$B$7-1))*10*Details!$C$7,""))/Details!$D$7,0)</f>
        <v>0</v>
      </c>
      <c r="T46" s="9">
        <f>IFERROR(CHOOSE(IF($H46&gt;=Details!$B$8,1,2),Details!$D$8,IF($H46&gt;Details!$B$8-1,IF($H46&lt;1,Details!$G$5,MOD($H46,Details!$B$8-1))*10*Details!$C$8,""))/Details!$D$8,0)</f>
        <v>0</v>
      </c>
      <c r="U46" s="9" cm="1">
        <f t="array" ref="U46">SUMPRODUCT(TRANSPOSE(Details!$D$4:$D$8),$P46:$T46)/Details!$D$9</f>
        <v>0</v>
      </c>
      <c r="V46" s="13" cm="1">
        <f t="array" ref="V46">Details!$D$9-SUMPRODUCT(TRANSPOSE(Details!$D$4:$D$8),$P46:$T46)-$I46</f>
        <v>975</v>
      </c>
      <c r="X46" s="13" cm="1">
        <f t="array" ref="X46">LevelUpgradeCost($E46)</f>
        <v>6424613700</v>
      </c>
      <c r="Y46" s="61" t="str">
        <f t="shared" si="4"/>
        <v/>
      </c>
      <c r="AA46" s="110">
        <f t="shared" si="5"/>
        <v>0</v>
      </c>
      <c r="AB46" s="63">
        <f>RANK($AA46,$AA$3:$AA$47)+COUNTIF($AA$3:$AA46,AA46)-1</f>
        <v>45</v>
      </c>
      <c r="AC46" s="61" t="str" cm="1">
        <f t="array" ref="AC46">IFERROR(_xlfn.IFS($AB46&lt;8,1,$AB46&lt;15,2,$AB46&lt;21,3),"")</f>
        <v/>
      </c>
      <c r="AE46" s="63"/>
      <c r="AF46" s="7" t="str">
        <f t="shared" si="3"/>
        <v xml:space="preserve"> </v>
      </c>
      <c r="AG46" s="19" t="str">
        <f t="shared" si="6"/>
        <v xml:space="preserve"> </v>
      </c>
      <c r="AI46" s="63"/>
      <c r="AJ46" s="7"/>
      <c r="AK46" s="19"/>
    </row>
    <row r="47" spans="1:37" ht="12" customHeight="1" thickBot="1" x14ac:dyDescent="0.25">
      <c r="A47" s="1" t="str" cm="1">
        <f t="array" ref="A47">GetMutationLevel(B47)</f>
        <v/>
      </c>
      <c r="B47" s="14" t="s">
        <v>49</v>
      </c>
      <c r="C47" s="20" t="s">
        <v>50</v>
      </c>
      <c r="D47" s="72" t="s">
        <v>97</v>
      </c>
      <c r="E47" s="64">
        <v>160</v>
      </c>
      <c r="F47" s="126" cm="1">
        <f t="array" ref="F47">IsUpgradable(E47)</f>
        <v>1</v>
      </c>
      <c r="G47" s="129">
        <f>INT(H47)</f>
        <v>2</v>
      </c>
      <c r="H47" s="201">
        <v>2.2999999999999998</v>
      </c>
      <c r="I47" s="124">
        <v>0</v>
      </c>
      <c r="J47" s="64" cm="1">
        <f t="array" ref="J47:L47">IF(E47="","",_xlfn.MAKEARRAY(1,3,_xlfn.LAMBDA(_xlpm.row,_xlpm.col,1)))</f>
        <v>1</v>
      </c>
      <c r="K47" s="70">
        <v>1</v>
      </c>
      <c r="L47" s="70">
        <v>1</v>
      </c>
      <c r="M47" s="70" t="str">
        <f>IF($G47&gt;3,"Max","")</f>
        <v/>
      </c>
      <c r="N47" s="20" t="str">
        <f>IF(H47=5,10,"")</f>
        <v/>
      </c>
      <c r="P47" s="21">
        <f>IFERROR(CHOOSE(IF($H47&gt;=Details!$B$4,1,2),Details!$D$4,IF($H47&gt;Details!$B$4-1,IF($H47&lt;1,$H47,MOD($H47,Details!$B$4-1))*10*Details!$C$4,""))/Details!$D$4,0)</f>
        <v>1</v>
      </c>
      <c r="Q47" s="9">
        <f>IFERROR(CHOOSE(IF($H47&gt;=Details!$B$5,1,2),Details!$D$5,IF($H47&gt;Details!$B$5-1,IF($H47&lt;1,Details!$G$4,MOD($H47,Details!$B$5-1))*10*Details!$C$5,""))/Details!$D$5,0)</f>
        <v>1</v>
      </c>
      <c r="R47" s="21">
        <f>IFERROR(CHOOSE(IF($H47&gt;=Details!$B$6,1,2),Details!$D$6,IF($H47&gt;Details!$B$6-1,IF($H47&lt;1,Details!$G$5,MOD($H47,Details!$B$6-1))*10*Details!$C$6,""))/Details!$D$6,0)</f>
        <v>0.59999999999999964</v>
      </c>
      <c r="S47" s="21">
        <f>IFERROR(CHOOSE(IF($H47&gt;=Details!$B$7,1,2),Details!$D$7,IF($H47&gt;Details!$B$7-1,IF($H47&lt;1,Details!$G$5,MOD($H47,Details!$B$7-1))*10*Details!$C$7,""))/Details!$D$7,0)</f>
        <v>0</v>
      </c>
      <c r="T47" s="21">
        <f>IFERROR(CHOOSE(IF($H47&gt;=Details!$B$8,1,2),Details!$D$8,IF($H47&gt;Details!$B$8-1,IF($H47&lt;1,Details!$G$5,MOD($H47,Details!$B$8-1))*10*Details!$C$8,""))/Details!$D$8,0)</f>
        <v>0</v>
      </c>
      <c r="U47" s="21" cm="1">
        <f t="array" ref="U47">SUMPRODUCT(TRANSPOSE(Details!$D$4:$D$8),$P47:$T47)/Details!$D$9</f>
        <v>0.13846153846153844</v>
      </c>
      <c r="V47" s="22" cm="1">
        <f t="array" ref="V47">Details!$D$9-SUMPRODUCT(TRANSPOSE(Details!$D$4:$D$8),$P47:$T47)-$I47</f>
        <v>840</v>
      </c>
      <c r="X47" s="22" cm="1">
        <f t="array" ref="X47">LevelUpgradeCost($E47)</f>
        <v>6299740000</v>
      </c>
      <c r="Y47" s="62">
        <f t="shared" si="4"/>
        <v>1</v>
      </c>
      <c r="AA47" s="112">
        <f t="shared" si="5"/>
        <v>2460</v>
      </c>
      <c r="AB47" s="64">
        <f>RANK($AA47,$AA$3:$AA$47)+COUNTIF($AA$3:$AA47,AA47)-1</f>
        <v>27</v>
      </c>
      <c r="AC47" s="62" t="str" cm="1">
        <f t="array" ref="AC47">IFERROR(_xlfn.IFS($AB47&lt;8,1,$AB47&lt;15,2,$AB47&lt;21,3),"")</f>
        <v/>
      </c>
      <c r="AE47" s="64"/>
      <c r="AF47" s="70" t="str">
        <f t="shared" si="3"/>
        <v xml:space="preserve"> </v>
      </c>
      <c r="AG47" s="20" t="str">
        <f t="shared" si="6"/>
        <v xml:space="preserve"> </v>
      </c>
      <c r="AI47" s="64" t="s">
        <v>195</v>
      </c>
      <c r="AJ47" s="70"/>
      <c r="AK47" s="20"/>
    </row>
    <row r="48" spans="1:37" ht="12" customHeight="1" x14ac:dyDescent="0.2">
      <c r="B48" s="79">
        <f>COLUMN()-1</f>
        <v>1</v>
      </c>
      <c r="C48" s="1">
        <f t="shared" ref="C48:AK48" si="24">COLUMN()-1</f>
        <v>2</v>
      </c>
      <c r="D48" s="142">
        <f t="shared" si="24"/>
        <v>3</v>
      </c>
      <c r="E48" s="1">
        <f t="shared" si="24"/>
        <v>4</v>
      </c>
      <c r="F48" s="142">
        <f t="shared" si="24"/>
        <v>5</v>
      </c>
      <c r="G48" s="142">
        <f t="shared" si="24"/>
        <v>6</v>
      </c>
      <c r="H48" s="1">
        <f t="shared" si="24"/>
        <v>7</v>
      </c>
      <c r="I48" s="5">
        <f t="shared" si="24"/>
        <v>8</v>
      </c>
      <c r="J48" s="1">
        <f t="shared" si="24"/>
        <v>9</v>
      </c>
      <c r="K48" s="1">
        <f t="shared" si="24"/>
        <v>10</v>
      </c>
      <c r="L48" s="1">
        <f t="shared" si="24"/>
        <v>11</v>
      </c>
      <c r="M48" s="1">
        <f t="shared" si="24"/>
        <v>12</v>
      </c>
      <c r="N48" s="1">
        <f t="shared" si="24"/>
        <v>13</v>
      </c>
      <c r="O48" s="1">
        <f t="shared" si="24"/>
        <v>14</v>
      </c>
      <c r="P48" s="1">
        <f t="shared" si="24"/>
        <v>15</v>
      </c>
      <c r="Q48" s="1">
        <f t="shared" si="24"/>
        <v>16</v>
      </c>
      <c r="R48" s="1">
        <f t="shared" si="24"/>
        <v>17</v>
      </c>
      <c r="S48" s="1">
        <f t="shared" si="24"/>
        <v>18</v>
      </c>
      <c r="T48" s="1">
        <f t="shared" si="24"/>
        <v>19</v>
      </c>
      <c r="U48" s="1">
        <f t="shared" si="24"/>
        <v>20</v>
      </c>
      <c r="V48" s="1">
        <f t="shared" si="24"/>
        <v>21</v>
      </c>
      <c r="W48" s="1">
        <f t="shared" si="24"/>
        <v>22</v>
      </c>
      <c r="X48" s="1">
        <f t="shared" si="24"/>
        <v>23</v>
      </c>
      <c r="Y48" s="1">
        <f t="shared" si="24"/>
        <v>24</v>
      </c>
      <c r="Z48" s="1">
        <f t="shared" si="24"/>
        <v>25</v>
      </c>
      <c r="AA48" s="1">
        <f t="shared" si="24"/>
        <v>26</v>
      </c>
      <c r="AB48" s="1">
        <f t="shared" si="24"/>
        <v>27</v>
      </c>
      <c r="AC48" s="1">
        <f t="shared" si="24"/>
        <v>28</v>
      </c>
      <c r="AD48" s="1">
        <f t="shared" si="24"/>
        <v>29</v>
      </c>
      <c r="AE48" s="1">
        <f t="shared" si="24"/>
        <v>30</v>
      </c>
      <c r="AF48" s="1">
        <f t="shared" si="24"/>
        <v>31</v>
      </c>
      <c r="AG48" s="1">
        <f t="shared" si="24"/>
        <v>32</v>
      </c>
      <c r="AI48" s="1">
        <f t="shared" si="24"/>
        <v>34</v>
      </c>
      <c r="AJ48" s="1">
        <f t="shared" si="24"/>
        <v>35</v>
      </c>
      <c r="AK48" s="1">
        <f t="shared" si="24"/>
        <v>36</v>
      </c>
    </row>
    <row r="49" spans="2:24" ht="12" customHeight="1" x14ac:dyDescent="0.2">
      <c r="B49" s="79"/>
      <c r="D49" s="142"/>
      <c r="E49" s="1">
        <f>COUNTIF(E3:E47,"&gt;0")-COUNTIF(E3:E47,"="&amp;HallLevel*10)</f>
        <v>32</v>
      </c>
      <c r="F49" s="142"/>
      <c r="G49" s="142"/>
      <c r="I49" s="5"/>
      <c r="X49" s="5">
        <f>SUMPRODUCT(X3:X47,Y3:Y47)</f>
        <v>126429527400</v>
      </c>
    </row>
    <row r="50" spans="2:24" ht="12" customHeight="1" x14ac:dyDescent="0.2">
      <c r="B50" s="10" t="s">
        <v>80</v>
      </c>
      <c r="C50" s="25">
        <v>28</v>
      </c>
      <c r="D50" s="142"/>
    </row>
    <row r="51" spans="2:24" ht="12" customHeight="1" x14ac:dyDescent="0.2">
      <c r="B51" s="10" t="s">
        <v>99</v>
      </c>
      <c r="C51" s="25">
        <v>1005</v>
      </c>
      <c r="D51" s="142"/>
    </row>
    <row r="52" spans="2:24" ht="12" customHeight="1" thickBot="1" x14ac:dyDescent="0.25">
      <c r="B52" s="79"/>
      <c r="D52" s="142"/>
      <c r="I52" s="5"/>
    </row>
    <row r="53" spans="2:24" ht="12" customHeight="1" thickBot="1" x14ac:dyDescent="0.25">
      <c r="B53" s="259" t="s">
        <v>48</v>
      </c>
      <c r="C53" s="260"/>
      <c r="D53" s="142"/>
      <c r="I53" s="5"/>
    </row>
    <row r="54" spans="2:24" ht="12" customHeight="1" x14ac:dyDescent="0.2">
      <c r="B54" s="210" t="s">
        <v>9</v>
      </c>
      <c r="C54" s="211">
        <v>150</v>
      </c>
      <c r="D54" s="142"/>
      <c r="I54" s="5"/>
    </row>
    <row r="55" spans="2:24" ht="12" customHeight="1" x14ac:dyDescent="0.2">
      <c r="B55" s="204" t="s">
        <v>10</v>
      </c>
      <c r="C55" s="235">
        <f>IF(D55="",C50*10,D55)</f>
        <v>160</v>
      </c>
      <c r="D55" s="205">
        <v>160</v>
      </c>
      <c r="E55" s="204" t="str">
        <f>"Total to " &amp; C55</f>
        <v>Total to 160</v>
      </c>
      <c r="F55" s="204" t="s">
        <v>22</v>
      </c>
      <c r="I55" s="5"/>
    </row>
    <row r="56" spans="2:24" ht="12" customHeight="1" x14ac:dyDescent="0.2">
      <c r="B56" s="206" t="s">
        <v>11</v>
      </c>
      <c r="C56" s="207" cm="1">
        <f t="array" ref="C56">LevelUpgradeCost(C54)</f>
        <v>6348740000</v>
      </c>
      <c r="D56" s="234" t="str" cm="1">
        <f t="array" ref="D56">CostScreen(C56)</f>
        <v>6,35B</v>
      </c>
      <c r="E56" s="61">
        <f>SUMIF(Tableaux!$A$3:$A$302,"&lt;" &amp; Palmon!$C$55,Tableaux!$C$3:$C$302)</f>
        <v>124873700</v>
      </c>
      <c r="F56" s="242">
        <f>E56/E57</f>
        <v>1.2663665188738593E-2</v>
      </c>
      <c r="I56" s="5"/>
    </row>
    <row r="57" spans="2:24" ht="12" customHeight="1" thickBot="1" x14ac:dyDescent="0.25">
      <c r="B57" s="208" t="s">
        <v>23</v>
      </c>
      <c r="C57" s="209">
        <v>9985660300</v>
      </c>
      <c r="D57" s="208" t="s">
        <v>204</v>
      </c>
      <c r="E57" s="61">
        <f>C57-E56</f>
        <v>9860786600</v>
      </c>
      <c r="I57" s="5"/>
    </row>
    <row r="58" spans="2:24" ht="12" customHeight="1" thickBot="1" x14ac:dyDescent="0.3">
      <c r="B58" s="79"/>
      <c r="D58" s="142"/>
      <c r="I58" s="5"/>
      <c r="P58" s="1" t="s">
        <v>55</v>
      </c>
      <c r="Q58" s="1">
        <f>SUMIF($C$3:$C$47,"=" &amp; $P58,$E$3:$E$47)</f>
        <v>1701</v>
      </c>
      <c r="R58" s="1">
        <f>COUNTIFS($C$3:$C$47,"=" &amp; $P58,$E$3:$E$47,"&gt;0")</f>
        <v>8</v>
      </c>
      <c r="S58" s="1">
        <f>Q58/R58</f>
        <v>212.625</v>
      </c>
      <c r="X58"/>
    </row>
    <row r="59" spans="2:24" ht="12" customHeight="1" thickBot="1" x14ac:dyDescent="0.3">
      <c r="B59" s="257" t="s">
        <v>203</v>
      </c>
      <c r="C59" s="258"/>
      <c r="D59" s="142"/>
      <c r="I59" s="5"/>
      <c r="P59" s="1" t="s">
        <v>53</v>
      </c>
      <c r="Q59" s="1">
        <f t="shared" ref="Q59:Q61" si="25">SUMIF($C$3:$C$47,"=" &amp; $P59,$E$3:$E$47)</f>
        <v>2061</v>
      </c>
      <c r="R59" s="1">
        <f t="shared" ref="R59:R61" si="26">COUNTIFS($C$3:$C$47,"=" &amp; $P59,$E$3:$E$47,"&gt;0")</f>
        <v>10</v>
      </c>
      <c r="S59" s="1">
        <f t="shared" ref="S59:S61" si="27">Q59/R59</f>
        <v>206.1</v>
      </c>
      <c r="X59"/>
    </row>
    <row r="60" spans="2:24" ht="12" customHeight="1" x14ac:dyDescent="0.25">
      <c r="B60" s="240" t="s">
        <v>196</v>
      </c>
      <c r="C60" s="60">
        <v>400000</v>
      </c>
      <c r="D60" s="142"/>
      <c r="I60" s="5"/>
      <c r="P60" s="1" t="s">
        <v>50</v>
      </c>
      <c r="Q60" s="1">
        <f t="shared" si="25"/>
        <v>1930</v>
      </c>
      <c r="R60" s="1">
        <f t="shared" si="26"/>
        <v>8</v>
      </c>
      <c r="S60" s="1">
        <f t="shared" si="27"/>
        <v>241.25</v>
      </c>
      <c r="X60"/>
    </row>
    <row r="61" spans="2:24" ht="12" customHeight="1" x14ac:dyDescent="0.25">
      <c r="B61" s="204" t="s">
        <v>197</v>
      </c>
      <c r="C61" s="13">
        <v>300</v>
      </c>
      <c r="D61" s="142"/>
      <c r="I61" s="5"/>
      <c r="P61" s="1" t="s">
        <v>61</v>
      </c>
      <c r="Q61" s="1">
        <f t="shared" si="25"/>
        <v>1710</v>
      </c>
      <c r="R61" s="1">
        <f t="shared" si="26"/>
        <v>7</v>
      </c>
      <c r="S61" s="1">
        <f t="shared" si="27"/>
        <v>244.28571428571428</v>
      </c>
      <c r="X61"/>
    </row>
    <row r="62" spans="2:24" ht="12" customHeight="1" thickBot="1" x14ac:dyDescent="0.3">
      <c r="B62" s="241" t="s">
        <v>198</v>
      </c>
      <c r="C62" s="22">
        <v>975</v>
      </c>
      <c r="D62" s="142"/>
      <c r="I62" s="5"/>
      <c r="X62"/>
    </row>
    <row r="63" spans="2:24" ht="12" customHeight="1" x14ac:dyDescent="0.25">
      <c r="B63" s="79"/>
      <c r="D63" s="142"/>
      <c r="I63" s="5"/>
      <c r="X63"/>
    </row>
    <row r="64" spans="2:24" ht="12" customHeight="1" x14ac:dyDescent="0.25">
      <c r="B64" s="79"/>
      <c r="D64" s="142"/>
      <c r="I64" s="5"/>
      <c r="X64"/>
    </row>
    <row r="65" spans="2:39" ht="12" customHeight="1" x14ac:dyDescent="0.25">
      <c r="B65" s="79"/>
      <c r="D65" s="142"/>
      <c r="I65" s="5"/>
      <c r="X65"/>
    </row>
    <row r="66" spans="2:39" ht="12" customHeight="1" x14ac:dyDescent="0.2">
      <c r="B66" s="79"/>
      <c r="D66" s="142"/>
      <c r="I66" s="5"/>
      <c r="AH66" s="142"/>
      <c r="AI66" s="142"/>
    </row>
    <row r="67" spans="2:39" ht="12" customHeight="1" x14ac:dyDescent="0.2">
      <c r="B67" s="79"/>
      <c r="D67" s="142"/>
      <c r="I67" s="5"/>
      <c r="AH67" s="142"/>
      <c r="AI67" s="142"/>
    </row>
    <row r="68" spans="2:39" ht="12" customHeight="1" x14ac:dyDescent="0.2">
      <c r="B68" s="79"/>
      <c r="D68" s="142"/>
      <c r="I68" s="5"/>
      <c r="AH68" s="142"/>
      <c r="AI68" s="142"/>
    </row>
    <row r="69" spans="2:39" ht="12" customHeight="1" x14ac:dyDescent="0.2">
      <c r="B69" s="79"/>
      <c r="D69" s="142"/>
      <c r="I69" s="5"/>
    </row>
    <row r="70" spans="2:39" ht="12" customHeight="1" x14ac:dyDescent="0.2">
      <c r="B70" s="79"/>
      <c r="D70" s="142"/>
      <c r="I70" s="5"/>
    </row>
    <row r="71" spans="2:39" ht="12" customHeight="1" x14ac:dyDescent="0.2">
      <c r="B71" s="79"/>
      <c r="D71" s="142"/>
      <c r="I71" s="5"/>
    </row>
    <row r="72" spans="2:39" ht="12" customHeight="1" x14ac:dyDescent="0.2">
      <c r="B72" s="79"/>
      <c r="D72" s="142"/>
      <c r="I72" s="5"/>
    </row>
    <row r="73" spans="2:39" ht="12" customHeight="1" x14ac:dyDescent="0.2">
      <c r="B73" s="79"/>
      <c r="D73" s="142"/>
      <c r="I73" s="5"/>
    </row>
    <row r="74" spans="2:39" ht="12" customHeight="1" x14ac:dyDescent="0.2">
      <c r="B74" s="79"/>
      <c r="D74" s="142"/>
      <c r="I74" s="5"/>
    </row>
    <row r="75" spans="2:39" ht="12" customHeight="1" x14ac:dyDescent="0.2">
      <c r="B75" s="79"/>
      <c r="D75" s="142"/>
      <c r="I75" s="5"/>
    </row>
    <row r="76" spans="2:39" ht="12" customHeight="1" x14ac:dyDescent="0.2">
      <c r="B76" s="79"/>
      <c r="D76" s="142"/>
      <c r="I76" s="5"/>
    </row>
    <row r="77" spans="2:39" ht="12" customHeight="1" x14ac:dyDescent="0.2">
      <c r="B77" s="79"/>
      <c r="D77" s="142"/>
      <c r="I77" s="5"/>
      <c r="AM77" s="5"/>
    </row>
    <row r="78" spans="2:39" ht="12" customHeight="1" x14ac:dyDescent="0.2">
      <c r="B78" s="79"/>
      <c r="D78" s="142"/>
      <c r="I78" s="5"/>
    </row>
    <row r="79" spans="2:39" ht="12" customHeight="1" x14ac:dyDescent="0.2">
      <c r="B79" s="79"/>
      <c r="D79" s="142"/>
      <c r="I79" s="5"/>
    </row>
    <row r="80" spans="2:39" ht="12" customHeight="1" x14ac:dyDescent="0.2">
      <c r="B80" s="79"/>
      <c r="D80" s="142"/>
      <c r="I80" s="5"/>
    </row>
    <row r="81" spans="2:19" ht="12" customHeight="1" x14ac:dyDescent="0.2">
      <c r="B81" s="79"/>
      <c r="D81" s="142"/>
      <c r="I81" s="5"/>
    </row>
    <row r="82" spans="2:19" ht="12" customHeight="1" x14ac:dyDescent="0.25">
      <c r="B82" s="79"/>
      <c r="D82" s="142"/>
      <c r="I82" s="5"/>
      <c r="Q82"/>
      <c r="S82"/>
    </row>
    <row r="83" spans="2:19" ht="12" customHeight="1" x14ac:dyDescent="0.2">
      <c r="I83" s="5"/>
    </row>
    <row r="84" spans="2:19" ht="12" customHeight="1" x14ac:dyDescent="0.2">
      <c r="I84" s="5"/>
    </row>
    <row r="85" spans="2:19" ht="12" customHeight="1" x14ac:dyDescent="0.2">
      <c r="I85" s="5"/>
    </row>
    <row r="86" spans="2:19" ht="12" customHeight="1" x14ac:dyDescent="0.2">
      <c r="I86" s="5"/>
    </row>
    <row r="87" spans="2:19" ht="12" customHeight="1" x14ac:dyDescent="0.2">
      <c r="I87" s="5"/>
    </row>
    <row r="88" spans="2:19" ht="12" customHeight="1" x14ac:dyDescent="0.2">
      <c r="I88" s="5"/>
    </row>
    <row r="89" spans="2:19" ht="12" customHeight="1" x14ac:dyDescent="0.2">
      <c r="I89" s="5"/>
    </row>
    <row r="90" spans="2:19" ht="12" customHeight="1" x14ac:dyDescent="0.2">
      <c r="I90" s="5"/>
    </row>
    <row r="91" spans="2:19" ht="12" customHeight="1" x14ac:dyDescent="0.2">
      <c r="I91" s="5"/>
    </row>
    <row r="92" spans="2:19" ht="12" customHeight="1" x14ac:dyDescent="0.2">
      <c r="I92" s="5"/>
    </row>
    <row r="148" spans="6:6" ht="12" customHeight="1" x14ac:dyDescent="0.2">
      <c r="F148" s="1" t="str" cm="1">
        <f t="array" ref="F148">INDEX(PalmonNamesSorted,F149)</f>
        <v>Fleurizard</v>
      </c>
    </row>
    <row r="149" spans="6:6" ht="12" customHeight="1" x14ac:dyDescent="0.2">
      <c r="F149" s="1">
        <v>10</v>
      </c>
    </row>
  </sheetData>
  <autoFilter ref="B2:G51" xr:uid="{BCDDB74B-9FF0-4207-9899-68A047ECE06D}"/>
  <sortState xmlns:xlrd2="http://schemas.microsoft.com/office/spreadsheetml/2017/richdata2" ref="B53:O81">
    <sortCondition descending="1" ref="L53:L81"/>
    <sortCondition descending="1" ref="E53:E81"/>
  </sortState>
  <mergeCells count="9">
    <mergeCell ref="AI1:AK1"/>
    <mergeCell ref="B59:C59"/>
    <mergeCell ref="B53:C53"/>
    <mergeCell ref="AA1:AC1"/>
    <mergeCell ref="AE1:AG1"/>
    <mergeCell ref="J1:N1"/>
    <mergeCell ref="B1:I1"/>
    <mergeCell ref="X1:Y1"/>
    <mergeCell ref="P1:V1"/>
  </mergeCells>
  <conditionalFormatting sqref="B3:C49 B52:C52 B58:C58 C60:C62 B63:C82">
    <cfRule type="expression" dxfId="77" priority="108">
      <formula>$C3="Fire"</formula>
    </cfRule>
    <cfRule type="expression" dxfId="76" priority="109">
      <formula>$C3="Water"</formula>
    </cfRule>
    <cfRule type="expression" dxfId="75" priority="110">
      <formula>$C3="Electricity"</formula>
    </cfRule>
    <cfRule type="expression" dxfId="74" priority="111">
      <formula>$C3="Wood"</formula>
    </cfRule>
  </conditionalFormatting>
  <conditionalFormatting sqref="D3:D54 D58:D82">
    <cfRule type="cellIs" dxfId="73" priority="76" operator="equal">
      <formula>"Attack"</formula>
    </cfRule>
    <cfRule type="cellIs" dxfId="72" priority="77" operator="equal">
      <formula>"Defend"</formula>
    </cfRule>
  </conditionalFormatting>
  <conditionalFormatting sqref="M3:M47">
    <cfRule type="expression" dxfId="71" priority="181">
      <formula>$G3&lt;4</formula>
    </cfRule>
  </conditionalFormatting>
  <conditionalFormatting sqref="N3:N47">
    <cfRule type="expression" dxfId="70" priority="182">
      <formula>$G3&lt;&gt;5</formula>
    </cfRule>
  </conditionalFormatting>
  <conditionalFormatting sqref="P3:T47">
    <cfRule type="dataBar" priority="35">
      <dataBar>
        <cfvo type="min"/>
        <cfvo type="max"/>
        <color theme="3" tint="0.499984740745262"/>
      </dataBar>
      <extLst>
        <ext xmlns:x14="http://schemas.microsoft.com/office/spreadsheetml/2009/9/main" uri="{B025F937-C7B1-47D3-B67F-A62EFF666E3E}">
          <x14:id>{398C2BF3-BD87-4965-982E-CE5F6CB9F770}</x14:id>
        </ext>
      </extLst>
    </cfRule>
  </conditionalFormatting>
  <conditionalFormatting sqref="U3:U47">
    <cfRule type="dataBar" priority="17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{52764455-2533-457A-A21C-C8AD2BBE0208}</x14:id>
        </ext>
      </extLst>
    </cfRule>
  </conditionalFormatting>
  <conditionalFormatting sqref="AB3:AB8">
    <cfRule type="expression" dxfId="69" priority="190">
      <formula>VLOOKUP(#REF!,PalmonList,3,FALSE)="Attack"</formula>
    </cfRule>
    <cfRule type="expression" dxfId="68" priority="191">
      <formula>VLOOKUP(#REF!,PalmonList,3,FALSE)&lt;&gt;"Attack"</formula>
    </cfRule>
    <cfRule type="iconSet" priority="192">
      <iconSet iconSet="3Flags">
        <cfvo type="percent" val="0"/>
        <cfvo type="num" val="8"/>
        <cfvo type="num" val="15"/>
      </iconSet>
    </cfRule>
  </conditionalFormatting>
  <conditionalFormatting sqref="AB9:AB30">
    <cfRule type="expression" dxfId="67" priority="251">
      <formula>VLOOKUP($B58,PalmonList,3,FALSE)="Attack"</formula>
    </cfRule>
    <cfRule type="expression" dxfId="66" priority="252">
      <formula>VLOOKUP($B58,PalmonList,3,FALSE)&lt;&gt;"Attack"</formula>
    </cfRule>
    <cfRule type="iconSet" priority="253">
      <iconSet iconSet="3Flags">
        <cfvo type="percent" val="0"/>
        <cfvo type="num" val="8"/>
        <cfvo type="num" val="15"/>
      </iconSet>
    </cfRule>
  </conditionalFormatting>
  <conditionalFormatting sqref="AB31:AB38">
    <cfRule type="expression" dxfId="65" priority="254">
      <formula>VLOOKUP($B77,PalmonList,3,FALSE)="Attack"</formula>
    </cfRule>
    <cfRule type="expression" dxfId="64" priority="255">
      <formula>VLOOKUP($B77,PalmonList,3,FALSE)&lt;&gt;"Attack"</formula>
    </cfRule>
    <cfRule type="iconSet" priority="256">
      <iconSet iconSet="3Flags">
        <cfvo type="percent" val="0"/>
        <cfvo type="num" val="8"/>
        <cfvo type="num" val="15"/>
      </iconSet>
    </cfRule>
  </conditionalFormatting>
  <conditionalFormatting sqref="AB39:AB46">
    <cfRule type="expression" dxfId="63" priority="242">
      <formula>VLOOKUP($B82,PalmonList,3,FALSE)="Attack"</formula>
    </cfRule>
    <cfRule type="expression" dxfId="62" priority="243">
      <formula>VLOOKUP($B82,PalmonList,3,FALSE)&lt;&gt;"Attack"</formula>
    </cfRule>
    <cfRule type="iconSet" priority="244">
      <iconSet iconSet="3Flags">
        <cfvo type="percent" val="0"/>
        <cfvo type="num" val="8"/>
        <cfvo type="num" val="15"/>
      </iconSet>
    </cfRule>
  </conditionalFormatting>
  <conditionalFormatting sqref="AC3:AC47">
    <cfRule type="iconSet" priority="64">
      <iconSet iconSet="3Flags">
        <cfvo type="percent" val="0"/>
        <cfvo type="num" val="2"/>
        <cfvo type="num" val="3"/>
      </iconSet>
    </cfRule>
  </conditionalFormatting>
  <dataValidations count="3">
    <dataValidation type="list" allowBlank="1" showInputMessage="1" showErrorMessage="1" sqref="C59 C53 C3:C47" xr:uid="{D035E7CB-578D-4DCA-A578-6CE81A056734}">
      <formula1>"Water,Fire,Wood,Electricity"</formula1>
    </dataValidation>
    <dataValidation type="list" allowBlank="1" showInputMessage="1" showErrorMessage="1" sqref="D3:D47" xr:uid="{D255B30B-61CA-4796-BCCE-BF88FB33EF4C}">
      <formula1>"Attack,Defend"</formula1>
    </dataValidation>
    <dataValidation type="whole" operator="greaterThan" allowBlank="1" showInputMessage="1" showErrorMessage="1" sqref="C50:C51" xr:uid="{152E658A-E1B4-4BA9-A47D-692BCFC4E657}">
      <formula1>0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&amp;C_x000D_&amp;1#&amp;"Calibri"&amp;10&amp;K0078D7 C1 - Interne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7</xdr:col>
                    <xdr:colOff>104775</xdr:colOff>
                    <xdr:row>146</xdr:row>
                    <xdr:rowOff>114300</xdr:rowOff>
                  </from>
                  <to>
                    <xdr:col>10</xdr:col>
                    <xdr:colOff>323850</xdr:colOff>
                    <xdr:row>149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Spinner 7">
              <controlPr defaultSize="0" autoPict="0">
                <anchor moveWithCells="1" sizeWithCells="1">
                  <from>
                    <xdr:col>3</xdr:col>
                    <xdr:colOff>28575</xdr:colOff>
                    <xdr:row>48</xdr:row>
                    <xdr:rowOff>66675</xdr:rowOff>
                  </from>
                  <to>
                    <xdr:col>3</xdr:col>
                    <xdr:colOff>190500</xdr:colOff>
                    <xdr:row>50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9AA7849-7DE1-4F1D-A065-35F9EDEC099D}">
            <x14:iconSet iconSet="5Boxes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</x14:iconSet>
          </x14:cfRule>
          <xm:sqref>A3:A47</xm:sqref>
        </x14:conditionalFormatting>
        <x14:conditionalFormatting xmlns:xm="http://schemas.microsoft.com/office/excel/2006/main">
          <x14:cfRule type="dataBar" id="{398C2BF3-BD87-4965-982E-CE5F6CB9F77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P3:T47</xm:sqref>
        </x14:conditionalFormatting>
        <x14:conditionalFormatting xmlns:xm="http://schemas.microsoft.com/office/excel/2006/main">
          <x14:cfRule type="dataBar" id="{52764455-2533-457A-A21C-C8AD2BBE020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U3:U47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CDCB-18C3-423D-800C-A25763793463}">
  <dimension ref="A1:AJ46"/>
  <sheetViews>
    <sheetView topLeftCell="A18" workbookViewId="0">
      <selection activeCell="A5" sqref="A5:AJ46"/>
    </sheetView>
  </sheetViews>
  <sheetFormatPr baseColWidth="10" defaultRowHeight="15" x14ac:dyDescent="0.25"/>
  <sheetData>
    <row r="1" spans="1:36" x14ac:dyDescent="0.25">
      <c r="A1" t="str">
        <f>Palmon!B2</f>
        <v>Name</v>
      </c>
      <c r="B1" t="str">
        <f>Palmon!C2</f>
        <v>Type</v>
      </c>
      <c r="C1" t="str">
        <f>Palmon!D2</f>
        <v>Skill</v>
      </c>
      <c r="D1" t="str">
        <f>Palmon!E2</f>
        <v>Level</v>
      </c>
      <c r="E1" t="str">
        <f>Palmon!F2</f>
        <v>Upgradable</v>
      </c>
      <c r="F1" t="str">
        <f>Palmon!G2</f>
        <v>Step</v>
      </c>
      <c r="G1" t="str">
        <f>Palmon!H2</f>
        <v>Stars</v>
      </c>
      <c r="H1" t="str">
        <f>Palmon!I2</f>
        <v>Stock</v>
      </c>
      <c r="I1">
        <f>Palmon!J2</f>
        <v>1</v>
      </c>
      <c r="J1">
        <f>Palmon!K2</f>
        <v>2</v>
      </c>
      <c r="K1">
        <f>Palmon!L2</f>
        <v>3</v>
      </c>
      <c r="L1">
        <f>Palmon!M2</f>
        <v>4</v>
      </c>
      <c r="M1">
        <f>Palmon!N2</f>
        <v>5</v>
      </c>
      <c r="N1">
        <f>Palmon!O2</f>
        <v>0</v>
      </c>
      <c r="O1">
        <f>Palmon!P2</f>
        <v>1</v>
      </c>
      <c r="P1">
        <f>Palmon!Q2</f>
        <v>2</v>
      </c>
      <c r="Q1">
        <f>Palmon!R2</f>
        <v>3</v>
      </c>
      <c r="R1">
        <f>Palmon!S2</f>
        <v>4</v>
      </c>
      <c r="S1">
        <f>Palmon!T2</f>
        <v>5</v>
      </c>
      <c r="T1" t="str">
        <f>Palmon!U2</f>
        <v>Achievement</v>
      </c>
      <c r="U1" t="str">
        <f>Palmon!V2</f>
        <v>Needs</v>
      </c>
      <c r="V1">
        <f>Palmon!W2</f>
        <v>0</v>
      </c>
      <c r="W1" t="str">
        <f>Palmon!X2</f>
        <v>Cost to max</v>
      </c>
      <c r="X1" t="str">
        <f>Palmon!Y2</f>
        <v>Upgradable</v>
      </c>
      <c r="Y1">
        <f>Palmon!Z2</f>
        <v>0</v>
      </c>
      <c r="Z1" t="str">
        <f>Palmon!AA2</f>
        <v>RankPower</v>
      </c>
      <c r="AA1" t="str">
        <f>Palmon!AB2</f>
        <v>Rank</v>
      </c>
      <c r="AB1" t="str">
        <f>Palmon!AC2</f>
        <v>Team</v>
      </c>
      <c r="AC1">
        <f>Palmon!AD2</f>
        <v>0</v>
      </c>
      <c r="AD1" t="str">
        <f>Palmon!AE2</f>
        <v>URL</v>
      </c>
      <c r="AE1" t="str">
        <f>Palmon!AF2</f>
        <v>URL Mutation</v>
      </c>
      <c r="AF1">
        <f>Palmon!AG2</f>
        <v>0</v>
      </c>
      <c r="AG1">
        <f>Palmon!AH2</f>
        <v>0</v>
      </c>
      <c r="AH1">
        <f>Palmon!AI2</f>
        <v>1</v>
      </c>
      <c r="AI1">
        <f>Palmon!AJ2</f>
        <v>2</v>
      </c>
      <c r="AJ1">
        <f>Palmon!AK2</f>
        <v>0</v>
      </c>
    </row>
    <row r="2" spans="1:36" x14ac:dyDescent="0.25">
      <c r="A2" t="str">
        <f>Palmon!B3</f>
        <v>Bufonobi</v>
      </c>
      <c r="B2" t="str">
        <f>Palmon!C3</f>
        <v>Water</v>
      </c>
      <c r="C2" t="str">
        <f>Palmon!D3</f>
        <v>Attack</v>
      </c>
      <c r="D2">
        <f>Palmon!E3</f>
        <v>270</v>
      </c>
      <c r="E2">
        <f>Palmon!F3</f>
        <v>1</v>
      </c>
      <c r="F2">
        <f>Palmon!G3</f>
        <v>5</v>
      </c>
      <c r="G2">
        <f>Palmon!H3</f>
        <v>5</v>
      </c>
      <c r="H2">
        <f>Palmon!I3</f>
        <v>0</v>
      </c>
      <c r="I2">
        <f>Palmon!J3</f>
        <v>30</v>
      </c>
      <c r="J2">
        <f>Palmon!K3</f>
        <v>30</v>
      </c>
      <c r="K2">
        <f>Palmon!L3</f>
        <v>30</v>
      </c>
      <c r="L2" t="str">
        <f>Palmon!M3</f>
        <v>Max</v>
      </c>
      <c r="M2">
        <f>Palmon!N3</f>
        <v>10</v>
      </c>
      <c r="N2">
        <f>Palmon!O3</f>
        <v>0</v>
      </c>
      <c r="O2">
        <f>Palmon!P3</f>
        <v>1</v>
      </c>
      <c r="P2">
        <f>Palmon!Q3</f>
        <v>1</v>
      </c>
      <c r="Q2">
        <f>Palmon!R3</f>
        <v>1</v>
      </c>
      <c r="R2">
        <f>Palmon!S3</f>
        <v>1</v>
      </c>
      <c r="S2">
        <f>Palmon!T3</f>
        <v>1</v>
      </c>
      <c r="T2">
        <f>Palmon!U3</f>
        <v>1</v>
      </c>
      <c r="U2">
        <f>Palmon!V3</f>
        <v>0</v>
      </c>
      <c r="V2">
        <f>Palmon!W3</f>
        <v>0</v>
      </c>
      <c r="W2">
        <f>Palmon!X3</f>
        <v>1515640000</v>
      </c>
      <c r="X2">
        <f>Palmon!Y3</f>
        <v>1</v>
      </c>
      <c r="Y2">
        <f>Palmon!Z3</f>
        <v>0</v>
      </c>
      <c r="Z2">
        <f>Palmon!AA3</f>
        <v>5270</v>
      </c>
      <c r="AA2">
        <f>Palmon!AB3</f>
        <v>2</v>
      </c>
      <c r="AB2">
        <f>Palmon!AC3</f>
        <v>1</v>
      </c>
      <c r="AC2">
        <f>Palmon!AD3</f>
        <v>0</v>
      </c>
      <c r="AD2" t="str">
        <f>IF(Palmon!AE3="","",Palmon!AE3)</f>
        <v>https://encrypted-tbn0.gstatic.com/images?q=tbn:ANd9GcRXczs_Bjhslhr7Mf2HENU6MTyGpz0RJEMjNA&amp;s</v>
      </c>
      <c r="AE2" t="str">
        <f>IF(Palmon!AF3="","",Palmon!AF3)</f>
        <v xml:space="preserve"> </v>
      </c>
      <c r="AF2" t="str">
        <f>Palmon!AG3</f>
        <v xml:space="preserve"> </v>
      </c>
      <c r="AG2">
        <f>Palmon!AH3</f>
        <v>0</v>
      </c>
      <c r="AH2" t="str">
        <f>IF(Palmon!AI3=0,"Non",Palmon!AI3)</f>
        <v>Non</v>
      </c>
      <c r="AI2" t="str">
        <f>IF(Palmon!AJ3=0,"Non",Palmon!AJ3)</f>
        <v>Shadowkaeru</v>
      </c>
      <c r="AJ2">
        <f>Palmon!AK3</f>
        <v>0</v>
      </c>
    </row>
    <row r="3" spans="1:36" x14ac:dyDescent="0.25">
      <c r="A3" t="str">
        <f>Palmon!B4</f>
        <v>Vulpyrean</v>
      </c>
      <c r="B3" t="str">
        <f>Palmon!C4</f>
        <v>Fire</v>
      </c>
      <c r="C3" t="str">
        <f>Palmon!D4</f>
        <v>Attack</v>
      </c>
      <c r="D3">
        <f>Palmon!E4</f>
        <v>270</v>
      </c>
      <c r="E3">
        <f>Palmon!F4</f>
        <v>1</v>
      </c>
      <c r="F3">
        <f>Palmon!G4</f>
        <v>5</v>
      </c>
      <c r="G3">
        <f>Palmon!H4</f>
        <v>5</v>
      </c>
      <c r="H3">
        <f>Palmon!I4</f>
        <v>0</v>
      </c>
      <c r="I3">
        <f>Palmon!J4</f>
        <v>20</v>
      </c>
      <c r="J3">
        <f>Palmon!K4</f>
        <v>20</v>
      </c>
      <c r="K3">
        <f>Palmon!L4</f>
        <v>20</v>
      </c>
      <c r="L3" t="str">
        <f>Palmon!M4</f>
        <v>Max</v>
      </c>
      <c r="M3">
        <f>Palmon!N4</f>
        <v>10</v>
      </c>
      <c r="N3">
        <f>Palmon!O4</f>
        <v>0</v>
      </c>
      <c r="O3">
        <f>Palmon!P4</f>
        <v>1</v>
      </c>
      <c r="P3">
        <f>Palmon!Q4</f>
        <v>1</v>
      </c>
      <c r="Q3">
        <f>Palmon!R4</f>
        <v>1</v>
      </c>
      <c r="R3">
        <f>Palmon!S4</f>
        <v>1</v>
      </c>
      <c r="S3">
        <f>Palmon!T4</f>
        <v>1</v>
      </c>
      <c r="T3">
        <f>Palmon!U4</f>
        <v>1</v>
      </c>
      <c r="U3">
        <f>Palmon!V4</f>
        <v>0</v>
      </c>
      <c r="V3">
        <f>Palmon!W4</f>
        <v>0</v>
      </c>
      <c r="W3">
        <f>Palmon!X4</f>
        <v>1515640000</v>
      </c>
      <c r="X3">
        <f>Palmon!Y4</f>
        <v>1</v>
      </c>
      <c r="Y3">
        <f>Palmon!Z4</f>
        <v>0</v>
      </c>
      <c r="Z3">
        <f>Palmon!AA4</f>
        <v>5270</v>
      </c>
      <c r="AA3">
        <f>Palmon!AB4</f>
        <v>3</v>
      </c>
      <c r="AB3">
        <f>Palmon!AC4</f>
        <v>1</v>
      </c>
      <c r="AC3">
        <f>Palmon!AD4</f>
        <v>0</v>
      </c>
      <c r="AD3" t="str">
        <f>IF(Palmon!AE4="","",Palmon!AE4)</f>
        <v>https://encrypted-tbn0.gstatic.com/images?q=tbn:ANd9GcSDZWuq2tiKYc0zKRxpHXrLSMZ1GsY_6wEIYw&amp;s</v>
      </c>
      <c r="AE3" t="str">
        <f>IF(Palmon!AF4="","",Palmon!AF4)</f>
        <v>https://encrypted-tbn0.gstatic.com/images?q=tbn:ANd9GcRGF27Z8fOuiwM1qjDFQVY262gS_QKIJamMNg&amp;s</v>
      </c>
      <c r="AF3" t="str">
        <f>Palmon!AG4</f>
        <v xml:space="preserve"> </v>
      </c>
      <c r="AG3">
        <f>Palmon!AH4</f>
        <v>0</v>
      </c>
      <c r="AH3" t="str">
        <f>IF(Palmon!AI4=0,"Non",Palmon!AI4)</f>
        <v>Non</v>
      </c>
      <c r="AI3" t="str">
        <f>IF(Palmon!AJ4=0,"Non",Palmon!AJ4)</f>
        <v>Non</v>
      </c>
      <c r="AJ3">
        <f>Palmon!AK4</f>
        <v>0</v>
      </c>
    </row>
    <row r="4" spans="1:36" x14ac:dyDescent="0.25">
      <c r="A4" t="str">
        <f>Palmon!B5</f>
        <v>Hoofrit</v>
      </c>
      <c r="B4" t="str">
        <f>Palmon!C5</f>
        <v>Fire</v>
      </c>
      <c r="C4" t="str">
        <f>Palmon!D5</f>
        <v>Attack</v>
      </c>
      <c r="D4">
        <f>Palmon!E5</f>
        <v>270</v>
      </c>
      <c r="E4">
        <f>Palmon!F5</f>
        <v>1</v>
      </c>
      <c r="F4">
        <f>Palmon!G5</f>
        <v>4</v>
      </c>
      <c r="G4">
        <f>Palmon!H5</f>
        <v>4</v>
      </c>
      <c r="H4">
        <f>Palmon!I5</f>
        <v>11</v>
      </c>
      <c r="I4">
        <f>Palmon!J5</f>
        <v>15</v>
      </c>
      <c r="J4">
        <f>Palmon!K5</f>
        <v>15</v>
      </c>
      <c r="K4">
        <f>Palmon!L5</f>
        <v>15</v>
      </c>
      <c r="L4" t="str">
        <f>Palmon!M5</f>
        <v>Max</v>
      </c>
      <c r="M4" t="str">
        <f>Palmon!N5</f>
        <v/>
      </c>
      <c r="N4">
        <f>Palmon!O5</f>
        <v>0</v>
      </c>
      <c r="O4">
        <f>Palmon!P5</f>
        <v>1</v>
      </c>
      <c r="P4">
        <f>Palmon!Q5</f>
        <v>1</v>
      </c>
      <c r="Q4">
        <f>Palmon!R5</f>
        <v>1</v>
      </c>
      <c r="R4">
        <f>Palmon!S5</f>
        <v>1</v>
      </c>
      <c r="S4">
        <f>Palmon!T5</f>
        <v>0</v>
      </c>
      <c r="T4">
        <f>Palmon!U5</f>
        <v>0.48717948717948717</v>
      </c>
      <c r="U4">
        <f>Palmon!V5</f>
        <v>489</v>
      </c>
      <c r="V4">
        <f>Palmon!W5</f>
        <v>0</v>
      </c>
      <c r="W4">
        <f>Palmon!X5</f>
        <v>1515640000</v>
      </c>
      <c r="X4">
        <f>Palmon!Y5</f>
        <v>1</v>
      </c>
      <c r="Y4">
        <f>Palmon!Z5</f>
        <v>0</v>
      </c>
      <c r="Z4">
        <f>Palmon!AA5</f>
        <v>4270</v>
      </c>
      <c r="AA4">
        <f>Palmon!AB5</f>
        <v>13</v>
      </c>
      <c r="AB4">
        <f>Palmon!AC5</f>
        <v>2</v>
      </c>
      <c r="AC4">
        <f>Palmon!AD5</f>
        <v>0</v>
      </c>
      <c r="AD4" t="str">
        <f>IF(Palmon!AE5="","",Palmon!AE5)</f>
        <v>https://encrypted-tbn0.gstatic.com/images?q=tbn:ANd9GcRwfHFWjB1bN67FJNyjjWvBJwviWJ3Tada0Yg&amp;s</v>
      </c>
      <c r="AE4" t="str">
        <f>IF(Palmon!AF5="","",Palmon!AF5)</f>
        <v>https://encrypted-tbn0.gstatic.com/images?q=tbn:ANd9GcSkOv6mOI5FaIAjcVgErYDwVaivkH3WdUQIzw&amp;s</v>
      </c>
      <c r="AF4" t="str">
        <f>Palmon!AG5</f>
        <v xml:space="preserve"> </v>
      </c>
      <c r="AG4">
        <f>Palmon!AH5</f>
        <v>0</v>
      </c>
      <c r="AH4" t="str">
        <f>IF(Palmon!AI5=0,"Non",Palmon!AI5)</f>
        <v>Flaries</v>
      </c>
      <c r="AI4" t="str">
        <f>IF(Palmon!AJ5=0,"Non",Palmon!AJ5)</f>
        <v>Non</v>
      </c>
      <c r="AJ4">
        <f>Palmon!AK5</f>
        <v>0</v>
      </c>
    </row>
    <row r="5" spans="1:36" x14ac:dyDescent="0.25">
      <c r="A5" t="str">
        <f>Palmon!B6</f>
        <v>Ghillant</v>
      </c>
      <c r="B5" t="str">
        <f>Palmon!C6</f>
        <v>Wood</v>
      </c>
      <c r="C5" t="str">
        <f>Palmon!D6</f>
        <v>Defend</v>
      </c>
      <c r="D5">
        <f>Palmon!E6</f>
        <v>250</v>
      </c>
      <c r="E5">
        <f>Palmon!F6</f>
        <v>1</v>
      </c>
      <c r="F5">
        <f>Palmon!G6</f>
        <v>4</v>
      </c>
      <c r="G5">
        <f>Palmon!H6</f>
        <v>4.0999999999999996</v>
      </c>
      <c r="H5">
        <f>Palmon!I6</f>
        <v>0</v>
      </c>
      <c r="I5">
        <f>Palmon!J6</f>
        <v>5</v>
      </c>
      <c r="J5">
        <f>Palmon!K6</f>
        <v>5</v>
      </c>
      <c r="K5">
        <f>Palmon!L6</f>
        <v>5</v>
      </c>
      <c r="L5" t="str">
        <f>Palmon!M6</f>
        <v>Max</v>
      </c>
      <c r="M5" t="str">
        <f>Palmon!N6</f>
        <v/>
      </c>
      <c r="N5">
        <f>Palmon!O6</f>
        <v>0</v>
      </c>
      <c r="O5">
        <f>Palmon!P6</f>
        <v>1</v>
      </c>
      <c r="P5">
        <f>Palmon!Q6</f>
        <v>1</v>
      </c>
      <c r="Q5">
        <f>Palmon!R6</f>
        <v>1</v>
      </c>
      <c r="R5">
        <f>Palmon!S6</f>
        <v>1</v>
      </c>
      <c r="S5">
        <f>Palmon!T6</f>
        <v>0.19999999999999929</v>
      </c>
      <c r="T5">
        <f>Palmon!U6</f>
        <v>0.58974358974358942</v>
      </c>
      <c r="U5">
        <f>Palmon!V6</f>
        <v>400.00000000000034</v>
      </c>
      <c r="V5">
        <f>Palmon!W6</f>
        <v>0</v>
      </c>
      <c r="W5">
        <f>Palmon!X6</f>
        <v>3503540000</v>
      </c>
      <c r="X5">
        <f>Palmon!Y6</f>
        <v>1</v>
      </c>
      <c r="Y5">
        <f>Palmon!Z6</f>
        <v>0</v>
      </c>
      <c r="Z5">
        <f>Palmon!AA6</f>
        <v>4350</v>
      </c>
      <c r="AA5">
        <f>Palmon!AB6</f>
        <v>10</v>
      </c>
      <c r="AB5">
        <f>Palmon!AC6</f>
        <v>2</v>
      </c>
      <c r="AC5">
        <f>Palmon!AD6</f>
        <v>0</v>
      </c>
      <c r="AD5" t="str">
        <f>IF(Palmon!AE6="","",Palmon!AE6)</f>
        <v>https://encrypted-tbn0.gstatic.com/images?q=tbn:ANd9GcQOwDXppnwkCtCXXAqUiiNMhf6T-lane54jPg&amp;s</v>
      </c>
      <c r="AE5" t="str">
        <f>IF(Palmon!AF6="","",Palmon!AF6)</f>
        <v xml:space="preserve"> </v>
      </c>
      <c r="AF5" t="str">
        <f>Palmon!AG6</f>
        <v xml:space="preserve"> </v>
      </c>
      <c r="AG5">
        <f>Palmon!AH6</f>
        <v>0</v>
      </c>
      <c r="AH5" t="str">
        <f>IF(Palmon!AI6=0,"Non",Palmon!AI6)</f>
        <v>Chefeuillier</v>
      </c>
      <c r="AI5" t="str">
        <f>IF(Palmon!AJ6=0,"Non",Palmon!AJ6)</f>
        <v>Non</v>
      </c>
      <c r="AJ5">
        <f>Palmon!AK6</f>
        <v>0</v>
      </c>
    </row>
    <row r="6" spans="1:36" x14ac:dyDescent="0.25">
      <c r="A6" t="str">
        <f>Palmon!B7</f>
        <v>Gnashfin</v>
      </c>
      <c r="B6" t="str">
        <f>Palmon!C7</f>
        <v>Water</v>
      </c>
      <c r="C6" t="str">
        <f>Palmon!D7</f>
        <v>Defend</v>
      </c>
      <c r="D6">
        <f>Palmon!E7</f>
        <v>270</v>
      </c>
      <c r="E6">
        <f>Palmon!F7</f>
        <v>1</v>
      </c>
      <c r="F6">
        <f>Palmon!G7</f>
        <v>5</v>
      </c>
      <c r="G6">
        <f>Palmon!H7</f>
        <v>5</v>
      </c>
      <c r="H6">
        <f>Palmon!I7</f>
        <v>0</v>
      </c>
      <c r="I6">
        <f>Palmon!J7</f>
        <v>15</v>
      </c>
      <c r="J6">
        <f>Palmon!K7</f>
        <v>20</v>
      </c>
      <c r="K6">
        <f>Palmon!L7</f>
        <v>30</v>
      </c>
      <c r="L6" t="str">
        <f>Palmon!M7</f>
        <v>Max</v>
      </c>
      <c r="M6">
        <f>Palmon!N7</f>
        <v>10</v>
      </c>
      <c r="N6">
        <f>Palmon!O7</f>
        <v>0</v>
      </c>
      <c r="O6">
        <f>Palmon!P7</f>
        <v>1</v>
      </c>
      <c r="P6">
        <f>Palmon!Q7</f>
        <v>1</v>
      </c>
      <c r="Q6">
        <f>Palmon!R7</f>
        <v>1</v>
      </c>
      <c r="R6">
        <f>Palmon!S7</f>
        <v>1</v>
      </c>
      <c r="S6">
        <f>Palmon!T7</f>
        <v>1</v>
      </c>
      <c r="T6">
        <f>Palmon!U7</f>
        <v>1</v>
      </c>
      <c r="U6">
        <f>Palmon!V7</f>
        <v>0</v>
      </c>
      <c r="V6">
        <f>Palmon!W7</f>
        <v>0</v>
      </c>
      <c r="W6">
        <f>Palmon!X7</f>
        <v>1515640000</v>
      </c>
      <c r="X6">
        <f>Palmon!Y7</f>
        <v>1</v>
      </c>
      <c r="Y6">
        <f>Palmon!Z7</f>
        <v>0</v>
      </c>
      <c r="Z6">
        <f>Palmon!AA7</f>
        <v>5270</v>
      </c>
      <c r="AA6">
        <f>Palmon!AB7</f>
        <v>4</v>
      </c>
      <c r="AB6">
        <f>Palmon!AC7</f>
        <v>1</v>
      </c>
      <c r="AC6">
        <f>Palmon!AD7</f>
        <v>0</v>
      </c>
      <c r="AD6" t="str">
        <f>IF(Palmon!AE7="","",Palmon!AE7)</f>
        <v>https://encrypted-tbn0.gstatic.com/images?q=tbn:ANd9GcTII6bAUVzdPfr_45Db3bGwDuIVxhe-n4dSSgHRGJaEpg&amp;s</v>
      </c>
      <c r="AE6" t="str">
        <f>IF(Palmon!AF7="","",Palmon!AF7)</f>
        <v xml:space="preserve"> </v>
      </c>
      <c r="AF6" t="str">
        <f>Palmon!AG7</f>
        <v xml:space="preserve"> </v>
      </c>
      <c r="AG6">
        <f>Palmon!AH7</f>
        <v>0</v>
      </c>
      <c r="AH6" t="str">
        <f>IF(Palmon!AI7=0,"Non",Palmon!AI7)</f>
        <v>Non</v>
      </c>
      <c r="AI6" t="str">
        <f>IF(Palmon!AJ7=0,"Non",Palmon!AJ7)</f>
        <v>Non</v>
      </c>
      <c r="AJ6">
        <f>Palmon!AK7</f>
        <v>0</v>
      </c>
    </row>
    <row r="7" spans="1:36" x14ac:dyDescent="0.25">
      <c r="A7" t="str">
        <f>Palmon!B8</f>
        <v>Gnashley</v>
      </c>
      <c r="B7" t="str">
        <f>Palmon!C8</f>
        <v>Water</v>
      </c>
      <c r="C7" t="str">
        <f>Palmon!D8</f>
        <v>Defend</v>
      </c>
      <c r="D7">
        <f>Palmon!E8</f>
        <v>1</v>
      </c>
      <c r="E7">
        <f>Palmon!F8</f>
        <v>1</v>
      </c>
      <c r="F7">
        <f>Palmon!G8</f>
        <v>1</v>
      </c>
      <c r="G7">
        <f>Palmon!H8</f>
        <v>1</v>
      </c>
      <c r="H7">
        <f>Palmon!I8</f>
        <v>0</v>
      </c>
      <c r="I7">
        <f>Palmon!J8</f>
        <v>1</v>
      </c>
      <c r="J7">
        <f>Palmon!K8</f>
        <v>1</v>
      </c>
      <c r="K7">
        <f>Palmon!L8</f>
        <v>1</v>
      </c>
      <c r="L7" t="str">
        <f>Palmon!M8</f>
        <v/>
      </c>
      <c r="M7" t="str">
        <f>Palmon!N8</f>
        <v/>
      </c>
      <c r="N7">
        <f>Palmon!O8</f>
        <v>0</v>
      </c>
      <c r="O7">
        <f>Palmon!P8</f>
        <v>1</v>
      </c>
      <c r="P7">
        <f>Palmon!Q8</f>
        <v>0</v>
      </c>
      <c r="Q7">
        <f>Palmon!R8</f>
        <v>0</v>
      </c>
      <c r="R7">
        <f>Palmon!S8</f>
        <v>0</v>
      </c>
      <c r="S7">
        <f>Palmon!T8</f>
        <v>0</v>
      </c>
      <c r="T7">
        <f>Palmon!U8</f>
        <v>2.564102564102564E-2</v>
      </c>
      <c r="U7">
        <f>Palmon!V8</f>
        <v>950</v>
      </c>
      <c r="V7">
        <f>Palmon!W8</f>
        <v>0</v>
      </c>
      <c r="W7">
        <f>Palmon!X8</f>
        <v>6424613700</v>
      </c>
      <c r="X7">
        <f>Palmon!Y8</f>
        <v>1</v>
      </c>
      <c r="Y7">
        <f>Palmon!Z8</f>
        <v>0</v>
      </c>
      <c r="Z7">
        <f>Palmon!AA8</f>
        <v>1001</v>
      </c>
      <c r="AA7">
        <f>Palmon!AB8</f>
        <v>32</v>
      </c>
      <c r="AB7" t="str">
        <f>Palmon!AC8</f>
        <v/>
      </c>
      <c r="AC7">
        <f>Palmon!AD8</f>
        <v>0</v>
      </c>
      <c r="AD7" t="str">
        <f>IF(Palmon!AE8="","",Palmon!AE8)</f>
        <v>https://encrypted-tbn0.gstatic.com/images?q=tbn:ANd9GcQtrOr7ePo-_tg085QaHk6NorM32ywE44672A&amp;s</v>
      </c>
      <c r="AE7" t="str">
        <f>IF(Palmon!AF8="","",Palmon!AF8)</f>
        <v>https://encrypted-tbn0.gstatic.com/images?q=tbn:ANd9GcTII6bAUVzdPfr_45Db3bGwDuIVxhe-n4dSSgHRGJaEpg&amp;s</v>
      </c>
      <c r="AF7" t="str">
        <f>Palmon!AG8</f>
        <v xml:space="preserve"> </v>
      </c>
      <c r="AG7">
        <f>Palmon!AH8</f>
        <v>0</v>
      </c>
      <c r="AH7" t="str">
        <f>IF(Palmon!AI8=0,"Non",Palmon!AI8)</f>
        <v>Gnashfin</v>
      </c>
      <c r="AI7" t="str">
        <f>IF(Palmon!AJ8=0,"Non",Palmon!AJ8)</f>
        <v>Non</v>
      </c>
      <c r="AJ7">
        <f>Palmon!AK8</f>
        <v>0</v>
      </c>
    </row>
    <row r="8" spans="1:36" x14ac:dyDescent="0.25">
      <c r="A8" t="str">
        <f>Palmon!B9</f>
        <v>Magmolin</v>
      </c>
      <c r="B8" t="str">
        <f>Palmon!C9</f>
        <v>Fire</v>
      </c>
      <c r="C8" t="str">
        <f>Palmon!D9</f>
        <v>Defend</v>
      </c>
      <c r="D8">
        <f>Palmon!E9</f>
        <v>240</v>
      </c>
      <c r="E8">
        <f>Palmon!F9</f>
        <v>1</v>
      </c>
      <c r="F8">
        <f>Palmon!G9</f>
        <v>3</v>
      </c>
      <c r="G8">
        <f>Palmon!H9</f>
        <v>3.1</v>
      </c>
      <c r="H8">
        <f>Palmon!I9</f>
        <v>61</v>
      </c>
      <c r="I8">
        <f>Palmon!J9</f>
        <v>10</v>
      </c>
      <c r="J8">
        <f>Palmon!K9</f>
        <v>5</v>
      </c>
      <c r="K8">
        <f>Palmon!L9</f>
        <v>15</v>
      </c>
      <c r="L8" t="str">
        <f>Palmon!M9</f>
        <v/>
      </c>
      <c r="M8" t="str">
        <f>Palmon!N9</f>
        <v/>
      </c>
      <c r="N8">
        <f>Palmon!O9</f>
        <v>0</v>
      </c>
      <c r="O8">
        <f>Palmon!P9</f>
        <v>1</v>
      </c>
      <c r="P8">
        <f>Palmon!Q9</f>
        <v>1</v>
      </c>
      <c r="Q8">
        <f>Palmon!R9</f>
        <v>1</v>
      </c>
      <c r="R8">
        <f>Palmon!S9</f>
        <v>0.20000000000000018</v>
      </c>
      <c r="S8">
        <f>Palmon!T9</f>
        <v>0</v>
      </c>
      <c r="T8">
        <f>Palmon!U9</f>
        <v>0.24102564102564109</v>
      </c>
      <c r="U8">
        <f>Palmon!V9</f>
        <v>679</v>
      </c>
      <c r="V8">
        <f>Palmon!W9</f>
        <v>0</v>
      </c>
      <c r="W8">
        <f>Palmon!X9</f>
        <v>4211940000</v>
      </c>
      <c r="X8">
        <f>Palmon!Y9</f>
        <v>1</v>
      </c>
      <c r="Y8">
        <f>Palmon!Z9</f>
        <v>0</v>
      </c>
      <c r="Z8">
        <f>Palmon!AA9</f>
        <v>3340</v>
      </c>
      <c r="AA8">
        <f>Palmon!AB9</f>
        <v>16</v>
      </c>
      <c r="AB8">
        <f>Palmon!AC9</f>
        <v>3</v>
      </c>
      <c r="AC8">
        <f>Palmon!AD9</f>
        <v>0</v>
      </c>
      <c r="AD8" t="str">
        <f>IF(Palmon!AE9="","",Palmon!AE9)</f>
        <v>https://encrypted-tbn0.gstatic.com/images?q=tbn:ANd9GcRebc6KbOAxblleg_L3rr2K13bt-Yyzq1bAaw&amp;s</v>
      </c>
      <c r="AE8" t="str">
        <f>IF(Palmon!AF9="","",Palmon!AF9)</f>
        <v xml:space="preserve"> </v>
      </c>
      <c r="AF8" t="str">
        <f>Palmon!AG9</f>
        <v xml:space="preserve"> </v>
      </c>
      <c r="AG8">
        <f>Palmon!AH9</f>
        <v>0</v>
      </c>
      <c r="AH8" t="str">
        <f>IF(Palmon!AI9=0,"Non",Palmon!AI9)</f>
        <v>Obsidrake</v>
      </c>
      <c r="AI8" t="str">
        <f>IF(Palmon!AJ9=0,"Non",Palmon!AJ9)</f>
        <v>Non</v>
      </c>
      <c r="AJ8">
        <f>Palmon!AK9</f>
        <v>0</v>
      </c>
    </row>
    <row r="9" spans="1:36" x14ac:dyDescent="0.25">
      <c r="A9" t="str">
        <f>Palmon!B10</f>
        <v>Limudroid</v>
      </c>
      <c r="B9" t="str">
        <f>Palmon!C10</f>
        <v>Electricity</v>
      </c>
      <c r="C9" t="str">
        <f>Palmon!D10</f>
        <v>Attack</v>
      </c>
      <c r="D9">
        <f>Palmon!E10</f>
        <v>230</v>
      </c>
      <c r="E9">
        <f>Palmon!F10</f>
        <v>1</v>
      </c>
      <c r="F9">
        <f>Palmon!G10</f>
        <v>2</v>
      </c>
      <c r="G9">
        <f>Palmon!H10</f>
        <v>2.2000000000000002</v>
      </c>
      <c r="H9">
        <f>Palmon!I10</f>
        <v>4</v>
      </c>
      <c r="I9">
        <f>Palmon!J10</f>
        <v>1</v>
      </c>
      <c r="J9">
        <f>Palmon!K10</f>
        <v>1</v>
      </c>
      <c r="K9">
        <f>Palmon!L10</f>
        <v>5</v>
      </c>
      <c r="L9" t="str">
        <f>Palmon!M10</f>
        <v/>
      </c>
      <c r="M9" t="str">
        <f>Palmon!N10</f>
        <v/>
      </c>
      <c r="N9">
        <f>Palmon!O10</f>
        <v>0</v>
      </c>
      <c r="O9">
        <f>Palmon!P10</f>
        <v>1</v>
      </c>
      <c r="P9">
        <f>Palmon!Q10</f>
        <v>1</v>
      </c>
      <c r="Q9">
        <f>Palmon!R10</f>
        <v>0.40000000000000036</v>
      </c>
      <c r="R9">
        <f>Palmon!S10</f>
        <v>0</v>
      </c>
      <c r="S9">
        <f>Palmon!T10</f>
        <v>0</v>
      </c>
      <c r="T9">
        <f>Palmon!U10</f>
        <v>0.11794871794871797</v>
      </c>
      <c r="U9">
        <f>Palmon!V10</f>
        <v>856</v>
      </c>
      <c r="V9">
        <f>Palmon!W10</f>
        <v>0</v>
      </c>
      <c r="W9">
        <f>Palmon!X10</f>
        <v>4771140000</v>
      </c>
      <c r="X9">
        <f>Palmon!Y10</f>
        <v>1</v>
      </c>
      <c r="Y9">
        <f>Palmon!Z10</f>
        <v>0</v>
      </c>
      <c r="Z9">
        <f>Palmon!AA10</f>
        <v>2430</v>
      </c>
      <c r="AA9">
        <f>Palmon!AB10</f>
        <v>28</v>
      </c>
      <c r="AB9" t="str">
        <f>Palmon!AC10</f>
        <v/>
      </c>
      <c r="AC9">
        <f>Palmon!AD10</f>
        <v>0</v>
      </c>
      <c r="AD9" t="str">
        <f>IF(Palmon!AE10="","",Palmon!AE10)</f>
        <v>https://encrypted-tbn0.gstatic.com/images?q=tbn:ANd9GcQzaI21taP2V17MKjiPAeulm4V9qfST4umPdg&amp;s</v>
      </c>
      <c r="AE9" t="str">
        <f>IF(Palmon!AF10="","",Palmon!AF10)</f>
        <v>https://encrypted-tbn0.gstatic.com/images?q=tbn:ANd9GcRMlruQNUenhVk-fAEq9d3Wi8zw--0GbkLGJrX1CuQ1&amp;s</v>
      </c>
      <c r="AF9" t="str">
        <f>Palmon!AG10</f>
        <v xml:space="preserve"> </v>
      </c>
      <c r="AG9">
        <f>Palmon!AH10</f>
        <v>0</v>
      </c>
      <c r="AH9" t="str">
        <f>IF(Palmon!AI10=0,"Non",Palmon!AI10)</f>
        <v>Bunodroid</v>
      </c>
      <c r="AI9" t="str">
        <f>IF(Palmon!AJ10=0,"Non",Palmon!AJ10)</f>
        <v>Non</v>
      </c>
      <c r="AJ9">
        <f>Palmon!AK10</f>
        <v>0</v>
      </c>
    </row>
    <row r="10" spans="1:36" x14ac:dyDescent="0.25">
      <c r="A10" t="str">
        <f>Palmon!B11</f>
        <v>Barkplug</v>
      </c>
      <c r="B10" t="str">
        <f>Palmon!C11</f>
        <v>Electricity</v>
      </c>
      <c r="C10" t="str">
        <f>Palmon!D11</f>
        <v>Defend</v>
      </c>
      <c r="D10">
        <f>Palmon!E11</f>
        <v>250</v>
      </c>
      <c r="E10">
        <f>Palmon!F11</f>
        <v>1</v>
      </c>
      <c r="F10">
        <f>Palmon!G11</f>
        <v>3</v>
      </c>
      <c r="G10">
        <f>Palmon!H11</f>
        <v>3</v>
      </c>
      <c r="H10">
        <f>Palmon!I11</f>
        <v>0</v>
      </c>
      <c r="I10">
        <f>Palmon!J11</f>
        <v>14</v>
      </c>
      <c r="J10">
        <f>Palmon!K11</f>
        <v>5</v>
      </c>
      <c r="K10">
        <f>Palmon!L11</f>
        <v>10</v>
      </c>
      <c r="L10" t="str">
        <f>Palmon!M11</f>
        <v/>
      </c>
      <c r="M10" t="str">
        <f>Palmon!N11</f>
        <v/>
      </c>
      <c r="N10">
        <f>Palmon!O11</f>
        <v>0</v>
      </c>
      <c r="O10">
        <f>Palmon!P11</f>
        <v>1</v>
      </c>
      <c r="P10">
        <f>Palmon!Q11</f>
        <v>1</v>
      </c>
      <c r="Q10">
        <f>Palmon!R11</f>
        <v>1</v>
      </c>
      <c r="R10">
        <f>Palmon!S11</f>
        <v>0</v>
      </c>
      <c r="S10">
        <f>Palmon!T11</f>
        <v>0</v>
      </c>
      <c r="T10">
        <f>Palmon!U11</f>
        <v>0.17948717948717949</v>
      </c>
      <c r="U10">
        <f>Palmon!V11</f>
        <v>800</v>
      </c>
      <c r="V10">
        <f>Palmon!W11</f>
        <v>0</v>
      </c>
      <c r="W10">
        <f>Palmon!X11</f>
        <v>3503540000</v>
      </c>
      <c r="X10">
        <f>Palmon!Y11</f>
        <v>1</v>
      </c>
      <c r="Y10">
        <f>Palmon!Z11</f>
        <v>0</v>
      </c>
      <c r="Z10">
        <f>Palmon!AA11</f>
        <v>3250</v>
      </c>
      <c r="AA10">
        <f>Palmon!AB11</f>
        <v>18</v>
      </c>
      <c r="AB10">
        <f>Palmon!AC11</f>
        <v>3</v>
      </c>
      <c r="AC10">
        <f>Palmon!AD11</f>
        <v>0</v>
      </c>
      <c r="AD10" t="str">
        <f>IF(Palmon!AE11="","",Palmon!AE11)</f>
        <v>https://encrypted-tbn0.gstatic.com/images?q=tbn:ANd9GcSf59xsunrPEuFvdtBi-IRVMcrdBfW_vNshLA&amp;s</v>
      </c>
      <c r="AE10" t="str">
        <f>IF(Palmon!AF11="","",Palmon!AF11)</f>
        <v>https://encrypted-tbn0.gstatic.com/images?q=tbn:ANd9GcRUDpuK5BvjXDFqgMZvlxYadsaFFQDKOQrNCAHymiAy_w&amp;s</v>
      </c>
      <c r="AF10" t="str">
        <f>Palmon!AG11</f>
        <v xml:space="preserve"> </v>
      </c>
      <c r="AG10">
        <f>Palmon!AH11</f>
        <v>0</v>
      </c>
      <c r="AH10" t="str">
        <f>IF(Palmon!AI11=0,"Non",Palmon!AI11)</f>
        <v>Wattweiler</v>
      </c>
      <c r="AI10" t="str">
        <f>IF(Palmon!AJ11=0,"Non",Palmon!AJ11)</f>
        <v>Non</v>
      </c>
      <c r="AJ10">
        <f>Palmon!AK11</f>
        <v>0</v>
      </c>
    </row>
    <row r="11" spans="1:36" x14ac:dyDescent="0.25">
      <c r="A11" t="str">
        <f>Palmon!B12</f>
        <v>Abuzzinian</v>
      </c>
      <c r="B11" t="str">
        <f>Palmon!C12</f>
        <v>Electricity</v>
      </c>
      <c r="C11" t="str">
        <f>Palmon!D12</f>
        <v>Defend</v>
      </c>
      <c r="D11">
        <f>Palmon!E12</f>
        <v>250</v>
      </c>
      <c r="E11">
        <f>Palmon!F12</f>
        <v>1</v>
      </c>
      <c r="F11">
        <f>Palmon!G12</f>
        <v>4</v>
      </c>
      <c r="G11">
        <f>Palmon!H12</f>
        <v>4.0999999999999996</v>
      </c>
      <c r="H11">
        <f>Palmon!I12</f>
        <v>14</v>
      </c>
      <c r="I11">
        <f>Palmon!J12</f>
        <v>1</v>
      </c>
      <c r="J11">
        <f>Palmon!K12</f>
        <v>1</v>
      </c>
      <c r="K11">
        <f>Palmon!L12</f>
        <v>1</v>
      </c>
      <c r="L11" t="str">
        <f>Palmon!M12</f>
        <v>Max</v>
      </c>
      <c r="M11" t="str">
        <f>Palmon!N12</f>
        <v/>
      </c>
      <c r="N11">
        <f>Palmon!O12</f>
        <v>0</v>
      </c>
      <c r="O11">
        <f>Palmon!P12</f>
        <v>1</v>
      </c>
      <c r="P11">
        <f>Palmon!Q12</f>
        <v>1</v>
      </c>
      <c r="Q11">
        <f>Palmon!R12</f>
        <v>1</v>
      </c>
      <c r="R11">
        <f>Palmon!S12</f>
        <v>1</v>
      </c>
      <c r="S11">
        <f>Palmon!T12</f>
        <v>0.19999999999999929</v>
      </c>
      <c r="T11">
        <f>Palmon!U12</f>
        <v>0.58974358974358942</v>
      </c>
      <c r="U11">
        <f>Palmon!V12</f>
        <v>386.00000000000034</v>
      </c>
      <c r="V11">
        <f>Palmon!W12</f>
        <v>0</v>
      </c>
      <c r="W11">
        <f>Palmon!X12</f>
        <v>3503540000</v>
      </c>
      <c r="X11">
        <f>Palmon!Y12</f>
        <v>1</v>
      </c>
      <c r="Y11">
        <f>Palmon!Z12</f>
        <v>0</v>
      </c>
      <c r="Z11">
        <f>Palmon!AA12</f>
        <v>4350</v>
      </c>
      <c r="AA11">
        <f>Palmon!AB12</f>
        <v>11</v>
      </c>
      <c r="AB11">
        <f>Palmon!AC12</f>
        <v>2</v>
      </c>
      <c r="AC11">
        <f>Palmon!AD12</f>
        <v>0</v>
      </c>
      <c r="AD11" t="str">
        <f>IF(Palmon!AE12="","",Palmon!AE12)</f>
        <v>https://encrypted-tbn0.gstatic.com/images?q=tbn:ANd9GcT-r6BZKxjf-kMlCmzHjhnUHjvmCaOn5DxiYw&amp;s</v>
      </c>
      <c r="AE11" t="str">
        <f>IF(Palmon!AF12="","",Palmon!AF12)</f>
        <v>https://encrypted-tbn0.gstatic.com/images?q=tbn:ANd9GcR23XO-FCNYoHOIhLnxge8AzFmdP8mD1D-mzQ&amp;s</v>
      </c>
      <c r="AF11" t="str">
        <f>Palmon!AG12</f>
        <v xml:space="preserve"> </v>
      </c>
      <c r="AG11">
        <f>Palmon!AH12</f>
        <v>0</v>
      </c>
      <c r="AH11" t="str">
        <f>IF(Palmon!AI12=0,"Non",Palmon!AI12)</f>
        <v>Servolt</v>
      </c>
      <c r="AI11" t="str">
        <f>IF(Palmon!AJ12=0,"Non",Palmon!AJ12)</f>
        <v>Non</v>
      </c>
      <c r="AJ11">
        <f>Palmon!AK12</f>
        <v>0</v>
      </c>
    </row>
    <row r="12" spans="1:36" x14ac:dyDescent="0.25">
      <c r="A12" t="str">
        <f>Palmon!B13</f>
        <v>Escarffier</v>
      </c>
      <c r="B12" t="str">
        <f>Palmon!C13</f>
        <v>Fire</v>
      </c>
      <c r="C12" t="str">
        <f>Palmon!D13</f>
        <v>Defend</v>
      </c>
      <c r="D12">
        <f>Palmon!E13</f>
        <v>240</v>
      </c>
      <c r="E12">
        <f>Palmon!F13</f>
        <v>1</v>
      </c>
      <c r="F12">
        <f>Palmon!G13</f>
        <v>2</v>
      </c>
      <c r="G12">
        <f>Palmon!H13</f>
        <v>2.4</v>
      </c>
      <c r="H12">
        <f>Palmon!I13</f>
        <v>8</v>
      </c>
      <c r="I12">
        <f>Palmon!J13</f>
        <v>5</v>
      </c>
      <c r="J12">
        <f>Palmon!K13</f>
        <v>5</v>
      </c>
      <c r="K12">
        <f>Palmon!L13</f>
        <v>5</v>
      </c>
      <c r="L12" t="str">
        <f>Palmon!M13</f>
        <v/>
      </c>
      <c r="M12" t="str">
        <f>Palmon!N13</f>
        <v/>
      </c>
      <c r="N12">
        <f>Palmon!O13</f>
        <v>0</v>
      </c>
      <c r="O12">
        <f>Palmon!P13</f>
        <v>1</v>
      </c>
      <c r="P12">
        <f>Palmon!Q13</f>
        <v>1</v>
      </c>
      <c r="Q12">
        <f>Palmon!R13</f>
        <v>0.79999999999999982</v>
      </c>
      <c r="R12">
        <f>Palmon!S13</f>
        <v>0</v>
      </c>
      <c r="S12">
        <f>Palmon!T13</f>
        <v>0</v>
      </c>
      <c r="T12">
        <f>Palmon!U13</f>
        <v>0.15897435897435896</v>
      </c>
      <c r="U12">
        <f>Palmon!V13</f>
        <v>812</v>
      </c>
      <c r="V12">
        <f>Palmon!W13</f>
        <v>0</v>
      </c>
      <c r="W12">
        <f>Palmon!X13</f>
        <v>4211940000</v>
      </c>
      <c r="X12">
        <f>Palmon!Y13</f>
        <v>1</v>
      </c>
      <c r="Y12">
        <f>Palmon!Z13</f>
        <v>0</v>
      </c>
      <c r="Z12">
        <f>Palmon!AA13</f>
        <v>2640</v>
      </c>
      <c r="AA12">
        <f>Palmon!AB13</f>
        <v>22</v>
      </c>
      <c r="AB12" t="str">
        <f>Palmon!AC13</f>
        <v/>
      </c>
      <c r="AC12">
        <f>Palmon!AD13</f>
        <v>0</v>
      </c>
      <c r="AD12" t="str">
        <f>IF(Palmon!AE13="","",Palmon!AE13)</f>
        <v>https://encrypted-tbn0.gstatic.com/images?q=tbn:ANd9GcST2CrUIPAlFNBLPgZn0Tu93KelabHVVAbNLQ&amp;s</v>
      </c>
      <c r="AE12" t="str">
        <f>IF(Palmon!AF13="","",Palmon!AF13)</f>
        <v xml:space="preserve"> </v>
      </c>
      <c r="AF12" t="str">
        <f>Palmon!AG13</f>
        <v xml:space="preserve"> </v>
      </c>
      <c r="AG12">
        <f>Palmon!AH13</f>
        <v>0</v>
      </c>
      <c r="AH12" t="str">
        <f>IF(Palmon!AI13=0,"Non",Palmon!AI13)</f>
        <v>Essaucier</v>
      </c>
      <c r="AI12" t="str">
        <f>IF(Palmon!AJ13=0,"Non",Palmon!AJ13)</f>
        <v>Non</v>
      </c>
      <c r="AJ12">
        <f>Palmon!AK13</f>
        <v>0</v>
      </c>
    </row>
    <row r="13" spans="1:36" x14ac:dyDescent="0.25">
      <c r="A13" t="str">
        <f>Palmon!B14</f>
        <v>Lucidina</v>
      </c>
      <c r="B13" t="str">
        <f>Palmon!C14</f>
        <v>Water</v>
      </c>
      <c r="C13" t="str">
        <f>Palmon!D14</f>
        <v>Attack</v>
      </c>
      <c r="D13">
        <f>Palmon!E14</f>
        <v>270</v>
      </c>
      <c r="E13">
        <f>Palmon!F14</f>
        <v>1</v>
      </c>
      <c r="F13">
        <f>Palmon!G14</f>
        <v>4</v>
      </c>
      <c r="G13">
        <f>Palmon!H14</f>
        <v>4</v>
      </c>
      <c r="H13">
        <f>Palmon!I14</f>
        <v>0</v>
      </c>
      <c r="I13">
        <f>Palmon!J14</f>
        <v>5</v>
      </c>
      <c r="J13">
        <f>Palmon!K14</f>
        <v>5</v>
      </c>
      <c r="K13">
        <f>Palmon!L14</f>
        <v>15</v>
      </c>
      <c r="L13" t="str">
        <f>Palmon!M14</f>
        <v>Max</v>
      </c>
      <c r="M13" t="str">
        <f>Palmon!N14</f>
        <v/>
      </c>
      <c r="N13">
        <f>Palmon!O14</f>
        <v>0</v>
      </c>
      <c r="O13">
        <f>Palmon!P14</f>
        <v>1</v>
      </c>
      <c r="P13">
        <f>Palmon!Q14</f>
        <v>1</v>
      </c>
      <c r="Q13">
        <f>Palmon!R14</f>
        <v>1</v>
      </c>
      <c r="R13">
        <f>Palmon!S14</f>
        <v>1</v>
      </c>
      <c r="S13">
        <f>Palmon!T14</f>
        <v>0</v>
      </c>
      <c r="T13">
        <f>Palmon!U14</f>
        <v>0.48717948717948717</v>
      </c>
      <c r="U13">
        <f>Palmon!V14</f>
        <v>500</v>
      </c>
      <c r="V13">
        <f>Palmon!W14</f>
        <v>0</v>
      </c>
      <c r="W13">
        <f>Palmon!X14</f>
        <v>1515640000</v>
      </c>
      <c r="X13">
        <f>Palmon!Y14</f>
        <v>1</v>
      </c>
      <c r="Y13">
        <f>Palmon!Z14</f>
        <v>0</v>
      </c>
      <c r="Z13">
        <f>Palmon!AA14</f>
        <v>4270</v>
      </c>
      <c r="AA13">
        <f>Palmon!AB14</f>
        <v>14</v>
      </c>
      <c r="AB13">
        <f>Palmon!AC14</f>
        <v>2</v>
      </c>
      <c r="AC13">
        <f>Palmon!AD14</f>
        <v>0</v>
      </c>
      <c r="AD13" t="str">
        <f>IF(Palmon!AE14="","",Palmon!AE14)</f>
        <v>https://encrypted-tbn0.gstatic.com/images?q=tbn:ANd9GcR9A_xtftnwTH1zCnLIOcgmJKNZtFnB-e8QOw&amp;s</v>
      </c>
      <c r="AE13" t="str">
        <f>IF(Palmon!AF14="","",Palmon!AF14)</f>
        <v xml:space="preserve"> </v>
      </c>
      <c r="AF13" t="str">
        <f>Palmon!AG14</f>
        <v xml:space="preserve"> </v>
      </c>
      <c r="AG13">
        <f>Palmon!AH14</f>
        <v>0</v>
      </c>
      <c r="AH13" t="str">
        <f>IF(Palmon!AI14=0,"Non",Palmon!AI14)</f>
        <v>Oneirina</v>
      </c>
      <c r="AI13" t="str">
        <f>IF(Palmon!AJ14=0,"Non",Palmon!AJ14)</f>
        <v>Non</v>
      </c>
      <c r="AJ13">
        <f>Palmon!AK14</f>
        <v>0</v>
      </c>
    </row>
    <row r="14" spans="1:36" x14ac:dyDescent="0.25">
      <c r="A14" t="str">
        <f>Palmon!B15</f>
        <v>Fleurizard</v>
      </c>
      <c r="B14" t="str">
        <f>Palmon!C15</f>
        <v>Wood</v>
      </c>
      <c r="C14" t="str">
        <f>Palmon!D15</f>
        <v>Attack</v>
      </c>
      <c r="D14">
        <f>Palmon!E15</f>
        <v>270</v>
      </c>
      <c r="E14">
        <f>Palmon!F15</f>
        <v>1</v>
      </c>
      <c r="F14">
        <f>Palmon!G15</f>
        <v>5</v>
      </c>
      <c r="G14">
        <f>Palmon!H15</f>
        <v>5</v>
      </c>
      <c r="H14">
        <f>Palmon!I15</f>
        <v>0</v>
      </c>
      <c r="I14">
        <f>Palmon!J15</f>
        <v>1</v>
      </c>
      <c r="J14">
        <f>Palmon!K15</f>
        <v>1</v>
      </c>
      <c r="K14">
        <f>Palmon!L15</f>
        <v>1</v>
      </c>
      <c r="L14" t="str">
        <f>Palmon!M15</f>
        <v>Max</v>
      </c>
      <c r="M14">
        <f>Palmon!N15</f>
        <v>10</v>
      </c>
      <c r="N14">
        <f>Palmon!O15</f>
        <v>0</v>
      </c>
      <c r="O14">
        <f>Palmon!P15</f>
        <v>1</v>
      </c>
      <c r="P14">
        <f>Palmon!Q15</f>
        <v>1</v>
      </c>
      <c r="Q14">
        <f>Palmon!R15</f>
        <v>1</v>
      </c>
      <c r="R14">
        <f>Palmon!S15</f>
        <v>1</v>
      </c>
      <c r="S14">
        <f>Palmon!T15</f>
        <v>1</v>
      </c>
      <c r="T14">
        <f>Palmon!U15</f>
        <v>1</v>
      </c>
      <c r="U14">
        <f>Palmon!V15</f>
        <v>0</v>
      </c>
      <c r="V14">
        <f>Palmon!W15</f>
        <v>0</v>
      </c>
      <c r="W14">
        <f>Palmon!X15</f>
        <v>1515640000</v>
      </c>
      <c r="X14">
        <f>Palmon!Y15</f>
        <v>1</v>
      </c>
      <c r="Y14">
        <f>Palmon!Z15</f>
        <v>0</v>
      </c>
      <c r="Z14">
        <f>Palmon!AA15</f>
        <v>5270</v>
      </c>
      <c r="AA14">
        <f>Palmon!AB15</f>
        <v>5</v>
      </c>
      <c r="AB14">
        <f>Palmon!AC15</f>
        <v>1</v>
      </c>
      <c r="AC14">
        <f>Palmon!AD15</f>
        <v>0</v>
      </c>
      <c r="AD14" t="str">
        <f>IF(Palmon!AE15="","",Palmon!AE15)</f>
        <v>https://encrypted-tbn0.gstatic.com/images?q=tbn:ANd9GcQCf63iS9oq-SMn3DO74UTS2j_zSrzNVTRMOQ&amp;s</v>
      </c>
      <c r="AE14" t="str">
        <f>IF(Palmon!AF15="","",Palmon!AF15)</f>
        <v xml:space="preserve"> </v>
      </c>
      <c r="AF14" t="str">
        <f>Palmon!AG15</f>
        <v xml:space="preserve"> </v>
      </c>
      <c r="AG14">
        <f>Palmon!AH15</f>
        <v>0</v>
      </c>
      <c r="AH14" t="str">
        <f>IF(Palmon!AI15=0,"Non",Palmon!AI15)</f>
        <v>Non</v>
      </c>
      <c r="AI14" t="str">
        <f>IF(Palmon!AJ15=0,"Non",Palmon!AJ15)</f>
        <v>Non</v>
      </c>
      <c r="AJ14">
        <f>Palmon!AK15</f>
        <v>0</v>
      </c>
    </row>
    <row r="15" spans="1:36" x14ac:dyDescent="0.25">
      <c r="A15" t="str">
        <f>Palmon!B16</f>
        <v>Statchew</v>
      </c>
      <c r="B15" t="str">
        <f>Palmon!C16</f>
        <v>Wood</v>
      </c>
      <c r="C15" t="str">
        <f>Palmon!D16</f>
        <v>Defend</v>
      </c>
      <c r="D15">
        <f>Palmon!E16</f>
        <v>250</v>
      </c>
      <c r="E15">
        <f>Palmon!F16</f>
        <v>1</v>
      </c>
      <c r="F15">
        <f>Palmon!G16</f>
        <v>3</v>
      </c>
      <c r="G15">
        <f>Palmon!H16</f>
        <v>3</v>
      </c>
      <c r="H15">
        <f>Palmon!I16</f>
        <v>10</v>
      </c>
      <c r="I15">
        <f>Palmon!J16</f>
        <v>15</v>
      </c>
      <c r="J15">
        <f>Palmon!K16</f>
        <v>5</v>
      </c>
      <c r="K15">
        <f>Palmon!L16</f>
        <v>9</v>
      </c>
      <c r="L15" t="str">
        <f>Palmon!M16</f>
        <v/>
      </c>
      <c r="M15" t="str">
        <f>Palmon!N16</f>
        <v/>
      </c>
      <c r="N15">
        <f>Palmon!O16</f>
        <v>0</v>
      </c>
      <c r="O15">
        <f>Palmon!P16</f>
        <v>1</v>
      </c>
      <c r="P15">
        <f>Palmon!Q16</f>
        <v>1</v>
      </c>
      <c r="Q15">
        <f>Palmon!R16</f>
        <v>1</v>
      </c>
      <c r="R15">
        <f>Palmon!S16</f>
        <v>0</v>
      </c>
      <c r="S15">
        <f>Palmon!T16</f>
        <v>0</v>
      </c>
      <c r="T15">
        <f>Palmon!U16</f>
        <v>0.17948717948717949</v>
      </c>
      <c r="U15">
        <f>Palmon!V16</f>
        <v>790</v>
      </c>
      <c r="V15">
        <f>Palmon!W16</f>
        <v>0</v>
      </c>
      <c r="W15">
        <f>Palmon!X16</f>
        <v>3503540000</v>
      </c>
      <c r="X15">
        <f>Palmon!Y16</f>
        <v>1</v>
      </c>
      <c r="Y15">
        <f>Palmon!Z16</f>
        <v>0</v>
      </c>
      <c r="Z15">
        <f>Palmon!AA16</f>
        <v>3250</v>
      </c>
      <c r="AA15">
        <f>Palmon!AB16</f>
        <v>19</v>
      </c>
      <c r="AB15">
        <f>Palmon!AC16</f>
        <v>3</v>
      </c>
      <c r="AC15">
        <f>Palmon!AD16</f>
        <v>0</v>
      </c>
      <c r="AD15" t="str">
        <f>IF(Palmon!AE16="","",Palmon!AE16)</f>
        <v>https://encrypted-tbn0.gstatic.com/images?q=tbn:ANd9GcSC1rp-0lIuUyVvSi8kN_vJnr_Ln4mF4lh4zg&amp;s</v>
      </c>
      <c r="AE15" t="str">
        <f>IF(Palmon!AF16="","",Palmon!AF16)</f>
        <v xml:space="preserve"> </v>
      </c>
      <c r="AF15" t="str">
        <f>Palmon!AG16</f>
        <v xml:space="preserve"> </v>
      </c>
      <c r="AG15">
        <f>Palmon!AH16</f>
        <v>0</v>
      </c>
      <c r="AH15" t="str">
        <f>IF(Palmon!AI16=0,"Non",Palmon!AI16)</f>
        <v>Anubeast</v>
      </c>
      <c r="AI15" t="str">
        <f>IF(Palmon!AJ16=0,"Non",Palmon!AJ16)</f>
        <v>Non</v>
      </c>
      <c r="AJ15">
        <f>Palmon!AK16</f>
        <v>0</v>
      </c>
    </row>
    <row r="16" spans="1:36" x14ac:dyDescent="0.25">
      <c r="A16" t="str">
        <f>Palmon!B17</f>
        <v>Battereina</v>
      </c>
      <c r="B16" t="str">
        <f>Palmon!C17</f>
        <v>Electricity</v>
      </c>
      <c r="C16" t="str">
        <f>Palmon!D17</f>
        <v>Attack</v>
      </c>
      <c r="D16">
        <f>Palmon!E17</f>
        <v>250</v>
      </c>
      <c r="E16">
        <f>Palmon!F17</f>
        <v>1</v>
      </c>
      <c r="F16">
        <f>Palmon!G17</f>
        <v>4</v>
      </c>
      <c r="G16">
        <f>Palmon!H17</f>
        <v>4</v>
      </c>
      <c r="H16">
        <f>Palmon!I17</f>
        <v>0</v>
      </c>
      <c r="I16">
        <f>Palmon!J17</f>
        <v>1</v>
      </c>
      <c r="J16">
        <f>Palmon!K17</f>
        <v>1</v>
      </c>
      <c r="K16">
        <f>Palmon!L17</f>
        <v>1</v>
      </c>
      <c r="L16" t="str">
        <f>Palmon!M17</f>
        <v>Max</v>
      </c>
      <c r="M16" t="str">
        <f>Palmon!N17</f>
        <v/>
      </c>
      <c r="N16">
        <f>Palmon!O17</f>
        <v>0</v>
      </c>
      <c r="O16">
        <f>Palmon!P17</f>
        <v>1</v>
      </c>
      <c r="P16">
        <f>Palmon!Q17</f>
        <v>1</v>
      </c>
      <c r="Q16">
        <f>Palmon!R17</f>
        <v>1</v>
      </c>
      <c r="R16">
        <f>Palmon!S17</f>
        <v>1</v>
      </c>
      <c r="S16">
        <f>Palmon!T17</f>
        <v>0</v>
      </c>
      <c r="T16">
        <f>Palmon!U17</f>
        <v>0.48717948717948717</v>
      </c>
      <c r="U16">
        <f>Palmon!V17</f>
        <v>500</v>
      </c>
      <c r="V16">
        <f>Palmon!W17</f>
        <v>0</v>
      </c>
      <c r="W16">
        <f>Palmon!X17</f>
        <v>3503540000</v>
      </c>
      <c r="X16">
        <f>Palmon!Y17</f>
        <v>1</v>
      </c>
      <c r="Y16">
        <f>Palmon!Z17</f>
        <v>0</v>
      </c>
      <c r="Z16">
        <f>Palmon!AA17</f>
        <v>4250</v>
      </c>
      <c r="AA16">
        <f>Palmon!AB17</f>
        <v>15</v>
      </c>
      <c r="AB16">
        <f>Palmon!AC17</f>
        <v>3</v>
      </c>
      <c r="AC16">
        <f>Palmon!AD17</f>
        <v>0</v>
      </c>
      <c r="AD16" t="str">
        <f>IF(Palmon!AE17="","",Palmon!AE17)</f>
        <v>https://encrypted-tbn0.gstatic.com/images?q=tbn:ANd9GcQaumzt62POzCPWE5kNVnUA5j6pKVetbogSOJqvW2HU&amp;s</v>
      </c>
      <c r="AE16" t="str">
        <f>IF(Palmon!AF17="","",Palmon!AF17)</f>
        <v>https://encrypted-tbn0.gstatic.com/images?q=tbn:ANd9GcTun-SMpIMKagR2SMRlAysEcjxhO7sD6Nq3IQ&amp;s</v>
      </c>
      <c r="AF16" t="str">
        <f>Palmon!AG17</f>
        <v xml:space="preserve"> </v>
      </c>
      <c r="AG16">
        <f>Palmon!AH17</f>
        <v>0</v>
      </c>
      <c r="AH16" t="str">
        <f>IF(Palmon!AI17=0,"Non",Palmon!AI17)</f>
        <v>Ampereina</v>
      </c>
      <c r="AI16" t="str">
        <f>IF(Palmon!AJ17=0,"Non",Palmon!AJ17)</f>
        <v>Non</v>
      </c>
      <c r="AJ16">
        <f>Palmon!AK17</f>
        <v>0</v>
      </c>
    </row>
    <row r="17" spans="1:36" x14ac:dyDescent="0.25">
      <c r="A17" t="str">
        <f>Palmon!B18</f>
        <v>Fulgairy</v>
      </c>
      <c r="B17" t="str">
        <f>Palmon!C18</f>
        <v>Electricity</v>
      </c>
      <c r="C17" t="str">
        <f>Palmon!D18</f>
        <v>Defend</v>
      </c>
      <c r="D17">
        <f>Palmon!E18</f>
        <v>230</v>
      </c>
      <c r="E17">
        <f>Palmon!F18</f>
        <v>1</v>
      </c>
      <c r="F17">
        <f>Palmon!G18</f>
        <v>3</v>
      </c>
      <c r="G17">
        <f>Palmon!H18</f>
        <v>3.1</v>
      </c>
      <c r="H17">
        <f>Palmon!I18</f>
        <v>0</v>
      </c>
      <c r="I17">
        <f>Palmon!J18</f>
        <v>5</v>
      </c>
      <c r="J17">
        <f>Palmon!K18</f>
        <v>5</v>
      </c>
      <c r="K17">
        <f>Palmon!L18</f>
        <v>10</v>
      </c>
      <c r="L17" t="str">
        <f>Palmon!M18</f>
        <v/>
      </c>
      <c r="M17" t="str">
        <f>Palmon!N18</f>
        <v/>
      </c>
      <c r="N17">
        <f>Palmon!O18</f>
        <v>0</v>
      </c>
      <c r="O17">
        <f>Palmon!P18</f>
        <v>1</v>
      </c>
      <c r="P17">
        <f>Palmon!Q18</f>
        <v>1</v>
      </c>
      <c r="Q17">
        <f>Palmon!R18</f>
        <v>1</v>
      </c>
      <c r="R17">
        <f>Palmon!S18</f>
        <v>0.20000000000000018</v>
      </c>
      <c r="S17">
        <f>Palmon!T18</f>
        <v>0</v>
      </c>
      <c r="T17">
        <f>Palmon!U18</f>
        <v>0.24102564102564109</v>
      </c>
      <c r="U17">
        <f>Palmon!V18</f>
        <v>740</v>
      </c>
      <c r="V17">
        <f>Palmon!W18</f>
        <v>0</v>
      </c>
      <c r="W17">
        <f>Palmon!X18</f>
        <v>4771140000</v>
      </c>
      <c r="X17">
        <f>Palmon!Y18</f>
        <v>1</v>
      </c>
      <c r="Y17">
        <f>Palmon!Z18</f>
        <v>0</v>
      </c>
      <c r="Z17">
        <f>Palmon!AA18</f>
        <v>3330</v>
      </c>
      <c r="AA17">
        <f>Palmon!AB18</f>
        <v>17</v>
      </c>
      <c r="AB17">
        <f>Palmon!AC18</f>
        <v>3</v>
      </c>
      <c r="AC17">
        <f>Palmon!AD18</f>
        <v>0</v>
      </c>
      <c r="AD17" t="str">
        <f>IF(Palmon!AE18="","",Palmon!AE18)</f>
        <v>https://encrypted-tbn0.gstatic.com/images?q=tbn:ANd9GcRvhKm8Syu_29_yraif6I_ybijQhVUhvDmMNg&amp;s</v>
      </c>
      <c r="AE17" t="str">
        <f>IF(Palmon!AF18="","",Palmon!AF18)</f>
        <v>https://encrypted-tbn0.gstatic.com/images?q=tbn:ANd9GcSNLJe_mmX76tcOcm93Zzrq-x4btMmg4l1csw&amp;s</v>
      </c>
      <c r="AF17" t="str">
        <f>Palmon!AG18</f>
        <v xml:space="preserve"> </v>
      </c>
      <c r="AG17">
        <f>Palmon!AH18</f>
        <v>0</v>
      </c>
      <c r="AH17" t="str">
        <f>IF(Palmon!AI18=0,"Non",Palmon!AI18)</f>
        <v>Keraunosaur</v>
      </c>
      <c r="AI17" t="str">
        <f>IF(Palmon!AJ18=0,"Non",Palmon!AJ18)</f>
        <v>Non</v>
      </c>
      <c r="AJ17">
        <f>Palmon!AK18</f>
        <v>0</v>
      </c>
    </row>
    <row r="18" spans="1:36" x14ac:dyDescent="0.25">
      <c r="A18" t="str">
        <f>Palmon!B19</f>
        <v>Blazeal</v>
      </c>
      <c r="B18" t="str">
        <f>Palmon!C19</f>
        <v>Fire</v>
      </c>
      <c r="C18" t="str">
        <f>Palmon!D19</f>
        <v>Attack</v>
      </c>
      <c r="D18">
        <f>Palmon!E19</f>
        <v>250</v>
      </c>
      <c r="E18">
        <f>Palmon!F19</f>
        <v>1</v>
      </c>
      <c r="F18">
        <f>Palmon!G19</f>
        <v>3</v>
      </c>
      <c r="G18">
        <f>Palmon!H19</f>
        <v>3</v>
      </c>
      <c r="H18">
        <f>Palmon!I19</f>
        <v>10</v>
      </c>
      <c r="I18">
        <f>Palmon!J19</f>
        <v>15</v>
      </c>
      <c r="J18">
        <f>Palmon!K19</f>
        <v>10</v>
      </c>
      <c r="K18">
        <f>Palmon!L19</f>
        <v>15</v>
      </c>
      <c r="L18" t="str">
        <f>Palmon!M19</f>
        <v/>
      </c>
      <c r="M18" t="str">
        <f>Palmon!N19</f>
        <v/>
      </c>
      <c r="N18">
        <f>Palmon!O19</f>
        <v>0</v>
      </c>
      <c r="O18">
        <f>Palmon!P19</f>
        <v>1</v>
      </c>
      <c r="P18">
        <f>Palmon!Q19</f>
        <v>1</v>
      </c>
      <c r="Q18">
        <f>Palmon!R19</f>
        <v>1</v>
      </c>
      <c r="R18">
        <f>Palmon!S19</f>
        <v>0</v>
      </c>
      <c r="S18">
        <f>Palmon!T19</f>
        <v>0</v>
      </c>
      <c r="T18">
        <f>Palmon!U19</f>
        <v>0.17948717948717949</v>
      </c>
      <c r="U18">
        <f>Palmon!V19</f>
        <v>790</v>
      </c>
      <c r="V18">
        <f>Palmon!W19</f>
        <v>0</v>
      </c>
      <c r="W18">
        <f>Palmon!X19</f>
        <v>3503540000</v>
      </c>
      <c r="X18">
        <f>Palmon!Y19</f>
        <v>1</v>
      </c>
      <c r="Y18">
        <f>Palmon!Z19</f>
        <v>0</v>
      </c>
      <c r="Z18">
        <f>Palmon!AA19</f>
        <v>3250</v>
      </c>
      <c r="AA18">
        <f>Palmon!AB19</f>
        <v>20</v>
      </c>
      <c r="AB18">
        <f>Palmon!AC19</f>
        <v>3</v>
      </c>
      <c r="AC18">
        <f>Palmon!AD19</f>
        <v>0</v>
      </c>
      <c r="AD18" t="str">
        <f>IF(Palmon!AE19="","",Palmon!AE19)</f>
        <v>https://encrypted-tbn0.gstatic.com/images?q=tbn:ANd9GcRsDMtJC3uCFkue3lLpIZqf7OpQgR7XoKOS8g&amp;s</v>
      </c>
      <c r="AE18" t="str">
        <f>IF(Palmon!AF19="","",Palmon!AF19)</f>
        <v>https://encrypted-tbn0.gstatic.com/images?q=tbn:ANd9GcTc2Arfa7L5NJadx_WdnWjGTYRLP6bgvNMsDUbraRNI&amp;s</v>
      </c>
      <c r="AF18" t="str">
        <f>Palmon!AG19</f>
        <v xml:space="preserve"> </v>
      </c>
      <c r="AG18">
        <f>Palmon!AH19</f>
        <v>0</v>
      </c>
      <c r="AH18" t="str">
        <f>IF(Palmon!AI19=0,"Non",Palmon!AI19)</f>
        <v>Wildfuror</v>
      </c>
      <c r="AI18" t="str">
        <f>IF(Palmon!AJ19=0,"Non",Palmon!AJ19)</f>
        <v>Non</v>
      </c>
      <c r="AJ18">
        <f>Palmon!AK19</f>
        <v>0</v>
      </c>
    </row>
    <row r="19" spans="1:36" x14ac:dyDescent="0.25">
      <c r="A19" t="str">
        <f>Palmon!B20</f>
        <v>Pipistrigoi</v>
      </c>
      <c r="B19" t="str">
        <f>Palmon!C20</f>
        <v>Fire</v>
      </c>
      <c r="C19" t="str">
        <f>Palmon!D20</f>
        <v>Attack</v>
      </c>
      <c r="D19">
        <f>Palmon!E20</f>
        <v>270</v>
      </c>
      <c r="E19">
        <f>Palmon!F20</f>
        <v>1</v>
      </c>
      <c r="F19">
        <f>Palmon!G20</f>
        <v>4</v>
      </c>
      <c r="G19">
        <f>Palmon!H20</f>
        <v>4.0999999999999996</v>
      </c>
      <c r="H19">
        <f>Palmon!I20</f>
        <v>13</v>
      </c>
      <c r="I19">
        <f>Palmon!J20</f>
        <v>15</v>
      </c>
      <c r="J19">
        <f>Palmon!K20</f>
        <v>15</v>
      </c>
      <c r="K19">
        <f>Palmon!L20</f>
        <v>15</v>
      </c>
      <c r="L19" t="str">
        <f>Palmon!M20</f>
        <v>Max</v>
      </c>
      <c r="M19" t="str">
        <f>Palmon!N20</f>
        <v/>
      </c>
      <c r="N19">
        <f>Palmon!O20</f>
        <v>0</v>
      </c>
      <c r="O19">
        <f>Palmon!P20</f>
        <v>1</v>
      </c>
      <c r="P19">
        <f>Palmon!Q20</f>
        <v>1</v>
      </c>
      <c r="Q19">
        <f>Palmon!R20</f>
        <v>1</v>
      </c>
      <c r="R19">
        <f>Palmon!S20</f>
        <v>1</v>
      </c>
      <c r="S19">
        <f>Palmon!T20</f>
        <v>0.19999999999999929</v>
      </c>
      <c r="T19">
        <f>Palmon!U20</f>
        <v>0.58974358974358942</v>
      </c>
      <c r="U19">
        <f>Palmon!V20</f>
        <v>387.00000000000034</v>
      </c>
      <c r="V19">
        <f>Palmon!W20</f>
        <v>0</v>
      </c>
      <c r="W19">
        <f>Palmon!X20</f>
        <v>1515640000</v>
      </c>
      <c r="X19">
        <f>Palmon!Y20</f>
        <v>1</v>
      </c>
      <c r="Y19">
        <f>Palmon!Z20</f>
        <v>0</v>
      </c>
      <c r="Z19">
        <f>Palmon!AA20</f>
        <v>4370</v>
      </c>
      <c r="AA19">
        <f>Palmon!AB20</f>
        <v>9</v>
      </c>
      <c r="AB19">
        <f>Palmon!AC20</f>
        <v>2</v>
      </c>
      <c r="AC19">
        <f>Palmon!AD20</f>
        <v>0</v>
      </c>
      <c r="AD19" t="str">
        <f>IF(Palmon!AE20="","",Palmon!AE20)</f>
        <v>https://encrypted-tbn0.gstatic.com/images?q=tbn:ANd9GcSSdARGNHB_mPJlsb0v4ULv5HaXw2movjzNTNSrkzsi&amp;s</v>
      </c>
      <c r="AE19" t="str">
        <f>IF(Palmon!AF20="","",Palmon!AF20)</f>
        <v xml:space="preserve"> </v>
      </c>
      <c r="AF19" t="str">
        <f>Palmon!AG20</f>
        <v xml:space="preserve"> </v>
      </c>
      <c r="AG19">
        <f>Palmon!AH20</f>
        <v>0</v>
      </c>
      <c r="AH19" t="str">
        <f>IF(Palmon!AI20=0,"Non",Palmon!AI20)</f>
        <v>Azurostrigoi</v>
      </c>
      <c r="AI19" t="str">
        <f>IF(Palmon!AJ20=0,"Non",Palmon!AJ20)</f>
        <v>Non</v>
      </c>
      <c r="AJ19">
        <f>Palmon!AK20</f>
        <v>0</v>
      </c>
    </row>
    <row r="20" spans="1:36" x14ac:dyDescent="0.25">
      <c r="A20" t="str">
        <f>Palmon!B21</f>
        <v>Fingenue</v>
      </c>
      <c r="B20" t="str">
        <f>Palmon!C21</f>
        <v>Water</v>
      </c>
      <c r="C20" t="str">
        <f>Palmon!D21</f>
        <v>Attack</v>
      </c>
      <c r="D20">
        <f>Palmon!E21</f>
        <v>200</v>
      </c>
      <c r="E20">
        <f>Palmon!F21</f>
        <v>1</v>
      </c>
      <c r="F20">
        <f>Palmon!G21</f>
        <v>2</v>
      </c>
      <c r="G20">
        <f>Palmon!H21</f>
        <v>2</v>
      </c>
      <c r="H20">
        <f>Palmon!I21</f>
        <v>13</v>
      </c>
      <c r="I20">
        <f>Palmon!J21</f>
        <v>5</v>
      </c>
      <c r="J20">
        <f>Palmon!K21</f>
        <v>1</v>
      </c>
      <c r="K20">
        <f>Palmon!L21</f>
        <v>5</v>
      </c>
      <c r="L20" t="str">
        <f>Palmon!M21</f>
        <v/>
      </c>
      <c r="M20" t="str">
        <f>Palmon!N21</f>
        <v/>
      </c>
      <c r="N20">
        <f>Palmon!O21</f>
        <v>0</v>
      </c>
      <c r="O20">
        <f>Palmon!P21</f>
        <v>1</v>
      </c>
      <c r="P20">
        <f>Palmon!Q21</f>
        <v>1</v>
      </c>
      <c r="Q20">
        <f>Palmon!R21</f>
        <v>0</v>
      </c>
      <c r="R20">
        <f>Palmon!S21</f>
        <v>0</v>
      </c>
      <c r="S20">
        <f>Palmon!T21</f>
        <v>0</v>
      </c>
      <c r="T20">
        <f>Palmon!U21</f>
        <v>7.6923076923076927E-2</v>
      </c>
      <c r="U20">
        <f>Palmon!V21</f>
        <v>887</v>
      </c>
      <c r="V20">
        <f>Palmon!W21</f>
        <v>0</v>
      </c>
      <c r="W20">
        <f>Palmon!X21</f>
        <v>5796240000</v>
      </c>
      <c r="X20">
        <f>Palmon!Y21</f>
        <v>1</v>
      </c>
      <c r="Y20">
        <f>Palmon!Z21</f>
        <v>0</v>
      </c>
      <c r="Z20">
        <f>Palmon!AA21</f>
        <v>2200</v>
      </c>
      <c r="AA20">
        <f>Palmon!AB21</f>
        <v>31</v>
      </c>
      <c r="AB20" t="str">
        <f>Palmon!AC21</f>
        <v/>
      </c>
      <c r="AC20">
        <f>Palmon!AD21</f>
        <v>0</v>
      </c>
      <c r="AD20" t="str">
        <f>IF(Palmon!AE21="","",Palmon!AE21)</f>
        <v>https://encrypted-tbn0.gstatic.com/images?q=tbn:ANd9GcQMvgcplGCQCmIPq5ypILKf8v4mBVwxsMgKdg&amp;s</v>
      </c>
      <c r="AE20" t="str">
        <f>IF(Palmon!AF21="","",Palmon!AF21)</f>
        <v>https://encrypted-tbn0.gstatic.com/images?q=tbn:ANd9GcQK8ZtDU3nBBFFGN2vhlNn2ACJuBBoGsnFHZC7On4Gb&amp;s</v>
      </c>
      <c r="AF20" t="str">
        <f>Palmon!AG21</f>
        <v xml:space="preserve"> </v>
      </c>
      <c r="AG20">
        <f>Palmon!AH21</f>
        <v>0</v>
      </c>
      <c r="AH20" t="str">
        <f>IF(Palmon!AI21=0,"Non",Palmon!AI21)</f>
        <v>Finnabelle</v>
      </c>
      <c r="AI20" t="str">
        <f>IF(Palmon!AJ21=0,"Non",Palmon!AJ21)</f>
        <v>Non</v>
      </c>
      <c r="AJ20">
        <f>Palmon!AK21</f>
        <v>0</v>
      </c>
    </row>
    <row r="21" spans="1:36" x14ac:dyDescent="0.25">
      <c r="A21" t="str">
        <f>Palmon!B22</f>
        <v>Dolphriend</v>
      </c>
      <c r="B21" t="str">
        <f>Palmon!C22</f>
        <v>Water</v>
      </c>
      <c r="C21" t="str">
        <f>Palmon!D22</f>
        <v>Defend</v>
      </c>
      <c r="D21">
        <f>Palmon!E22</f>
        <v>210</v>
      </c>
      <c r="E21">
        <f>Palmon!F22</f>
        <v>1</v>
      </c>
      <c r="F21">
        <f>Palmon!G22</f>
        <v>2</v>
      </c>
      <c r="G21">
        <f>Palmon!H22</f>
        <v>2.4</v>
      </c>
      <c r="H21">
        <f>Palmon!I22</f>
        <v>1</v>
      </c>
      <c r="I21">
        <f>Palmon!J22</f>
        <v>1</v>
      </c>
      <c r="J21">
        <f>Palmon!K22</f>
        <v>1</v>
      </c>
      <c r="K21">
        <f>Palmon!L22</f>
        <v>1</v>
      </c>
      <c r="L21" t="str">
        <f>Palmon!M22</f>
        <v/>
      </c>
      <c r="M21" t="str">
        <f>Palmon!N22</f>
        <v/>
      </c>
      <c r="N21">
        <f>Palmon!O22</f>
        <v>0</v>
      </c>
      <c r="O21">
        <f>Palmon!P22</f>
        <v>1</v>
      </c>
      <c r="P21">
        <f>Palmon!Q22</f>
        <v>1</v>
      </c>
      <c r="Q21">
        <f>Palmon!R22</f>
        <v>0.79999999999999982</v>
      </c>
      <c r="R21">
        <f>Palmon!S22</f>
        <v>0</v>
      </c>
      <c r="S21">
        <f>Palmon!T22</f>
        <v>0</v>
      </c>
      <c r="T21">
        <f>Palmon!U22</f>
        <v>0.15897435897435896</v>
      </c>
      <c r="U21">
        <f>Palmon!V22</f>
        <v>819</v>
      </c>
      <c r="V21">
        <f>Palmon!W22</f>
        <v>0</v>
      </c>
      <c r="W21">
        <f>Palmon!X22</f>
        <v>5541940000</v>
      </c>
      <c r="X21">
        <f>Palmon!Y22</f>
        <v>1</v>
      </c>
      <c r="Y21">
        <f>Palmon!Z22</f>
        <v>0</v>
      </c>
      <c r="Z21">
        <f>Palmon!AA22</f>
        <v>2610</v>
      </c>
      <c r="AA21">
        <f>Palmon!AB22</f>
        <v>24</v>
      </c>
      <c r="AB21" t="str">
        <f>Palmon!AC22</f>
        <v/>
      </c>
      <c r="AC21">
        <f>Palmon!AD22</f>
        <v>0</v>
      </c>
      <c r="AD21" t="str">
        <f>IF(Palmon!AE22="","",Palmon!AE22)</f>
        <v>https://encrypted-tbn0.gstatic.com/images?q=tbn:ANd9GcQ5ThIRML8-S9czd3JEMxpMlnMn9UAMwdeiBw&amp;s</v>
      </c>
      <c r="AE21" t="str">
        <f>IF(Palmon!AF22="","",Palmon!AF22)</f>
        <v>https://encrypted-tbn0.gstatic.com/images?q=tbn:ANd9GcTQp9fQrKVHd_zzyuSxM8QSOjlZsRbJ0lwxrg&amp;s</v>
      </c>
      <c r="AF21" t="str">
        <f>Palmon!AG22</f>
        <v xml:space="preserve"> </v>
      </c>
      <c r="AG21">
        <f>Palmon!AH22</f>
        <v>0</v>
      </c>
      <c r="AH21" t="str">
        <f>IF(Palmon!AI22=0,"Non",Palmon!AI22)</f>
        <v>Adolphonis</v>
      </c>
      <c r="AI21" t="str">
        <f>IF(Palmon!AJ22=0,"Non",Palmon!AJ22)</f>
        <v>Non</v>
      </c>
      <c r="AJ21">
        <f>Palmon!AK22</f>
        <v>0</v>
      </c>
    </row>
    <row r="22" spans="1:36" x14ac:dyDescent="0.25">
      <c r="A22" t="str">
        <f>Palmon!B23</f>
        <v>Ninjump</v>
      </c>
      <c r="B22" t="str">
        <f>Palmon!C23</f>
        <v>Water</v>
      </c>
      <c r="C22" t="str">
        <f>Palmon!D23</f>
        <v>Attack</v>
      </c>
      <c r="D22">
        <f>Palmon!E23</f>
        <v>160</v>
      </c>
      <c r="E22">
        <f>Palmon!F23</f>
        <v>1</v>
      </c>
      <c r="F22">
        <f>Palmon!G23</f>
        <v>2</v>
      </c>
      <c r="G22">
        <f>Palmon!H23</f>
        <v>2.2999999999999998</v>
      </c>
      <c r="H22">
        <f>Palmon!I23</f>
        <v>10</v>
      </c>
      <c r="I22">
        <f>Palmon!J23</f>
        <v>1</v>
      </c>
      <c r="J22">
        <f>Palmon!K23</f>
        <v>1</v>
      </c>
      <c r="K22">
        <f>Palmon!L23</f>
        <v>1</v>
      </c>
      <c r="L22" t="str">
        <f>Palmon!M23</f>
        <v/>
      </c>
      <c r="M22" t="str">
        <f>Palmon!N23</f>
        <v/>
      </c>
      <c r="N22">
        <f>Palmon!O23</f>
        <v>0</v>
      </c>
      <c r="O22">
        <f>Palmon!P23</f>
        <v>1</v>
      </c>
      <c r="P22">
        <f>Palmon!Q23</f>
        <v>1</v>
      </c>
      <c r="Q22">
        <f>Palmon!R23</f>
        <v>0.59999999999999964</v>
      </c>
      <c r="R22">
        <f>Palmon!S23</f>
        <v>0</v>
      </c>
      <c r="S22">
        <f>Palmon!T23</f>
        <v>0</v>
      </c>
      <c r="T22">
        <f>Palmon!U23</f>
        <v>0.13846153846153844</v>
      </c>
      <c r="U22">
        <f>Palmon!V23</f>
        <v>830</v>
      </c>
      <c r="V22">
        <f>Palmon!W23</f>
        <v>0</v>
      </c>
      <c r="W22">
        <f>Palmon!X23</f>
        <v>6299740000</v>
      </c>
      <c r="X22">
        <f>Palmon!Y23</f>
        <v>1</v>
      </c>
      <c r="Y22">
        <f>Palmon!Z23</f>
        <v>0</v>
      </c>
      <c r="Z22">
        <f>Palmon!AA23</f>
        <v>2460</v>
      </c>
      <c r="AA22">
        <f>Palmon!AB23</f>
        <v>26</v>
      </c>
      <c r="AB22" t="str">
        <f>Palmon!AC23</f>
        <v/>
      </c>
      <c r="AC22">
        <f>Palmon!AD23</f>
        <v>0</v>
      </c>
      <c r="AD22" t="str">
        <f>IF(Palmon!AE23="","",Palmon!AE23)</f>
        <v>https://encrypted-tbn0.gstatic.com/images?q=tbn:ANd9GcQlW5YoM4c6bArAuIb7UxI-VfUI9GmBp85Qig&amp;s</v>
      </c>
      <c r="AE22" t="str">
        <f>IF(Palmon!AF23="","",Palmon!AF23)</f>
        <v>https://encrypted-tbn0.gstatic.com/images?q=tbn:ANd9GcRXczs_Bjhslhr7Mf2HENU6MTyGpz0RJEMjNA&amp;s</v>
      </c>
      <c r="AF22" t="str">
        <f>Palmon!AG23</f>
        <v xml:space="preserve"> </v>
      </c>
      <c r="AG22">
        <f>Palmon!AH23</f>
        <v>0</v>
      </c>
      <c r="AH22" t="str">
        <f>IF(Palmon!AI23=0,"Non",Palmon!AI23)</f>
        <v>Bufonobi</v>
      </c>
      <c r="AI22" t="str">
        <f>IF(Palmon!AJ23=0,"Non",Palmon!AJ23)</f>
        <v>Shadowkaeru</v>
      </c>
      <c r="AJ22">
        <f>Palmon!AK23</f>
        <v>0</v>
      </c>
    </row>
    <row r="23" spans="1:36" x14ac:dyDescent="0.25">
      <c r="A23" t="str">
        <f>Palmon!B24</f>
        <v>Surveilynx</v>
      </c>
      <c r="B23" t="str">
        <f>Palmon!C24</f>
        <v>Wood</v>
      </c>
      <c r="C23" t="str">
        <f>Palmon!D24</f>
        <v>Attack</v>
      </c>
      <c r="D23">
        <f>Palmon!E24</f>
        <v>230</v>
      </c>
      <c r="E23">
        <f>Palmon!F24</f>
        <v>1</v>
      </c>
      <c r="F23">
        <f>Palmon!G24</f>
        <v>2</v>
      </c>
      <c r="G23">
        <f>Palmon!H24</f>
        <v>2</v>
      </c>
      <c r="H23">
        <f>Palmon!I24</f>
        <v>0</v>
      </c>
      <c r="I23">
        <f>Palmon!J24</f>
        <v>10</v>
      </c>
      <c r="J23">
        <f>Palmon!K24</f>
        <v>10</v>
      </c>
      <c r="K23">
        <f>Palmon!L24</f>
        <v>10</v>
      </c>
      <c r="L23" t="str">
        <f>Palmon!M24</f>
        <v/>
      </c>
      <c r="M23" t="str">
        <f>Palmon!N24</f>
        <v/>
      </c>
      <c r="N23">
        <f>Palmon!O24</f>
        <v>0</v>
      </c>
      <c r="O23">
        <f>Palmon!P24</f>
        <v>1</v>
      </c>
      <c r="P23">
        <f>Palmon!Q24</f>
        <v>1</v>
      </c>
      <c r="Q23">
        <f>Palmon!R24</f>
        <v>0</v>
      </c>
      <c r="R23">
        <f>Palmon!S24</f>
        <v>0</v>
      </c>
      <c r="S23">
        <f>Palmon!T24</f>
        <v>0</v>
      </c>
      <c r="T23">
        <f>Palmon!U24</f>
        <v>7.6923076923076927E-2</v>
      </c>
      <c r="U23">
        <f>Palmon!V24</f>
        <v>900</v>
      </c>
      <c r="V23">
        <f>Palmon!W24</f>
        <v>0</v>
      </c>
      <c r="W23">
        <f>Palmon!X24</f>
        <v>4771140000</v>
      </c>
      <c r="X23">
        <f>Palmon!Y24</f>
        <v>1</v>
      </c>
      <c r="Y23">
        <f>Palmon!Z24</f>
        <v>0</v>
      </c>
      <c r="Z23">
        <f>Palmon!AA24</f>
        <v>2230</v>
      </c>
      <c r="AA23">
        <f>Palmon!AB24</f>
        <v>30</v>
      </c>
      <c r="AB23" t="str">
        <f>Palmon!AC24</f>
        <v/>
      </c>
      <c r="AC23">
        <f>Palmon!AD24</f>
        <v>0</v>
      </c>
      <c r="AD23" t="str">
        <f>IF(Palmon!AE24="","",Palmon!AE24)</f>
        <v>https://encrypted-tbn0.gstatic.com/images?q=tbn:ANd9GcS2Z4TkKenIldVD1AQ7o1ftBU6pG9zKRz-FKA&amp;s</v>
      </c>
      <c r="AE23" t="str">
        <f>IF(Palmon!AF24="","",Palmon!AF24)</f>
        <v>https://encrypted-tbn0.gstatic.com/images?q=tbn:ANd9GcQt6lIf0Em_f_DT0VurOVsujswJCEmGOpJk4N6txfed&amp;s</v>
      </c>
      <c r="AF23" t="str">
        <f>Palmon!AG24</f>
        <v xml:space="preserve"> </v>
      </c>
      <c r="AG23">
        <f>Palmon!AH24</f>
        <v>0</v>
      </c>
      <c r="AH23" t="str">
        <f>IF(Palmon!AI24=0,"Non",Palmon!AI24)</f>
        <v>Camouflynx</v>
      </c>
      <c r="AI23" t="str">
        <f>IF(Palmon!AJ24=0,"Non",Palmon!AJ24)</f>
        <v>Non</v>
      </c>
      <c r="AJ23">
        <f>Palmon!AK24</f>
        <v>0</v>
      </c>
    </row>
    <row r="24" spans="1:36" x14ac:dyDescent="0.25">
      <c r="A24" t="str">
        <f>Palmon!B25</f>
        <v>Salamantis</v>
      </c>
      <c r="B24" t="str">
        <f>Palmon!C25</f>
        <v>Wood</v>
      </c>
      <c r="C24" t="str">
        <f>Palmon!D25</f>
        <v>Attack</v>
      </c>
      <c r="D24">
        <f>Palmon!E25</f>
        <v>200</v>
      </c>
      <c r="E24">
        <f>Palmon!F25</f>
        <v>1</v>
      </c>
      <c r="F24">
        <f>Palmon!G25</f>
        <v>2</v>
      </c>
      <c r="G24">
        <f>Palmon!H25</f>
        <v>2.2999999999999998</v>
      </c>
      <c r="H24">
        <f>Palmon!I25</f>
        <v>0</v>
      </c>
      <c r="I24">
        <f>Palmon!J25</f>
        <v>1</v>
      </c>
      <c r="J24">
        <f>Palmon!K25</f>
        <v>1</v>
      </c>
      <c r="K24">
        <f>Palmon!L25</f>
        <v>1</v>
      </c>
      <c r="L24" t="str">
        <f>Palmon!M25</f>
        <v/>
      </c>
      <c r="M24" t="str">
        <f>Palmon!N25</f>
        <v/>
      </c>
      <c r="N24">
        <f>Palmon!O25</f>
        <v>0</v>
      </c>
      <c r="O24">
        <f>Palmon!P25</f>
        <v>1</v>
      </c>
      <c r="P24">
        <f>Palmon!Q25</f>
        <v>1</v>
      </c>
      <c r="Q24">
        <f>Palmon!R25</f>
        <v>0.59999999999999964</v>
      </c>
      <c r="R24">
        <f>Palmon!S25</f>
        <v>0</v>
      </c>
      <c r="S24">
        <f>Palmon!T25</f>
        <v>0</v>
      </c>
      <c r="T24">
        <f>Palmon!U25</f>
        <v>0.13846153846153844</v>
      </c>
      <c r="U24">
        <f>Palmon!V25</f>
        <v>840</v>
      </c>
      <c r="V24">
        <f>Palmon!W25</f>
        <v>0</v>
      </c>
      <c r="W24">
        <f>Palmon!X25</f>
        <v>5796240000</v>
      </c>
      <c r="X24">
        <f>Palmon!Y25</f>
        <v>1</v>
      </c>
      <c r="Y24">
        <f>Palmon!Z25</f>
        <v>0</v>
      </c>
      <c r="Z24">
        <f>Palmon!AA25</f>
        <v>2500</v>
      </c>
      <c r="AA24">
        <f>Palmon!AB25</f>
        <v>25</v>
      </c>
      <c r="AB24" t="str">
        <f>Palmon!AC25</f>
        <v/>
      </c>
      <c r="AC24">
        <f>Palmon!AD25</f>
        <v>0</v>
      </c>
      <c r="AD24" t="str">
        <f>IF(Palmon!AE25="","",Palmon!AE25)</f>
        <v>https://encrypted-tbn0.gstatic.com/images?q=tbn:ANd9GcSPFSxpzP3XhhfdRhxvv_Oi86DkexX6yjZrRA&amp;s</v>
      </c>
      <c r="AE24" t="str">
        <f>IF(Palmon!AF25="","",Palmon!AF25)</f>
        <v/>
      </c>
      <c r="AF24" t="str">
        <f>Palmon!AG25</f>
        <v xml:space="preserve"> </v>
      </c>
      <c r="AG24">
        <f>Palmon!AH25</f>
        <v>0</v>
      </c>
      <c r="AH24" t="str">
        <f>IF(Palmon!AI25=0,"Non",Palmon!AI25)</f>
        <v>Silvaurus</v>
      </c>
      <c r="AI24" t="str">
        <f>IF(Palmon!AJ25=0,"Non",Palmon!AJ25)</f>
        <v>Non</v>
      </c>
      <c r="AJ24">
        <f>Palmon!AK25</f>
        <v>0</v>
      </c>
    </row>
    <row r="25" spans="1:36" x14ac:dyDescent="0.25">
      <c r="A25" t="str">
        <f>Palmon!B26</f>
        <v>Regalion</v>
      </c>
      <c r="B25" t="str">
        <f>Palmon!C26</f>
        <v>Water</v>
      </c>
      <c r="C25" t="str">
        <f>Palmon!D26</f>
        <v>Defend</v>
      </c>
      <c r="D25">
        <f>Palmon!E26</f>
        <v>200</v>
      </c>
      <c r="E25">
        <f>Palmon!F26</f>
        <v>1</v>
      </c>
      <c r="F25">
        <f>Palmon!G26</f>
        <v>2</v>
      </c>
      <c r="G25">
        <f>Palmon!H26</f>
        <v>2.2000000000000002</v>
      </c>
      <c r="H25">
        <f>Palmon!I26</f>
        <v>11</v>
      </c>
      <c r="I25">
        <f>Palmon!J26</f>
        <v>10</v>
      </c>
      <c r="J25">
        <f>Palmon!K26</f>
        <v>10</v>
      </c>
      <c r="K25">
        <f>Palmon!L26</f>
        <v>10</v>
      </c>
      <c r="L25" t="str">
        <f>Palmon!M26</f>
        <v/>
      </c>
      <c r="M25" t="str">
        <f>Palmon!N26</f>
        <v/>
      </c>
      <c r="N25">
        <f>Palmon!O26</f>
        <v>0</v>
      </c>
      <c r="O25">
        <f>Palmon!P26</f>
        <v>1</v>
      </c>
      <c r="P25">
        <f>Palmon!Q26</f>
        <v>1</v>
      </c>
      <c r="Q25">
        <f>Palmon!R26</f>
        <v>0.40000000000000036</v>
      </c>
      <c r="R25">
        <f>Palmon!S26</f>
        <v>0</v>
      </c>
      <c r="S25">
        <f>Palmon!T26</f>
        <v>0</v>
      </c>
      <c r="T25">
        <f>Palmon!U26</f>
        <v>0.11794871794871797</v>
      </c>
      <c r="U25">
        <f>Palmon!V26</f>
        <v>849</v>
      </c>
      <c r="V25">
        <f>Palmon!W26</f>
        <v>0</v>
      </c>
      <c r="W25">
        <f>Palmon!X26</f>
        <v>5796240000</v>
      </c>
      <c r="X25">
        <f>Palmon!Y26</f>
        <v>1</v>
      </c>
      <c r="Y25">
        <f>Palmon!Z26</f>
        <v>0</v>
      </c>
      <c r="Z25">
        <f>Palmon!AA26</f>
        <v>2400</v>
      </c>
      <c r="AA25">
        <f>Palmon!AB26</f>
        <v>29</v>
      </c>
      <c r="AB25" t="str">
        <f>Palmon!AC26</f>
        <v/>
      </c>
      <c r="AC25">
        <f>Palmon!AD26</f>
        <v>0</v>
      </c>
      <c r="AD25" t="str">
        <f>IF(Palmon!AE26="","",Palmon!AE26)</f>
        <v>https://encrypted-tbn0.gstatic.com/images?q=tbn:ANd9GcToQuTLjFC_oynclPIY9tWM7qAaMIPbmzTn2Q&amp;s</v>
      </c>
      <c r="AE25" t="str">
        <f>IF(Palmon!AF26="","",Palmon!AF26)</f>
        <v>https://encrypted-tbn0.gstatic.com/images?q=tbn:ANd9GcS0uWep-9VXcdMd6qSpdASqYR42mG4SmBsCjw&amp;s</v>
      </c>
      <c r="AF25" t="str">
        <f>Palmon!AG26</f>
        <v xml:space="preserve"> </v>
      </c>
      <c r="AG25">
        <f>Palmon!AH26</f>
        <v>0</v>
      </c>
      <c r="AH25" t="str">
        <f>IF(Palmon!AI26=0,"Non",Palmon!AI26)</f>
        <v>Lionarch</v>
      </c>
      <c r="AI25" t="str">
        <f>IF(Palmon!AJ26=0,"Non",Palmon!AJ26)</f>
        <v>Non</v>
      </c>
      <c r="AJ25">
        <f>Palmon!AK26</f>
        <v>0</v>
      </c>
    </row>
    <row r="26" spans="1:36" x14ac:dyDescent="0.25">
      <c r="A26" t="str">
        <f>Palmon!B27</f>
        <v>Mantleray</v>
      </c>
      <c r="B26" t="str">
        <f>Palmon!C27</f>
        <v>Electricity</v>
      </c>
      <c r="C26" t="str">
        <f>Palmon!D27</f>
        <v>Attack</v>
      </c>
      <c r="D26">
        <f>Palmon!E27</f>
        <v>230</v>
      </c>
      <c r="E26">
        <f>Palmon!F27</f>
        <v>1</v>
      </c>
      <c r="F26">
        <f>Palmon!G27</f>
        <v>2</v>
      </c>
      <c r="G26">
        <f>Palmon!H27</f>
        <v>2.4</v>
      </c>
      <c r="H26">
        <f>Palmon!I27</f>
        <v>3</v>
      </c>
      <c r="I26">
        <f>Palmon!J27</f>
        <v>4</v>
      </c>
      <c r="J26">
        <f>Palmon!K27</f>
        <v>1</v>
      </c>
      <c r="K26">
        <f>Palmon!L27</f>
        <v>1</v>
      </c>
      <c r="L26" t="str">
        <f>Palmon!M27</f>
        <v/>
      </c>
      <c r="M26" t="str">
        <f>Palmon!N27</f>
        <v/>
      </c>
      <c r="N26">
        <f>Palmon!O27</f>
        <v>0</v>
      </c>
      <c r="O26">
        <f>Palmon!P27</f>
        <v>1</v>
      </c>
      <c r="P26">
        <f>Palmon!Q27</f>
        <v>1</v>
      </c>
      <c r="Q26">
        <f>Palmon!R27</f>
        <v>0.79999999999999982</v>
      </c>
      <c r="R26">
        <f>Palmon!S27</f>
        <v>0</v>
      </c>
      <c r="S26">
        <f>Palmon!T27</f>
        <v>0</v>
      </c>
      <c r="T26">
        <f>Palmon!U27</f>
        <v>0.15897435897435896</v>
      </c>
      <c r="U26">
        <f>Palmon!V27</f>
        <v>817</v>
      </c>
      <c r="V26">
        <f>Palmon!W27</f>
        <v>0</v>
      </c>
      <c r="W26">
        <f>Palmon!X27</f>
        <v>4771140000</v>
      </c>
      <c r="X26">
        <f>Palmon!Y27</f>
        <v>1</v>
      </c>
      <c r="Y26">
        <f>Palmon!Z27</f>
        <v>0</v>
      </c>
      <c r="Z26">
        <f>Palmon!AA27</f>
        <v>2630</v>
      </c>
      <c r="AA26">
        <f>Palmon!AB27</f>
        <v>23</v>
      </c>
      <c r="AB26" t="str">
        <f>Palmon!AC27</f>
        <v/>
      </c>
      <c r="AC26">
        <f>Palmon!AD27</f>
        <v>0</v>
      </c>
      <c r="AD26" t="str">
        <f>IF(Palmon!AE27="","",Palmon!AE27)</f>
        <v>https://encrypted-tbn0.gstatic.com/images?q=tbn:ANd9GcSWhzppoZXwh-zBnWIY3GFkIp0x0kc0hAzG0A&amp;s</v>
      </c>
      <c r="AE26" t="str">
        <f>IF(Palmon!AF27="","",Palmon!AF27)</f>
        <v xml:space="preserve"> </v>
      </c>
      <c r="AF26" t="str">
        <f>Palmon!AG27</f>
        <v xml:space="preserve"> </v>
      </c>
      <c r="AG26">
        <f>Palmon!AH27</f>
        <v>0</v>
      </c>
      <c r="AH26" t="str">
        <f>IF(Palmon!AI27=0,"Non",Palmon!AI27)</f>
        <v>Sorceray</v>
      </c>
      <c r="AI26" t="str">
        <f>IF(Palmon!AJ27=0,"Non",Palmon!AJ27)</f>
        <v>Non</v>
      </c>
      <c r="AJ26">
        <f>Palmon!AK27</f>
        <v>0</v>
      </c>
    </row>
    <row r="27" spans="1:36" x14ac:dyDescent="0.25">
      <c r="A27" t="str">
        <f>Palmon!B28</f>
        <v>Oleana</v>
      </c>
      <c r="B27" t="str">
        <f>Palmon!C28</f>
        <v>Wood</v>
      </c>
      <c r="C27" t="str">
        <f>Palmon!D28</f>
        <v>Attack</v>
      </c>
      <c r="D27">
        <f>Palmon!E28</f>
        <v>260</v>
      </c>
      <c r="E27">
        <f>Palmon!F28</f>
        <v>1</v>
      </c>
      <c r="F27">
        <f>Palmon!G28</f>
        <v>5</v>
      </c>
      <c r="G27">
        <f>Palmon!H28</f>
        <v>5</v>
      </c>
      <c r="H27">
        <f>Palmon!I28</f>
        <v>128</v>
      </c>
      <c r="I27">
        <f>Palmon!J28</f>
        <v>1</v>
      </c>
      <c r="J27">
        <f>Palmon!K28</f>
        <v>1</v>
      </c>
      <c r="K27">
        <f>Palmon!L28</f>
        <v>1</v>
      </c>
      <c r="L27" t="str">
        <f>Palmon!M28</f>
        <v>Max</v>
      </c>
      <c r="M27">
        <f>Palmon!N28</f>
        <v>10</v>
      </c>
      <c r="N27">
        <f>Palmon!O28</f>
        <v>0</v>
      </c>
      <c r="O27">
        <f>Palmon!P28</f>
        <v>1</v>
      </c>
      <c r="P27">
        <f>Palmon!Q28</f>
        <v>1</v>
      </c>
      <c r="Q27">
        <f>Palmon!R28</f>
        <v>1</v>
      </c>
      <c r="R27">
        <f>Palmon!S28</f>
        <v>1</v>
      </c>
      <c r="S27">
        <f>Palmon!T28</f>
        <v>1</v>
      </c>
      <c r="T27">
        <f>Palmon!U28</f>
        <v>1</v>
      </c>
      <c r="U27">
        <f>Palmon!V28</f>
        <v>-128</v>
      </c>
      <c r="V27">
        <f>Palmon!W28</f>
        <v>0</v>
      </c>
      <c r="W27">
        <f>Palmon!X28</f>
        <v>2616040000</v>
      </c>
      <c r="X27">
        <f>Palmon!Y28</f>
        <v>1</v>
      </c>
      <c r="Y27">
        <f>Palmon!Z28</f>
        <v>0</v>
      </c>
      <c r="Z27">
        <f>Palmon!AA28</f>
        <v>5260</v>
      </c>
      <c r="AA27">
        <f>Palmon!AB28</f>
        <v>7</v>
      </c>
      <c r="AB27">
        <f>Palmon!AC28</f>
        <v>1</v>
      </c>
      <c r="AC27">
        <f>Palmon!AD28</f>
        <v>0</v>
      </c>
      <c r="AD27" t="str">
        <f>IF(Palmon!AE28="","",Palmon!AE28)</f>
        <v>https://encrypted-tbn0.gstatic.com/images?q=tbn:ANd9GcQ02wmDjsAMofj1ObwwNW6Vhl_QQ-LUodGIKA&amp;s</v>
      </c>
      <c r="AE27" t="str">
        <f>IF(Palmon!AF28="","",Palmon!AF28)</f>
        <v xml:space="preserve"> </v>
      </c>
      <c r="AF27" t="str">
        <f>Palmon!AG28</f>
        <v xml:space="preserve"> </v>
      </c>
      <c r="AG27">
        <f>Palmon!AH28</f>
        <v>0</v>
      </c>
      <c r="AH27" t="str">
        <f>IF(Palmon!AI28=0,"Non",Palmon!AI28)</f>
        <v>Non</v>
      </c>
      <c r="AI27" t="str">
        <f>IF(Palmon!AJ28=0,"Non",Palmon!AJ28)</f>
        <v>Non</v>
      </c>
      <c r="AJ27">
        <f>Palmon!AK28</f>
        <v>0</v>
      </c>
    </row>
    <row r="28" spans="1:36" x14ac:dyDescent="0.25">
      <c r="A28" t="str">
        <f>Palmon!B29</f>
        <v>Spookaboo</v>
      </c>
      <c r="B28" t="str">
        <f>Palmon!C29</f>
        <v>Fire</v>
      </c>
      <c r="C28" t="str">
        <f>Palmon!D29</f>
        <v>Attack</v>
      </c>
      <c r="D28">
        <f>Palmon!E29</f>
        <v>230</v>
      </c>
      <c r="E28">
        <f>Palmon!F29</f>
        <v>1</v>
      </c>
      <c r="F28">
        <f>Palmon!G29</f>
        <v>5</v>
      </c>
      <c r="G28">
        <f>Palmon!H29</f>
        <v>5</v>
      </c>
      <c r="H28">
        <f>Palmon!I29</f>
        <v>10</v>
      </c>
      <c r="I28">
        <f>Palmon!J29</f>
        <v>1</v>
      </c>
      <c r="J28">
        <f>Palmon!K29</f>
        <v>1</v>
      </c>
      <c r="K28">
        <f>Palmon!L29</f>
        <v>30</v>
      </c>
      <c r="L28" t="str">
        <f>Palmon!M29</f>
        <v>Max</v>
      </c>
      <c r="M28">
        <f>Palmon!N29</f>
        <v>10</v>
      </c>
      <c r="N28">
        <f>Palmon!O29</f>
        <v>0</v>
      </c>
      <c r="O28">
        <f>Palmon!P29</f>
        <v>1</v>
      </c>
      <c r="P28">
        <f>Palmon!Q29</f>
        <v>1</v>
      </c>
      <c r="Q28">
        <f>Palmon!R29</f>
        <v>1</v>
      </c>
      <c r="R28">
        <f>Palmon!S29</f>
        <v>1</v>
      </c>
      <c r="S28">
        <f>Palmon!T29</f>
        <v>1</v>
      </c>
      <c r="T28">
        <f>Palmon!U29</f>
        <v>1</v>
      </c>
      <c r="U28">
        <f>Palmon!V29</f>
        <v>-10</v>
      </c>
      <c r="V28">
        <f>Palmon!W29</f>
        <v>0</v>
      </c>
      <c r="W28">
        <f>Palmon!X29</f>
        <v>4771140000</v>
      </c>
      <c r="X28">
        <f>Palmon!Y29</f>
        <v>1</v>
      </c>
      <c r="Y28">
        <f>Palmon!Z29</f>
        <v>0</v>
      </c>
      <c r="Z28">
        <f>Palmon!AA29</f>
        <v>5230</v>
      </c>
      <c r="AA28">
        <f>Palmon!AB29</f>
        <v>8</v>
      </c>
      <c r="AB28">
        <f>Palmon!AC29</f>
        <v>2</v>
      </c>
      <c r="AC28">
        <f>Palmon!AD29</f>
        <v>0</v>
      </c>
      <c r="AD28" t="str">
        <f>IF(Palmon!AE29="","",Palmon!AE29)</f>
        <v>https://encrypted-tbn0.gstatic.com/images?q=tbn:ANd9GcT29K673YTBvt_EofrppvnWB4sgt43DEq1pTw&amp;s</v>
      </c>
      <c r="AE28" t="str">
        <f>IF(Palmon!AF29="","",Palmon!AF29)</f>
        <v xml:space="preserve"> </v>
      </c>
      <c r="AF28" t="str">
        <f>Palmon!AG29</f>
        <v xml:space="preserve"> </v>
      </c>
      <c r="AG28">
        <f>Palmon!AH29</f>
        <v>0</v>
      </c>
      <c r="AH28" t="str">
        <f>IF(Palmon!AI29=0,"Non",Palmon!AI29)</f>
        <v>Non</v>
      </c>
      <c r="AI28" t="str">
        <f>IF(Palmon!AJ29=0,"Non",Palmon!AJ29)</f>
        <v>Non</v>
      </c>
      <c r="AJ28">
        <f>Palmon!AK29</f>
        <v>0</v>
      </c>
    </row>
    <row r="29" spans="1:36" x14ac:dyDescent="0.25">
      <c r="A29" t="str">
        <f>Palmon!B30</f>
        <v>Kungpaw</v>
      </c>
      <c r="B29" t="str">
        <f>Palmon!C30</f>
        <v>Water</v>
      </c>
      <c r="C29" t="str">
        <f>Palmon!D30</f>
        <v>Defend</v>
      </c>
      <c r="D29">
        <f>Palmon!E30</f>
        <v>200</v>
      </c>
      <c r="E29">
        <f>Palmon!F30</f>
        <v>1</v>
      </c>
      <c r="F29">
        <f>Palmon!G30</f>
        <v>4</v>
      </c>
      <c r="G29">
        <f>Palmon!H30</f>
        <v>4.0999999999999996</v>
      </c>
      <c r="H29">
        <f>Palmon!I30</f>
        <v>30</v>
      </c>
      <c r="I29">
        <f>Palmon!J30</f>
        <v>1</v>
      </c>
      <c r="J29">
        <f>Palmon!K30</f>
        <v>1</v>
      </c>
      <c r="K29">
        <f>Palmon!L30</f>
        <v>1</v>
      </c>
      <c r="L29" t="str">
        <f>Palmon!M30</f>
        <v>Max</v>
      </c>
      <c r="M29" t="str">
        <f>Palmon!N30</f>
        <v/>
      </c>
      <c r="N29">
        <f>Palmon!O30</f>
        <v>0</v>
      </c>
      <c r="O29">
        <f>Palmon!P30</f>
        <v>1</v>
      </c>
      <c r="P29">
        <f>Palmon!Q30</f>
        <v>1</v>
      </c>
      <c r="Q29">
        <f>Palmon!R30</f>
        <v>1</v>
      </c>
      <c r="R29">
        <f>Palmon!S30</f>
        <v>1</v>
      </c>
      <c r="S29">
        <f>Palmon!T30</f>
        <v>0.19999999999999929</v>
      </c>
      <c r="T29">
        <f>Palmon!U30</f>
        <v>0.58974358974358942</v>
      </c>
      <c r="U29">
        <f>Palmon!V30</f>
        <v>370.00000000000034</v>
      </c>
      <c r="V29">
        <f>Palmon!W30</f>
        <v>0</v>
      </c>
      <c r="W29">
        <f>Palmon!X30</f>
        <v>5796240000</v>
      </c>
      <c r="X29">
        <f>Palmon!Y30</f>
        <v>1</v>
      </c>
      <c r="Y29">
        <f>Palmon!Z30</f>
        <v>0</v>
      </c>
      <c r="Z29">
        <f>Palmon!AA30</f>
        <v>4300</v>
      </c>
      <c r="AA29">
        <f>Palmon!AB30</f>
        <v>12</v>
      </c>
      <c r="AB29">
        <f>Palmon!AC30</f>
        <v>2</v>
      </c>
      <c r="AC29">
        <f>Palmon!AD30</f>
        <v>0</v>
      </c>
      <c r="AD29" t="str">
        <f>IF(Palmon!AE30="","",Palmon!AE30)</f>
        <v>https://encrypted-tbn0.gstatic.com/images?q=tbn:ANd9GcRV1HdRcNPUS4HjDBZ2YOXgaMW_I8FgZEP5xg&amp;s</v>
      </c>
      <c r="AE29" t="str">
        <f>IF(Palmon!AF30="","",Palmon!AF30)</f>
        <v/>
      </c>
      <c r="AF29" t="str">
        <f>Palmon!AG30</f>
        <v xml:space="preserve"> </v>
      </c>
      <c r="AG29">
        <f>Palmon!AH30</f>
        <v>0</v>
      </c>
      <c r="AH29" t="str">
        <f>IF(Palmon!AI30=0,"Non",Palmon!AI30)</f>
        <v>Non</v>
      </c>
      <c r="AI29" t="str">
        <f>IF(Palmon!AJ30=0,"Non",Palmon!AJ30)</f>
        <v>Non</v>
      </c>
      <c r="AJ29">
        <f>Palmon!AK30</f>
        <v>0</v>
      </c>
    </row>
    <row r="30" spans="1:36" x14ac:dyDescent="0.25">
      <c r="A30" t="str">
        <f>Palmon!B31</f>
        <v>Baboom</v>
      </c>
      <c r="B30" t="str">
        <f>Palmon!C31</f>
        <v>Wood</v>
      </c>
      <c r="C30" t="str">
        <f>Palmon!D31</f>
        <v>Attack</v>
      </c>
      <c r="D30">
        <f>Palmon!E31</f>
        <v>240</v>
      </c>
      <c r="E30">
        <f>Palmon!F31</f>
        <v>1</v>
      </c>
      <c r="F30">
        <f>Palmon!G31</f>
        <v>3</v>
      </c>
      <c r="G30">
        <f>Palmon!H31</f>
        <v>3</v>
      </c>
      <c r="H30">
        <f>Palmon!I31</f>
        <v>10</v>
      </c>
      <c r="I30">
        <f>Palmon!J31</f>
        <v>5</v>
      </c>
      <c r="J30">
        <f>Palmon!K31</f>
        <v>1</v>
      </c>
      <c r="K30">
        <f>Palmon!L31</f>
        <v>1</v>
      </c>
      <c r="L30" t="str">
        <f>Palmon!M31</f>
        <v/>
      </c>
      <c r="M30" t="str">
        <f>Palmon!N31</f>
        <v/>
      </c>
      <c r="N30">
        <f>Palmon!O31</f>
        <v>0</v>
      </c>
      <c r="O30">
        <f>Palmon!P31</f>
        <v>1</v>
      </c>
      <c r="P30">
        <f>Palmon!Q31</f>
        <v>1</v>
      </c>
      <c r="Q30">
        <f>Palmon!R31</f>
        <v>1</v>
      </c>
      <c r="R30">
        <f>Palmon!S31</f>
        <v>0</v>
      </c>
      <c r="S30">
        <f>Palmon!T31</f>
        <v>0</v>
      </c>
      <c r="T30">
        <f>Palmon!U31</f>
        <v>0.17948717948717949</v>
      </c>
      <c r="U30">
        <f>Palmon!V31</f>
        <v>790</v>
      </c>
      <c r="V30">
        <f>Palmon!W31</f>
        <v>0</v>
      </c>
      <c r="W30">
        <f>Palmon!X31</f>
        <v>4211940000</v>
      </c>
      <c r="X30">
        <f>Palmon!Y31</f>
        <v>1</v>
      </c>
      <c r="Y30">
        <f>Palmon!Z31</f>
        <v>0</v>
      </c>
      <c r="Z30">
        <f>Palmon!AA31</f>
        <v>3240</v>
      </c>
      <c r="AA30">
        <f>Palmon!AB31</f>
        <v>21</v>
      </c>
      <c r="AB30" t="str">
        <f>Palmon!AC31</f>
        <v/>
      </c>
      <c r="AC30">
        <f>Palmon!AD31</f>
        <v>0</v>
      </c>
      <c r="AD30" t="str">
        <f>IF(Palmon!AE31="","",Palmon!AE31)</f>
        <v>https://encrypted-tbn0.gstatic.com/images?q=tbn:ANd9GcRh7P3oaH_Kq0fni1aOxe3TmDgHULu_Z-UWUg&amp;s</v>
      </c>
      <c r="AE30" t="str">
        <f>IF(Palmon!AF31="","",Palmon!AF31)</f>
        <v>https://encrypted-tbn0.gstatic.com/images?q=tbn:ANd9GcSQA67-vNrm701vphmHvRKGkJTx2O2gyTi00Q&amp;s</v>
      </c>
      <c r="AF30" t="str">
        <f>Palmon!AG31</f>
        <v xml:space="preserve"> </v>
      </c>
      <c r="AG30">
        <f>Palmon!AH31</f>
        <v>0</v>
      </c>
      <c r="AH30" t="str">
        <f>IF(Palmon!AI31=0,"Non",Palmon!AI31)</f>
        <v>Rumbkey</v>
      </c>
      <c r="AI30" t="str">
        <f>IF(Palmon!AJ31=0,"Non",Palmon!AJ31)</f>
        <v>Non</v>
      </c>
      <c r="AJ30">
        <f>Palmon!AK31</f>
        <v>0</v>
      </c>
    </row>
    <row r="31" spans="1:36" x14ac:dyDescent="0.25">
      <c r="A31" t="str">
        <f>Palmon!B32</f>
        <v>Pyregeist</v>
      </c>
      <c r="B31" t="str">
        <f>Palmon!C32</f>
        <v>Fire</v>
      </c>
      <c r="C31" t="str">
        <f>Palmon!D32</f>
        <v>Defend</v>
      </c>
      <c r="D31">
        <f>Palmon!E32</f>
        <v>0</v>
      </c>
      <c r="E31" t="str">
        <f>Palmon!F32</f>
        <v/>
      </c>
      <c r="F31">
        <f>Palmon!G32</f>
        <v>0</v>
      </c>
      <c r="G31">
        <f>Palmon!H32</f>
        <v>0</v>
      </c>
      <c r="H31">
        <f>Palmon!I32</f>
        <v>0</v>
      </c>
      <c r="I31" t="str">
        <f>Palmon!J32</f>
        <v/>
      </c>
      <c r="J31">
        <f>Palmon!K32</f>
        <v>0</v>
      </c>
      <c r="K31">
        <f>Palmon!L32</f>
        <v>0</v>
      </c>
      <c r="L31" t="str">
        <f>Palmon!M32</f>
        <v/>
      </c>
      <c r="M31" t="str">
        <f>Palmon!N32</f>
        <v/>
      </c>
      <c r="N31">
        <f>Palmon!O32</f>
        <v>0</v>
      </c>
      <c r="O31">
        <f>Palmon!P32</f>
        <v>0</v>
      </c>
      <c r="P31">
        <f>Palmon!Q32</f>
        <v>0</v>
      </c>
      <c r="Q31">
        <f>Palmon!R32</f>
        <v>0</v>
      </c>
      <c r="R31">
        <f>Palmon!S32</f>
        <v>0</v>
      </c>
      <c r="S31">
        <f>Palmon!T32</f>
        <v>0</v>
      </c>
      <c r="T31">
        <f>Palmon!U32</f>
        <v>0</v>
      </c>
      <c r="U31">
        <f>Palmon!V32</f>
        <v>975</v>
      </c>
      <c r="V31">
        <f>Palmon!W32</f>
        <v>0</v>
      </c>
      <c r="W31">
        <f>Palmon!X32</f>
        <v>6424613700</v>
      </c>
      <c r="X31" t="str">
        <f>Palmon!Y32</f>
        <v/>
      </c>
      <c r="Y31">
        <f>Palmon!Z32</f>
        <v>0</v>
      </c>
      <c r="Z31">
        <f>Palmon!AA32</f>
        <v>0</v>
      </c>
      <c r="AA31">
        <f>Palmon!AB32</f>
        <v>34</v>
      </c>
      <c r="AB31" t="str">
        <f>Palmon!AC32</f>
        <v/>
      </c>
      <c r="AC31">
        <f>Palmon!AD32</f>
        <v>0</v>
      </c>
      <c r="AD31" t="str">
        <f>IF(Palmon!AE32="","",Palmon!AE32)</f>
        <v>https://encrypted-tbn0.gstatic.com/images?q=tbn:ANd9GcQxjczIZhaTQV2VukHWlKoJMQ30DrUIwatAEw&amp;s</v>
      </c>
      <c r="AE31" t="str">
        <f>IF(Palmon!AF32="","",Palmon!AF32)</f>
        <v xml:space="preserve"> </v>
      </c>
      <c r="AF31" t="str">
        <f>Palmon!AG32</f>
        <v xml:space="preserve"> </v>
      </c>
      <c r="AG31">
        <f>Palmon!AH32</f>
        <v>0</v>
      </c>
      <c r="AH31" t="str">
        <f>IF(Palmon!AI32=0,"Non",Palmon!AI32)</f>
        <v>Embergeist</v>
      </c>
      <c r="AI31" t="str">
        <f>IF(Palmon!AJ32=0,"Non",Palmon!AJ32)</f>
        <v>Non</v>
      </c>
      <c r="AJ31">
        <f>Palmon!AK32</f>
        <v>0</v>
      </c>
    </row>
    <row r="32" spans="1:36" x14ac:dyDescent="0.25">
      <c r="A32" t="str">
        <f>Palmon!B33</f>
        <v>Thundertooth</v>
      </c>
      <c r="B32" t="str">
        <f>Palmon!C33</f>
        <v>Electricity</v>
      </c>
      <c r="C32" t="str">
        <f>Palmon!D33</f>
        <v>Attack</v>
      </c>
      <c r="D32">
        <f>Palmon!E33</f>
        <v>270</v>
      </c>
      <c r="E32">
        <f>Palmon!F33</f>
        <v>1</v>
      </c>
      <c r="F32">
        <f>Palmon!G33</f>
        <v>5</v>
      </c>
      <c r="G32">
        <f>Palmon!H33</f>
        <v>5</v>
      </c>
      <c r="H32">
        <f>Palmon!I33</f>
        <v>0</v>
      </c>
      <c r="I32">
        <f>Palmon!J33</f>
        <v>1</v>
      </c>
      <c r="J32">
        <f>Palmon!K33</f>
        <v>1</v>
      </c>
      <c r="K32">
        <f>Palmon!L33</f>
        <v>1</v>
      </c>
      <c r="L32" t="str">
        <f>Palmon!M33</f>
        <v>Max</v>
      </c>
      <c r="M32">
        <f>Palmon!N33</f>
        <v>10</v>
      </c>
      <c r="N32">
        <f>Palmon!O33</f>
        <v>0</v>
      </c>
      <c r="O32">
        <f>Palmon!P33</f>
        <v>1</v>
      </c>
      <c r="P32">
        <f>Palmon!Q33</f>
        <v>1</v>
      </c>
      <c r="Q32">
        <f>Palmon!R33</f>
        <v>1</v>
      </c>
      <c r="R32">
        <f>Palmon!S33</f>
        <v>1</v>
      </c>
      <c r="S32">
        <f>Palmon!T33</f>
        <v>1</v>
      </c>
      <c r="T32">
        <f>Palmon!U33</f>
        <v>1</v>
      </c>
      <c r="U32">
        <f>Palmon!V33</f>
        <v>0</v>
      </c>
      <c r="V32">
        <f>Palmon!W33</f>
        <v>0</v>
      </c>
      <c r="W32">
        <f>Palmon!X33</f>
        <v>1515640000</v>
      </c>
      <c r="X32">
        <f>Palmon!Y33</f>
        <v>1</v>
      </c>
      <c r="Y32">
        <f>Palmon!Z33</f>
        <v>0</v>
      </c>
      <c r="Z32">
        <f>Palmon!AA33</f>
        <v>5270</v>
      </c>
      <c r="AA32">
        <f>Palmon!AB33</f>
        <v>6</v>
      </c>
      <c r="AB32">
        <f>Palmon!AC33</f>
        <v>1</v>
      </c>
      <c r="AC32">
        <f>Palmon!AD33</f>
        <v>0</v>
      </c>
      <c r="AD32" t="str">
        <f>IF(Palmon!AE33="","",Palmon!AE33)</f>
        <v>https://encrypted-tbn0.gstatic.com/images?q=tbn:ANd9GcRNSg29kZ5t51s7m9SpGygJKsQow67zLt08qg&amp;s</v>
      </c>
      <c r="AE32" t="str">
        <f>IF(Palmon!AF33="","",Palmon!AF33)</f>
        <v>https://encrypted-tbn0.gstatic.com/images?q=tbn:ANd9GcQoXkXemCK02vmhKICXcvjchtQ-qvcAc5zyrA&amp;s</v>
      </c>
      <c r="AF32" t="str">
        <f>Palmon!AG33</f>
        <v xml:space="preserve"> </v>
      </c>
      <c r="AG32">
        <f>Palmon!AH33</f>
        <v>0</v>
      </c>
      <c r="AH32" t="str">
        <f>IF(Palmon!AI33=0,"Non",Palmon!AI33)</f>
        <v>Thundermane</v>
      </c>
      <c r="AI32" t="str">
        <f>IF(Palmon!AJ33=0,"Non",Palmon!AJ33)</f>
        <v>Non</v>
      </c>
      <c r="AJ32">
        <f>Palmon!AK33</f>
        <v>0</v>
      </c>
    </row>
    <row r="33" spans="1:36" x14ac:dyDescent="0.25">
      <c r="A33" t="str">
        <f>Palmon!B34</f>
        <v>Mammolith</v>
      </c>
      <c r="B33" t="str">
        <f>Palmon!C34</f>
        <v>Wood</v>
      </c>
      <c r="C33" t="str">
        <f>Palmon!D34</f>
        <v>Defend</v>
      </c>
      <c r="D33">
        <f>Palmon!E34</f>
        <v>0</v>
      </c>
      <c r="E33" t="str">
        <f>Palmon!F34</f>
        <v/>
      </c>
      <c r="F33">
        <f>Palmon!G34</f>
        <v>0</v>
      </c>
      <c r="G33">
        <f>Palmon!H34</f>
        <v>0</v>
      </c>
      <c r="H33">
        <f>Palmon!I34</f>
        <v>0</v>
      </c>
      <c r="I33" t="str">
        <f>Palmon!J34</f>
        <v/>
      </c>
      <c r="J33">
        <f>Palmon!K34</f>
        <v>0</v>
      </c>
      <c r="K33">
        <f>Palmon!L34</f>
        <v>0</v>
      </c>
      <c r="L33" t="str">
        <f>Palmon!M34</f>
        <v/>
      </c>
      <c r="M33" t="str">
        <f>Palmon!N34</f>
        <v/>
      </c>
      <c r="N33">
        <f>Palmon!O34</f>
        <v>0</v>
      </c>
      <c r="O33">
        <f>Palmon!P34</f>
        <v>0</v>
      </c>
      <c r="P33">
        <f>Palmon!Q34</f>
        <v>0</v>
      </c>
      <c r="Q33">
        <f>Palmon!R34</f>
        <v>0</v>
      </c>
      <c r="R33">
        <f>Palmon!S34</f>
        <v>0</v>
      </c>
      <c r="S33">
        <f>Palmon!T34</f>
        <v>0</v>
      </c>
      <c r="T33">
        <f>Palmon!U34</f>
        <v>0</v>
      </c>
      <c r="U33">
        <f>Palmon!V34</f>
        <v>975</v>
      </c>
      <c r="V33">
        <f>Palmon!W34</f>
        <v>0</v>
      </c>
      <c r="W33">
        <f>Palmon!X34</f>
        <v>6424613700</v>
      </c>
      <c r="X33" t="str">
        <f>Palmon!Y34</f>
        <v/>
      </c>
      <c r="Y33">
        <f>Palmon!Z34</f>
        <v>0</v>
      </c>
      <c r="Z33">
        <f>Palmon!AA34</f>
        <v>0</v>
      </c>
      <c r="AA33">
        <f>Palmon!AB34</f>
        <v>35</v>
      </c>
      <c r="AB33" t="str">
        <f>Palmon!AC34</f>
        <v/>
      </c>
      <c r="AC33">
        <f>Palmon!AD34</f>
        <v>0</v>
      </c>
      <c r="AD33" t="str">
        <f>IF(Palmon!AE34="","",Palmon!AE34)</f>
        <v>https://encrypted-tbn0.gstatic.com/images?q=tbn:ANd9GcRR4T5jdtF_LaheoRmg2FLSWS4DS4QhqCFaAg&amp;s</v>
      </c>
      <c r="AE33" t="str">
        <f>IF(Palmon!AF34="","",Palmon!AF34)</f>
        <v xml:space="preserve"> </v>
      </c>
      <c r="AF33" t="str">
        <f>Palmon!AG34</f>
        <v xml:space="preserve"> </v>
      </c>
      <c r="AG33">
        <f>Palmon!AH34</f>
        <v>0</v>
      </c>
      <c r="AH33" t="str">
        <f>IF(Palmon!AI34=0,"Non",Palmon!AI34)</f>
        <v>Prismalith</v>
      </c>
      <c r="AI33" t="str">
        <f>IF(Palmon!AJ34=0,"Non",Palmon!AJ34)</f>
        <v>Non</v>
      </c>
      <c r="AJ33">
        <f>Palmon!AK34</f>
        <v>0</v>
      </c>
    </row>
    <row r="34" spans="1:36" x14ac:dyDescent="0.25">
      <c r="A34" t="str">
        <f>Palmon!B35</f>
        <v>Glacewing</v>
      </c>
      <c r="B34" t="str">
        <f>Palmon!C35</f>
        <v>Water</v>
      </c>
      <c r="C34" t="str">
        <f>Palmon!D35</f>
        <v>Attack</v>
      </c>
      <c r="D34">
        <f>Palmon!E35</f>
        <v>280</v>
      </c>
      <c r="E34" t="str">
        <f>Palmon!F35</f>
        <v/>
      </c>
      <c r="F34">
        <f>Palmon!G35</f>
        <v>5</v>
      </c>
      <c r="G34">
        <f>Palmon!H35</f>
        <v>5</v>
      </c>
      <c r="H34">
        <f>Palmon!I35</f>
        <v>0</v>
      </c>
      <c r="I34">
        <f>Palmon!J35</f>
        <v>30</v>
      </c>
      <c r="J34">
        <f>Palmon!K35</f>
        <v>30</v>
      </c>
      <c r="K34">
        <f>Palmon!L35</f>
        <v>30</v>
      </c>
      <c r="L34" t="str">
        <f>Palmon!M35</f>
        <v>Max</v>
      </c>
      <c r="M34">
        <f>Palmon!N35</f>
        <v>10</v>
      </c>
      <c r="N34">
        <f>Palmon!O35</f>
        <v>0</v>
      </c>
      <c r="O34">
        <f>Palmon!P35</f>
        <v>1</v>
      </c>
      <c r="P34">
        <f>Palmon!Q35</f>
        <v>1</v>
      </c>
      <c r="Q34">
        <f>Palmon!R35</f>
        <v>1</v>
      </c>
      <c r="R34">
        <f>Palmon!S35</f>
        <v>1</v>
      </c>
      <c r="S34">
        <f>Palmon!T35</f>
        <v>1</v>
      </c>
      <c r="T34">
        <f>Palmon!U35</f>
        <v>1</v>
      </c>
      <c r="U34">
        <f>Palmon!V35</f>
        <v>0</v>
      </c>
      <c r="V34">
        <f>Palmon!W35</f>
        <v>0</v>
      </c>
      <c r="W34">
        <f>Palmon!X35</f>
        <v>164440000</v>
      </c>
      <c r="X34" t="str">
        <f>Palmon!Y35</f>
        <v/>
      </c>
      <c r="Y34">
        <f>Palmon!Z35</f>
        <v>0</v>
      </c>
      <c r="Z34">
        <f>Palmon!AA35</f>
        <v>5280</v>
      </c>
      <c r="AA34">
        <f>Palmon!AB35</f>
        <v>1</v>
      </c>
      <c r="AB34">
        <f>Palmon!AC35</f>
        <v>1</v>
      </c>
      <c r="AC34">
        <f>Palmon!AD35</f>
        <v>0</v>
      </c>
      <c r="AD34" t="str">
        <f>IF(Palmon!AE35="","",Palmon!AE35)</f>
        <v>https://encrypted-tbn0.gstatic.com/images?q=tbn:ANd9GcTrE4qGrnpy2BMETqUKNyATj-OrXMdX4IeXcQ&amp;s</v>
      </c>
      <c r="AE34" t="str">
        <f>IF(Palmon!AF35="","",Palmon!AF35)</f>
        <v>https://encrypted-tbn0.gstatic.com/images?q=tbn:ANd9GcSRbCy1ARx2qd0P1rLvdoRvfNqa4pUV20r12A&amp;s</v>
      </c>
      <c r="AF34" t="str">
        <f>Palmon!AG35</f>
        <v xml:space="preserve"> </v>
      </c>
      <c r="AG34">
        <f>Palmon!AH35</f>
        <v>0</v>
      </c>
      <c r="AH34" t="str">
        <f>IF(Palmon!AI35=0,"Non",Palmon!AI35)</f>
        <v>Cryovern</v>
      </c>
      <c r="AI34" t="str">
        <f>IF(Palmon!AJ35=0,"Non",Palmon!AJ35)</f>
        <v>Non</v>
      </c>
      <c r="AJ34">
        <f>Palmon!AK35</f>
        <v>0</v>
      </c>
    </row>
    <row r="35" spans="1:36" x14ac:dyDescent="0.25">
      <c r="A35" t="str">
        <f>Palmon!B36</f>
        <v>Shadowkaeru</v>
      </c>
      <c r="B35" t="str">
        <f>Palmon!C36</f>
        <v>Water</v>
      </c>
      <c r="C35" t="str">
        <f>Palmon!D36</f>
        <v>Attack</v>
      </c>
      <c r="D35">
        <f>Palmon!E36</f>
        <v>0</v>
      </c>
      <c r="E35" t="str">
        <f>Palmon!F36</f>
        <v/>
      </c>
      <c r="F35">
        <f>Palmon!G36</f>
        <v>0</v>
      </c>
      <c r="G35">
        <f>Palmon!H36</f>
        <v>0</v>
      </c>
      <c r="H35">
        <f>Palmon!I36</f>
        <v>0</v>
      </c>
      <c r="I35" t="str">
        <f>Palmon!J36</f>
        <v/>
      </c>
      <c r="J35">
        <f>Palmon!K36</f>
        <v>0</v>
      </c>
      <c r="K35">
        <f>Palmon!L36</f>
        <v>0</v>
      </c>
      <c r="L35" t="str">
        <f>Palmon!M36</f>
        <v/>
      </c>
      <c r="M35" t="str">
        <f>Palmon!N36</f>
        <v/>
      </c>
      <c r="N35">
        <f>Palmon!O36</f>
        <v>0</v>
      </c>
      <c r="O35">
        <f>Palmon!P36</f>
        <v>0</v>
      </c>
      <c r="P35">
        <f>Palmon!Q36</f>
        <v>0</v>
      </c>
      <c r="Q35">
        <f>Palmon!R36</f>
        <v>0</v>
      </c>
      <c r="R35">
        <f>Palmon!S36</f>
        <v>0</v>
      </c>
      <c r="S35">
        <f>Palmon!T36</f>
        <v>0</v>
      </c>
      <c r="T35">
        <f>Palmon!U36</f>
        <v>0</v>
      </c>
      <c r="U35">
        <f>Palmon!V36</f>
        <v>975</v>
      </c>
      <c r="V35">
        <f>Palmon!W36</f>
        <v>0</v>
      </c>
      <c r="W35">
        <f>Palmon!X36</f>
        <v>6424613700</v>
      </c>
      <c r="X35" t="str">
        <f>Palmon!Y36</f>
        <v/>
      </c>
      <c r="Y35">
        <f>Palmon!Z36</f>
        <v>0</v>
      </c>
      <c r="Z35">
        <f>Palmon!AA36</f>
        <v>0</v>
      </c>
      <c r="AA35">
        <f>Palmon!AB36</f>
        <v>36</v>
      </c>
      <c r="AB35" t="str">
        <f>Palmon!AC36</f>
        <v/>
      </c>
      <c r="AC35">
        <f>Palmon!AD36</f>
        <v>0</v>
      </c>
      <c r="AD35" t="str">
        <f>IF(Palmon!AE36="","",Palmon!AE36)</f>
        <v/>
      </c>
      <c r="AE35" t="str">
        <f>IF(Palmon!AF36="","",Palmon!AF36)</f>
        <v xml:space="preserve"> </v>
      </c>
      <c r="AF35" t="str">
        <f>Palmon!AG36</f>
        <v xml:space="preserve"> </v>
      </c>
      <c r="AG35">
        <f>Palmon!AH36</f>
        <v>0</v>
      </c>
      <c r="AH35" t="str">
        <f>IF(Palmon!AI36=0,"Non",Palmon!AI36)</f>
        <v>Non</v>
      </c>
      <c r="AI35" t="str">
        <f>IF(Palmon!AJ36=0,"Non",Palmon!AJ36)</f>
        <v>Non</v>
      </c>
      <c r="AJ35">
        <f>Palmon!AK36</f>
        <v>0</v>
      </c>
    </row>
    <row r="36" spans="1:36" x14ac:dyDescent="0.25">
      <c r="A36" t="str">
        <f>Palmon!B37</f>
        <v>Plunderjaw</v>
      </c>
      <c r="B36" t="str">
        <f>Palmon!C37</f>
        <v>Water</v>
      </c>
      <c r="C36" t="str">
        <f>Palmon!D37</f>
        <v>Attack</v>
      </c>
      <c r="D36">
        <f>Palmon!E37</f>
        <v>0</v>
      </c>
      <c r="E36" t="str">
        <f>Palmon!F37</f>
        <v/>
      </c>
      <c r="F36">
        <f>Palmon!G37</f>
        <v>0</v>
      </c>
      <c r="G36">
        <f>Palmon!H37</f>
        <v>0</v>
      </c>
      <c r="H36">
        <f>Palmon!I37</f>
        <v>2</v>
      </c>
      <c r="I36" t="str">
        <f>Palmon!J37</f>
        <v/>
      </c>
      <c r="J36">
        <f>Palmon!K37</f>
        <v>0</v>
      </c>
      <c r="K36">
        <f>Palmon!L37</f>
        <v>0</v>
      </c>
      <c r="L36" t="str">
        <f>Palmon!M37</f>
        <v/>
      </c>
      <c r="M36" t="str">
        <f>Palmon!N37</f>
        <v/>
      </c>
      <c r="N36">
        <f>Palmon!O37</f>
        <v>0</v>
      </c>
      <c r="O36">
        <f>Palmon!P37</f>
        <v>0</v>
      </c>
      <c r="P36">
        <f>Palmon!Q37</f>
        <v>0</v>
      </c>
      <c r="Q36">
        <f>Palmon!R37</f>
        <v>0</v>
      </c>
      <c r="R36">
        <f>Palmon!S37</f>
        <v>0</v>
      </c>
      <c r="S36">
        <f>Palmon!T37</f>
        <v>0</v>
      </c>
      <c r="T36">
        <f>Palmon!U37</f>
        <v>0</v>
      </c>
      <c r="U36">
        <f>Palmon!V37</f>
        <v>973</v>
      </c>
      <c r="V36">
        <f>Palmon!W37</f>
        <v>0</v>
      </c>
      <c r="W36">
        <f>Palmon!X37</f>
        <v>6424613700</v>
      </c>
      <c r="X36" t="str">
        <f>Palmon!Y37</f>
        <v/>
      </c>
      <c r="Y36">
        <f>Palmon!Z37</f>
        <v>0</v>
      </c>
      <c r="Z36">
        <f>Palmon!AA37</f>
        <v>0</v>
      </c>
      <c r="AA36">
        <f>Palmon!AB37</f>
        <v>37</v>
      </c>
      <c r="AB36" t="str">
        <f>Palmon!AC37</f>
        <v/>
      </c>
      <c r="AC36">
        <f>Palmon!AD37</f>
        <v>0</v>
      </c>
      <c r="AD36" t="str">
        <f>IF(Palmon!AE37="","",Palmon!AE37)</f>
        <v>https://scontent-cdg4-2.xx.fbcdn.net/v/t39.30808-6/649210457_122193691484516338_487581885207006414_n.jpg?_nc_cat=109&amp;ccb=1-7&amp;_nc_sid=13d280&amp;_nc_ohc=wC2lV9slkY0Q7kNvwFsmsEi&amp;_nc_oc=AdoKFb_1lsq4UKznFnmvtUqFji4Fy3cRlYhvboqzO_RsdrIGc0H1ylJ_YUjH-ZC78Mo&amp;_nc_zt=23&amp;_nc_ht=scontent-cdg4-2.xx&amp;_nc_gid=Djk5o2l4ZrQNgbZ5SKGinA&amp;_nc_ss=7a30f&amp;oh=00_AfyKhBvM3HYsSpbWT_gcFpYi9I2AfF0V35uyBreinYCQwQ&amp;oe=69C8204C</v>
      </c>
      <c r="AE36" t="str">
        <f>IF(Palmon!AF37="","",Palmon!AF37)</f>
        <v xml:space="preserve"> </v>
      </c>
      <c r="AF36">
        <f>Palmon!AG37</f>
        <v>0</v>
      </c>
      <c r="AG36">
        <f>Palmon!AH37</f>
        <v>0</v>
      </c>
      <c r="AH36" t="str">
        <f>IF(Palmon!AI37=0,"Non",Palmon!AI37)</f>
        <v>Non</v>
      </c>
      <c r="AI36" t="str">
        <f>IF(Palmon!AJ37=0,"Non",Palmon!AJ37)</f>
        <v>Non</v>
      </c>
      <c r="AJ36">
        <f>Palmon!AK37</f>
        <v>0</v>
      </c>
    </row>
    <row r="37" spans="1:36" x14ac:dyDescent="0.25">
      <c r="A37" t="str">
        <f>Palmon!B38</f>
        <v>Dreadmaw</v>
      </c>
      <c r="B37" t="str">
        <f>Palmon!C38</f>
        <v>Water</v>
      </c>
      <c r="C37" t="str">
        <f>Palmon!D38</f>
        <v>Attack</v>
      </c>
      <c r="D37">
        <f>Palmon!E38</f>
        <v>0</v>
      </c>
      <c r="E37" t="str">
        <f>Palmon!F38</f>
        <v/>
      </c>
      <c r="F37">
        <f>Palmon!G38</f>
        <v>0</v>
      </c>
      <c r="G37">
        <f>Palmon!H38</f>
        <v>0</v>
      </c>
      <c r="H37">
        <f>Palmon!I38</f>
        <v>0</v>
      </c>
      <c r="I37" t="str">
        <f>Palmon!J38</f>
        <v/>
      </c>
      <c r="J37">
        <f>Palmon!K38</f>
        <v>0</v>
      </c>
      <c r="K37">
        <f>Palmon!L38</f>
        <v>0</v>
      </c>
      <c r="L37" t="str">
        <f>Palmon!M38</f>
        <v/>
      </c>
      <c r="M37" t="str">
        <f>Palmon!N38</f>
        <v/>
      </c>
      <c r="N37">
        <f>Palmon!O38</f>
        <v>0</v>
      </c>
      <c r="O37">
        <f>Palmon!P38</f>
        <v>0</v>
      </c>
      <c r="P37">
        <f>Palmon!Q38</f>
        <v>0</v>
      </c>
      <c r="Q37">
        <f>Palmon!R38</f>
        <v>0</v>
      </c>
      <c r="R37">
        <f>Palmon!S38</f>
        <v>0</v>
      </c>
      <c r="S37">
        <f>Palmon!T38</f>
        <v>0</v>
      </c>
      <c r="T37">
        <f>Palmon!U38</f>
        <v>0</v>
      </c>
      <c r="U37">
        <f>Palmon!V38</f>
        <v>975</v>
      </c>
      <c r="V37">
        <f>Palmon!W38</f>
        <v>0</v>
      </c>
      <c r="W37">
        <f>Palmon!X38</f>
        <v>6424613700</v>
      </c>
      <c r="X37" t="str">
        <f>Palmon!Y38</f>
        <v/>
      </c>
      <c r="Y37">
        <f>Palmon!Z38</f>
        <v>0</v>
      </c>
      <c r="Z37">
        <f>Palmon!AA38</f>
        <v>0</v>
      </c>
      <c r="AA37">
        <f>Palmon!AB38</f>
        <v>38</v>
      </c>
      <c r="AB37" t="str">
        <f>Palmon!AC38</f>
        <v/>
      </c>
      <c r="AC37">
        <f>Palmon!AD38</f>
        <v>0</v>
      </c>
      <c r="AD37" t="str">
        <f>IF(Palmon!AE38="","",Palmon!AE38)</f>
        <v>https://scontent-cdg4-2.xx.fbcdn.net/v/t39.30808-6/649210457_122193691484516338_487581885207006414_n.jpg?_nc_cat=109&amp;ccb=1-7&amp;_nc_sid=13d280&amp;_nc_ohc=wC2lV9slkY0Q7kNvwFsmsEi&amp;_nc_oc=AdoKFb_1lsq4UKznFnmvtUqFji4Fy3cRlYhvboqzO_RsdrIGc0H1ylJ_YUjH-ZC78Mo&amp;_nc_zt=23&amp;_nc_ht=scontent-cdg4-2.xx&amp;_nc_gid=Djk5o2l4ZrQNgbZ5SKGinA&amp;_nc_ss=7a30f&amp;oh=00_AfyKhBvM3HYsSpbWT_gcFpYi9I2AfF0V35uyBreinYCQwQ&amp;oe=69C8204C</v>
      </c>
      <c r="AE37" t="str">
        <f>IF(Palmon!AF38="","",Palmon!AF38)</f>
        <v xml:space="preserve"> </v>
      </c>
      <c r="AF37">
        <f>Palmon!AG38</f>
        <v>0</v>
      </c>
      <c r="AG37">
        <f>Palmon!AH38</f>
        <v>0</v>
      </c>
      <c r="AH37" t="str">
        <f>IF(Palmon!AI38=0,"Non",Palmon!AI38)</f>
        <v>Dreadmaw</v>
      </c>
      <c r="AI37" t="str">
        <f>IF(Palmon!AJ38=0,"Non",Palmon!AJ38)</f>
        <v>Non</v>
      </c>
      <c r="AJ37">
        <f>Palmon!AK38</f>
        <v>0</v>
      </c>
    </row>
    <row r="38" spans="1:36" x14ac:dyDescent="0.25">
      <c r="A38" t="str">
        <f>Palmon!B39</f>
        <v>Woozard</v>
      </c>
      <c r="B38" t="str">
        <f>Palmon!C39</f>
        <v>Wood</v>
      </c>
      <c r="C38" t="str">
        <f>Palmon!D39</f>
        <v>Attack</v>
      </c>
      <c r="D38">
        <f>Palmon!E39</f>
        <v>1</v>
      </c>
      <c r="E38">
        <f>Palmon!F39</f>
        <v>1</v>
      </c>
      <c r="F38">
        <f>Palmon!G39</f>
        <v>0</v>
      </c>
      <c r="G38">
        <f>Palmon!H39</f>
        <v>0</v>
      </c>
      <c r="H38">
        <f>Palmon!I39</f>
        <v>0</v>
      </c>
      <c r="I38">
        <f>Palmon!J39</f>
        <v>1</v>
      </c>
      <c r="J38">
        <f>Palmon!K39</f>
        <v>1</v>
      </c>
      <c r="K38">
        <f>Palmon!L39</f>
        <v>1</v>
      </c>
      <c r="L38" t="str">
        <f>Palmon!M39</f>
        <v/>
      </c>
      <c r="M38" t="str">
        <f>Palmon!N39</f>
        <v/>
      </c>
      <c r="N38">
        <f>Palmon!O39</f>
        <v>0</v>
      </c>
      <c r="O38">
        <f>Palmon!P39</f>
        <v>0</v>
      </c>
      <c r="P38">
        <f>Palmon!Q39</f>
        <v>0</v>
      </c>
      <c r="Q38">
        <f>Palmon!R39</f>
        <v>0</v>
      </c>
      <c r="R38">
        <f>Palmon!S39</f>
        <v>0</v>
      </c>
      <c r="S38">
        <f>Palmon!T39</f>
        <v>0</v>
      </c>
      <c r="T38">
        <f>Palmon!U39</f>
        <v>0</v>
      </c>
      <c r="U38">
        <f>Palmon!V39</f>
        <v>975</v>
      </c>
      <c r="V38">
        <f>Palmon!W39</f>
        <v>0</v>
      </c>
      <c r="W38">
        <f>Palmon!X39</f>
        <v>6424613700</v>
      </c>
      <c r="X38">
        <f>Palmon!Y39</f>
        <v>1</v>
      </c>
      <c r="Y38">
        <f>Palmon!Z39</f>
        <v>0</v>
      </c>
      <c r="Z38">
        <f>Palmon!AA39</f>
        <v>1</v>
      </c>
      <c r="AA38">
        <f>Palmon!AB39</f>
        <v>33</v>
      </c>
      <c r="AB38" t="str">
        <f>Palmon!AC39</f>
        <v/>
      </c>
      <c r="AC38">
        <f>Palmon!AD39</f>
        <v>0</v>
      </c>
      <c r="AD38" t="str">
        <f>IF(Palmon!AE39="","",Palmon!AE39)</f>
        <v>https://encrypted-tbn0.gstatic.com/images?q=tbn:ANd9GcQCf63iS9oq-SMn3DO74UTS2j_zSrzNVTRMOQ&amp;s</v>
      </c>
      <c r="AE38" t="str">
        <f>IF(Palmon!AF39="","",Palmon!AF39)</f>
        <v xml:space="preserve"> </v>
      </c>
      <c r="AF38" t="str">
        <f>Palmon!AG39</f>
        <v xml:space="preserve"> </v>
      </c>
      <c r="AG38">
        <f>Palmon!AH39</f>
        <v>0</v>
      </c>
      <c r="AH38" t="str">
        <f>IF(Palmon!AI39=0,"Non",Palmon!AI39)</f>
        <v>Fleurizard</v>
      </c>
      <c r="AI38" t="str">
        <f>IF(Palmon!AJ39=0,"Non",Palmon!AJ39)</f>
        <v>Non</v>
      </c>
      <c r="AJ38">
        <f>Palmon!AK39</f>
        <v>0</v>
      </c>
    </row>
    <row r="39" spans="1:36" x14ac:dyDescent="0.25">
      <c r="A39" t="str">
        <f>Palmon!B40</f>
        <v>Mystiray</v>
      </c>
      <c r="B39" t="str">
        <f>Palmon!C40</f>
        <v>Electricity</v>
      </c>
      <c r="C39" t="str">
        <f>Palmon!D40</f>
        <v>Attack</v>
      </c>
      <c r="D39">
        <f>Palmon!E40</f>
        <v>0</v>
      </c>
      <c r="E39" t="str">
        <f>Palmon!F40</f>
        <v/>
      </c>
      <c r="F39">
        <f>Palmon!G40</f>
        <v>0</v>
      </c>
      <c r="G39">
        <f>Palmon!H40</f>
        <v>0</v>
      </c>
      <c r="H39">
        <f>Palmon!I40</f>
        <v>0</v>
      </c>
      <c r="I39" t="str">
        <f>Palmon!J40</f>
        <v/>
      </c>
      <c r="J39">
        <f>Palmon!K40</f>
        <v>0</v>
      </c>
      <c r="K39">
        <f>Palmon!L40</f>
        <v>0</v>
      </c>
      <c r="L39" t="str">
        <f>Palmon!M40</f>
        <v/>
      </c>
      <c r="M39" t="str">
        <f>Palmon!N40</f>
        <v/>
      </c>
      <c r="N39">
        <f>Palmon!O40</f>
        <v>0</v>
      </c>
      <c r="O39">
        <f>Palmon!P40</f>
        <v>0</v>
      </c>
      <c r="P39">
        <f>Palmon!Q40</f>
        <v>0</v>
      </c>
      <c r="Q39">
        <f>Palmon!R40</f>
        <v>0</v>
      </c>
      <c r="R39">
        <f>Palmon!S40</f>
        <v>0</v>
      </c>
      <c r="S39">
        <f>Palmon!T40</f>
        <v>0</v>
      </c>
      <c r="T39">
        <f>Palmon!U40</f>
        <v>0</v>
      </c>
      <c r="U39">
        <f>Palmon!V40</f>
        <v>975</v>
      </c>
      <c r="V39">
        <f>Palmon!W40</f>
        <v>0</v>
      </c>
      <c r="W39">
        <f>Palmon!X40</f>
        <v>6424613700</v>
      </c>
      <c r="X39" t="str">
        <f>Palmon!Y40</f>
        <v/>
      </c>
      <c r="Y39">
        <f>Palmon!Z40</f>
        <v>0</v>
      </c>
      <c r="Z39">
        <f>Palmon!AA40</f>
        <v>0</v>
      </c>
      <c r="AA39">
        <f>Palmon!AB40</f>
        <v>39</v>
      </c>
      <c r="AB39" t="str">
        <f>Palmon!AC40</f>
        <v/>
      </c>
      <c r="AC39">
        <f>Palmon!AD40</f>
        <v>0</v>
      </c>
      <c r="AD39" t="str">
        <f>IF(Palmon!AE40="","",Palmon!AE40)</f>
        <v/>
      </c>
      <c r="AE39" t="str">
        <f>IF(Palmon!AF40="","",Palmon!AF40)</f>
        <v xml:space="preserve"> </v>
      </c>
      <c r="AF39" t="str">
        <f>Palmon!AG40</f>
        <v xml:space="preserve"> </v>
      </c>
      <c r="AG39">
        <f>Palmon!AH40</f>
        <v>0</v>
      </c>
      <c r="AH39" t="str">
        <f>IF(Palmon!AI40=0,"Non",Palmon!AI40)</f>
        <v>Non</v>
      </c>
      <c r="AI39" t="str">
        <f>IF(Palmon!AJ40=0,"Non",Palmon!AJ40)</f>
        <v>Non</v>
      </c>
      <c r="AJ39">
        <f>Palmon!AK40</f>
        <v>0</v>
      </c>
    </row>
    <row r="40" spans="1:36" x14ac:dyDescent="0.25">
      <c r="A40" t="str">
        <f>Palmon!B41</f>
        <v>Predalynx</v>
      </c>
      <c r="B40" t="str">
        <f>Palmon!C41</f>
        <v>Wood</v>
      </c>
      <c r="C40" t="str">
        <f>Palmon!D41</f>
        <v>Attack</v>
      </c>
      <c r="D40">
        <f>Palmon!E41</f>
        <v>0</v>
      </c>
      <c r="E40" t="str">
        <f>Palmon!F41</f>
        <v/>
      </c>
      <c r="F40">
        <f>Palmon!G41</f>
        <v>0</v>
      </c>
      <c r="G40">
        <f>Palmon!H41</f>
        <v>0</v>
      </c>
      <c r="H40">
        <f>Palmon!I41</f>
        <v>0</v>
      </c>
      <c r="I40" t="str">
        <f>Palmon!J41</f>
        <v/>
      </c>
      <c r="J40">
        <f>Palmon!K41</f>
        <v>0</v>
      </c>
      <c r="K40">
        <f>Palmon!L41</f>
        <v>0</v>
      </c>
      <c r="L40" t="str">
        <f>Palmon!M41</f>
        <v/>
      </c>
      <c r="M40" t="str">
        <f>Palmon!N41</f>
        <v/>
      </c>
      <c r="N40">
        <f>Palmon!O41</f>
        <v>0</v>
      </c>
      <c r="O40">
        <f>Palmon!P41</f>
        <v>0</v>
      </c>
      <c r="P40">
        <f>Palmon!Q41</f>
        <v>0</v>
      </c>
      <c r="Q40">
        <f>Palmon!R41</f>
        <v>0</v>
      </c>
      <c r="R40">
        <f>Palmon!S41</f>
        <v>0</v>
      </c>
      <c r="S40">
        <f>Palmon!T41</f>
        <v>0</v>
      </c>
      <c r="T40">
        <f>Palmon!U41</f>
        <v>0</v>
      </c>
      <c r="U40">
        <f>Palmon!V41</f>
        <v>975</v>
      </c>
      <c r="V40">
        <f>Palmon!W41</f>
        <v>0</v>
      </c>
      <c r="W40">
        <f>Palmon!X41</f>
        <v>6424613700</v>
      </c>
      <c r="X40" t="str">
        <f>Palmon!Y41</f>
        <v/>
      </c>
      <c r="Y40">
        <f>Palmon!Z41</f>
        <v>0</v>
      </c>
      <c r="Z40">
        <f>Palmon!AA41</f>
        <v>0</v>
      </c>
      <c r="AA40">
        <f>Palmon!AB41</f>
        <v>40</v>
      </c>
      <c r="AB40" t="str">
        <f>Palmon!AC41</f>
        <v/>
      </c>
      <c r="AC40">
        <f>Palmon!AD41</f>
        <v>0</v>
      </c>
      <c r="AD40" t="str">
        <f>IF(Palmon!AE41="","",Palmon!AE41)</f>
        <v/>
      </c>
      <c r="AE40" t="str">
        <f>IF(Palmon!AF41="","",Palmon!AF41)</f>
        <v xml:space="preserve"> </v>
      </c>
      <c r="AF40" t="str">
        <f>Palmon!AG41</f>
        <v xml:space="preserve"> </v>
      </c>
      <c r="AG40">
        <f>Palmon!AH41</f>
        <v>0</v>
      </c>
      <c r="AH40" t="str">
        <f>IF(Palmon!AI41=0,"Non",Palmon!AI41)</f>
        <v>Non</v>
      </c>
      <c r="AI40" t="str">
        <f>IF(Palmon!AJ41=0,"Non",Palmon!AJ41)</f>
        <v>Non</v>
      </c>
      <c r="AJ40">
        <f>Palmon!AK41</f>
        <v>0</v>
      </c>
    </row>
    <row r="41" spans="1:36" x14ac:dyDescent="0.25">
      <c r="A41" t="str">
        <f>Palmon!B42</f>
        <v>Solhorn</v>
      </c>
      <c r="B41" t="str">
        <f>Palmon!C42</f>
        <v>Fire</v>
      </c>
      <c r="C41" t="str">
        <f>Palmon!D42</f>
        <v>Attack</v>
      </c>
      <c r="D41">
        <f>Palmon!E42</f>
        <v>0</v>
      </c>
      <c r="E41" t="str">
        <f>Palmon!F42</f>
        <v/>
      </c>
      <c r="F41">
        <f>Palmon!G42</f>
        <v>0</v>
      </c>
      <c r="G41">
        <f>Palmon!H42</f>
        <v>0</v>
      </c>
      <c r="H41">
        <f>Palmon!I42</f>
        <v>0</v>
      </c>
      <c r="I41" t="str">
        <f>Palmon!J42</f>
        <v/>
      </c>
      <c r="J41">
        <f>Palmon!K42</f>
        <v>0</v>
      </c>
      <c r="K41">
        <f>Palmon!L42</f>
        <v>0</v>
      </c>
      <c r="L41" t="str">
        <f>Palmon!M42</f>
        <v/>
      </c>
      <c r="M41" t="str">
        <f>Palmon!N42</f>
        <v/>
      </c>
      <c r="N41">
        <f>Palmon!O42</f>
        <v>0</v>
      </c>
      <c r="O41">
        <f>Palmon!P42</f>
        <v>0</v>
      </c>
      <c r="P41">
        <f>Palmon!Q42</f>
        <v>0</v>
      </c>
      <c r="Q41">
        <f>Palmon!R42</f>
        <v>0</v>
      </c>
      <c r="R41">
        <f>Palmon!S42</f>
        <v>0</v>
      </c>
      <c r="S41">
        <f>Palmon!T42</f>
        <v>0</v>
      </c>
      <c r="T41">
        <f>Palmon!U42</f>
        <v>0</v>
      </c>
      <c r="U41">
        <f>Palmon!V42</f>
        <v>975</v>
      </c>
      <c r="V41">
        <f>Palmon!W42</f>
        <v>0</v>
      </c>
      <c r="W41">
        <f>Palmon!X42</f>
        <v>6424613700</v>
      </c>
      <c r="X41" t="str">
        <f>Palmon!Y42</f>
        <v/>
      </c>
      <c r="Y41">
        <f>Palmon!Z42</f>
        <v>0</v>
      </c>
      <c r="Z41">
        <f>Palmon!AA42</f>
        <v>0</v>
      </c>
      <c r="AA41">
        <f>Palmon!AB42</f>
        <v>41</v>
      </c>
      <c r="AB41" t="str">
        <f>Palmon!AC42</f>
        <v/>
      </c>
      <c r="AC41">
        <f>Palmon!AD42</f>
        <v>0</v>
      </c>
      <c r="AD41" t="str">
        <f>IF(Palmon!AE42="","",Palmon!AE42)</f>
        <v/>
      </c>
      <c r="AE41" t="str">
        <f>IF(Palmon!AF42="","",Palmon!AF42)</f>
        <v xml:space="preserve"> </v>
      </c>
      <c r="AF41" t="str">
        <f>Palmon!AG42</f>
        <v xml:space="preserve"> </v>
      </c>
      <c r="AG41">
        <f>Palmon!AH42</f>
        <v>0</v>
      </c>
      <c r="AH41" t="str">
        <f>IF(Palmon!AI42=0,"Non",Palmon!AI42)</f>
        <v>Non</v>
      </c>
      <c r="AI41" t="str">
        <f>IF(Palmon!AJ42=0,"Non",Palmon!AJ42)</f>
        <v>Non</v>
      </c>
      <c r="AJ41">
        <f>Palmon!AK42</f>
        <v>0</v>
      </c>
    </row>
    <row r="42" spans="1:36" x14ac:dyDescent="0.25">
      <c r="A42" t="str">
        <f>Palmon!B43</f>
        <v>Leviadolph</v>
      </c>
      <c r="B42" t="str">
        <f>Palmon!C43</f>
        <v>Water</v>
      </c>
      <c r="C42" t="str">
        <f>Palmon!D43</f>
        <v>Attack</v>
      </c>
      <c r="D42">
        <f>Palmon!E43</f>
        <v>0</v>
      </c>
      <c r="E42" t="str">
        <f>Palmon!F43</f>
        <v/>
      </c>
      <c r="F42">
        <f>Palmon!G43</f>
        <v>0</v>
      </c>
      <c r="G42">
        <f>Palmon!H43</f>
        <v>0</v>
      </c>
      <c r="H42">
        <f>Palmon!I43</f>
        <v>0</v>
      </c>
      <c r="I42" t="str">
        <f>Palmon!J43</f>
        <v/>
      </c>
      <c r="J42">
        <f>Palmon!K43</f>
        <v>0</v>
      </c>
      <c r="K42">
        <f>Palmon!L43</f>
        <v>0</v>
      </c>
      <c r="L42" t="str">
        <f>Palmon!M43</f>
        <v/>
      </c>
      <c r="M42" t="str">
        <f>Palmon!N43</f>
        <v/>
      </c>
      <c r="N42">
        <f>Palmon!O43</f>
        <v>0</v>
      </c>
      <c r="O42">
        <f>Palmon!P43</f>
        <v>0</v>
      </c>
      <c r="P42">
        <f>Palmon!Q43</f>
        <v>0</v>
      </c>
      <c r="Q42">
        <f>Palmon!R43</f>
        <v>0</v>
      </c>
      <c r="R42">
        <f>Palmon!S43</f>
        <v>0</v>
      </c>
      <c r="S42">
        <f>Palmon!T43</f>
        <v>0</v>
      </c>
      <c r="T42">
        <f>Palmon!U43</f>
        <v>0</v>
      </c>
      <c r="U42">
        <f>Palmon!V43</f>
        <v>975</v>
      </c>
      <c r="V42">
        <f>Palmon!W43</f>
        <v>0</v>
      </c>
      <c r="W42">
        <f>Palmon!X43</f>
        <v>6424613700</v>
      </c>
      <c r="X42" t="str">
        <f>Palmon!Y43</f>
        <v/>
      </c>
      <c r="Y42">
        <f>Palmon!Z43</f>
        <v>0</v>
      </c>
      <c r="Z42">
        <f>Palmon!AA43</f>
        <v>0</v>
      </c>
      <c r="AA42">
        <f>Palmon!AB43</f>
        <v>42</v>
      </c>
      <c r="AB42" t="str">
        <f>Palmon!AC43</f>
        <v/>
      </c>
      <c r="AC42">
        <f>Palmon!AD43</f>
        <v>0</v>
      </c>
      <c r="AD42" t="str">
        <f>IF(Palmon!AE43="","",Palmon!AE43)</f>
        <v/>
      </c>
      <c r="AE42" t="str">
        <f>IF(Palmon!AF43="","",Palmon!AF43)</f>
        <v xml:space="preserve"> </v>
      </c>
      <c r="AF42" t="str">
        <f>Palmon!AG43</f>
        <v xml:space="preserve"> </v>
      </c>
      <c r="AG42">
        <f>Palmon!AH43</f>
        <v>0</v>
      </c>
      <c r="AH42" t="str">
        <f>IF(Palmon!AI43=0,"Non",Palmon!AI43)</f>
        <v>Non</v>
      </c>
      <c r="AI42" t="str">
        <f>IF(Palmon!AJ43=0,"Non",Palmon!AJ43)</f>
        <v>Non</v>
      </c>
      <c r="AJ42">
        <f>Palmon!AK43</f>
        <v>0</v>
      </c>
    </row>
    <row r="43" spans="1:36" x14ac:dyDescent="0.25">
      <c r="A43" t="str">
        <f>Palmon!B44</f>
        <v>Voltfang</v>
      </c>
      <c r="B43" t="str">
        <f>Palmon!C44</f>
        <v>Electricity</v>
      </c>
      <c r="C43" t="str">
        <f>Palmon!D44</f>
        <v>Attack</v>
      </c>
      <c r="D43">
        <f>Palmon!E44</f>
        <v>0</v>
      </c>
      <c r="E43" t="str">
        <f>Palmon!F44</f>
        <v/>
      </c>
      <c r="F43">
        <f>Palmon!G44</f>
        <v>0</v>
      </c>
      <c r="G43">
        <f>Palmon!H44</f>
        <v>0</v>
      </c>
      <c r="H43">
        <f>Palmon!I44</f>
        <v>0</v>
      </c>
      <c r="I43" t="str">
        <f>Palmon!J44</f>
        <v/>
      </c>
      <c r="J43">
        <f>Palmon!K44</f>
        <v>0</v>
      </c>
      <c r="K43">
        <f>Palmon!L44</f>
        <v>0</v>
      </c>
      <c r="L43" t="str">
        <f>Palmon!M44</f>
        <v/>
      </c>
      <c r="M43" t="str">
        <f>Palmon!N44</f>
        <v/>
      </c>
      <c r="N43">
        <f>Palmon!O44</f>
        <v>0</v>
      </c>
      <c r="O43">
        <f>Palmon!P44</f>
        <v>0</v>
      </c>
      <c r="P43">
        <f>Palmon!Q44</f>
        <v>0</v>
      </c>
      <c r="Q43">
        <f>Palmon!R44</f>
        <v>0</v>
      </c>
      <c r="R43">
        <f>Palmon!S44</f>
        <v>0</v>
      </c>
      <c r="S43">
        <f>Palmon!T44</f>
        <v>0</v>
      </c>
      <c r="T43">
        <f>Palmon!U44</f>
        <v>0</v>
      </c>
      <c r="U43">
        <f>Palmon!V44</f>
        <v>975</v>
      </c>
      <c r="V43">
        <f>Palmon!W44</f>
        <v>0</v>
      </c>
      <c r="W43">
        <f>Palmon!X44</f>
        <v>6424613700</v>
      </c>
      <c r="X43" t="str">
        <f>Palmon!Y44</f>
        <v/>
      </c>
      <c r="Y43">
        <f>Palmon!Z44</f>
        <v>0</v>
      </c>
      <c r="Z43">
        <f>Palmon!AA44</f>
        <v>0</v>
      </c>
      <c r="AA43">
        <f>Palmon!AB44</f>
        <v>43</v>
      </c>
      <c r="AB43" t="str">
        <f>Palmon!AC44</f>
        <v/>
      </c>
      <c r="AC43">
        <f>Palmon!AD44</f>
        <v>0</v>
      </c>
      <c r="AD43" t="str">
        <f>IF(Palmon!AE44="","",Palmon!AE44)</f>
        <v/>
      </c>
      <c r="AE43" t="str">
        <f>IF(Palmon!AF44="","",Palmon!AF44)</f>
        <v xml:space="preserve"> </v>
      </c>
      <c r="AF43" t="str">
        <f>Palmon!AG44</f>
        <v xml:space="preserve"> </v>
      </c>
      <c r="AG43">
        <f>Palmon!AH44</f>
        <v>0</v>
      </c>
      <c r="AH43" t="str">
        <f>IF(Palmon!AI44=0,"Non",Palmon!AI44)</f>
        <v>Non</v>
      </c>
      <c r="AI43" t="str">
        <f>IF(Palmon!AJ44=0,"Non",Palmon!AJ44)</f>
        <v>Non</v>
      </c>
      <c r="AJ43">
        <f>Palmon!AK44</f>
        <v>0</v>
      </c>
    </row>
    <row r="44" spans="1:36" x14ac:dyDescent="0.25">
      <c r="A44" t="str">
        <f>Palmon!B45</f>
        <v>Leafgarde</v>
      </c>
      <c r="B44" t="str">
        <f>Palmon!C45</f>
        <v>Wood</v>
      </c>
      <c r="C44" t="str">
        <f>Palmon!D45</f>
        <v>Attack</v>
      </c>
      <c r="D44">
        <f>Palmon!E45</f>
        <v>0</v>
      </c>
      <c r="E44" t="str">
        <f>Palmon!F45</f>
        <v/>
      </c>
      <c r="F44">
        <f>Palmon!G45</f>
        <v>0</v>
      </c>
      <c r="G44">
        <f>Palmon!H45</f>
        <v>0</v>
      </c>
      <c r="H44">
        <f>Palmon!I45</f>
        <v>0</v>
      </c>
      <c r="I44" t="str">
        <f>Palmon!J45</f>
        <v/>
      </c>
      <c r="J44">
        <f>Palmon!K45</f>
        <v>0</v>
      </c>
      <c r="K44">
        <f>Palmon!L45</f>
        <v>0</v>
      </c>
      <c r="L44" t="str">
        <f>Palmon!M45</f>
        <v/>
      </c>
      <c r="M44" t="str">
        <f>Palmon!N45</f>
        <v/>
      </c>
      <c r="N44">
        <f>Palmon!O45</f>
        <v>0</v>
      </c>
      <c r="O44">
        <f>Palmon!P45</f>
        <v>0</v>
      </c>
      <c r="P44">
        <f>Palmon!Q45</f>
        <v>0</v>
      </c>
      <c r="Q44">
        <f>Palmon!R45</f>
        <v>0</v>
      </c>
      <c r="R44">
        <f>Palmon!S45</f>
        <v>0</v>
      </c>
      <c r="S44">
        <f>Palmon!T45</f>
        <v>0</v>
      </c>
      <c r="T44">
        <f>Palmon!U45</f>
        <v>0</v>
      </c>
      <c r="U44">
        <f>Palmon!V45</f>
        <v>975</v>
      </c>
      <c r="V44">
        <f>Palmon!W45</f>
        <v>0</v>
      </c>
      <c r="W44">
        <f>Palmon!X45</f>
        <v>6424613700</v>
      </c>
      <c r="X44" t="str">
        <f>Palmon!Y45</f>
        <v/>
      </c>
      <c r="Y44">
        <f>Palmon!Z45</f>
        <v>0</v>
      </c>
      <c r="Z44">
        <f>Palmon!AA45</f>
        <v>0</v>
      </c>
      <c r="AA44">
        <f>Palmon!AB45</f>
        <v>44</v>
      </c>
      <c r="AB44" t="str">
        <f>Palmon!AC45</f>
        <v/>
      </c>
      <c r="AC44">
        <f>Palmon!AD45</f>
        <v>0</v>
      </c>
      <c r="AD44" t="str">
        <f>IF(Palmon!AE45="","",Palmon!AE45)</f>
        <v/>
      </c>
      <c r="AE44" t="str">
        <f>IF(Palmon!AF45="","",Palmon!AF45)</f>
        <v xml:space="preserve"> </v>
      </c>
      <c r="AF44" t="str">
        <f>Palmon!AG45</f>
        <v xml:space="preserve"> </v>
      </c>
      <c r="AG44">
        <f>Palmon!AH45</f>
        <v>0</v>
      </c>
      <c r="AH44" t="str">
        <f>IF(Palmon!AI45=0,"Non",Palmon!AI45)</f>
        <v>Non</v>
      </c>
      <c r="AI44" t="str">
        <f>IF(Palmon!AJ45=0,"Non",Palmon!AJ45)</f>
        <v>Non</v>
      </c>
      <c r="AJ44">
        <f>Palmon!AK45</f>
        <v>0</v>
      </c>
    </row>
    <row r="45" spans="1:36" x14ac:dyDescent="0.25">
      <c r="A45" t="str">
        <f>Palmon!B46</f>
        <v>Inferdrake</v>
      </c>
      <c r="B45" t="str">
        <f>Palmon!C46</f>
        <v>Fire</v>
      </c>
      <c r="C45" t="str">
        <f>Palmon!D46</f>
        <v>Attack</v>
      </c>
      <c r="D45">
        <f>Palmon!E46</f>
        <v>0</v>
      </c>
      <c r="E45" t="str">
        <f>Palmon!F46</f>
        <v/>
      </c>
      <c r="F45">
        <f>Palmon!G46</f>
        <v>0</v>
      </c>
      <c r="G45">
        <f>Palmon!H46</f>
        <v>0</v>
      </c>
      <c r="H45">
        <f>Palmon!I46</f>
        <v>0</v>
      </c>
      <c r="I45" t="str">
        <f>Palmon!J46</f>
        <v/>
      </c>
      <c r="J45">
        <f>Palmon!K46</f>
        <v>0</v>
      </c>
      <c r="K45">
        <f>Palmon!L46</f>
        <v>0</v>
      </c>
      <c r="L45" t="str">
        <f>Palmon!M46</f>
        <v/>
      </c>
      <c r="M45" t="str">
        <f>Palmon!N46</f>
        <v/>
      </c>
      <c r="N45">
        <f>Palmon!O46</f>
        <v>0</v>
      </c>
      <c r="O45">
        <f>Palmon!P46</f>
        <v>0</v>
      </c>
      <c r="P45">
        <f>Palmon!Q46</f>
        <v>0</v>
      </c>
      <c r="Q45">
        <f>Palmon!R46</f>
        <v>0</v>
      </c>
      <c r="R45">
        <f>Palmon!S46</f>
        <v>0</v>
      </c>
      <c r="S45">
        <f>Palmon!T46</f>
        <v>0</v>
      </c>
      <c r="T45">
        <f>Palmon!U46</f>
        <v>0</v>
      </c>
      <c r="U45">
        <f>Palmon!V46</f>
        <v>975</v>
      </c>
      <c r="V45">
        <f>Palmon!W46</f>
        <v>0</v>
      </c>
      <c r="W45">
        <f>Palmon!X46</f>
        <v>6424613700</v>
      </c>
      <c r="X45" t="str">
        <f>Palmon!Y46</f>
        <v/>
      </c>
      <c r="Y45">
        <f>Palmon!Z46</f>
        <v>0</v>
      </c>
      <c r="Z45">
        <f>Palmon!AA46</f>
        <v>0</v>
      </c>
      <c r="AA45">
        <f>Palmon!AB46</f>
        <v>45</v>
      </c>
      <c r="AB45" t="str">
        <f>Palmon!AC46</f>
        <v/>
      </c>
      <c r="AC45">
        <f>Palmon!AD46</f>
        <v>0</v>
      </c>
      <c r="AD45" t="str">
        <f>IF(Palmon!AE46="","",Palmon!AE46)</f>
        <v/>
      </c>
      <c r="AE45" t="str">
        <f>IF(Palmon!AF46="","",Palmon!AF46)</f>
        <v xml:space="preserve"> </v>
      </c>
      <c r="AF45" t="str">
        <f>Palmon!AG46</f>
        <v xml:space="preserve"> </v>
      </c>
      <c r="AG45">
        <f>Palmon!AH46</f>
        <v>0</v>
      </c>
      <c r="AH45" t="str">
        <f>IF(Palmon!AI46=0,"Non",Palmon!AI46)</f>
        <v>Non</v>
      </c>
      <c r="AI45" t="str">
        <f>IF(Palmon!AJ46=0,"Non",Palmon!AJ46)</f>
        <v>Non</v>
      </c>
      <c r="AJ45">
        <f>Palmon!AK46</f>
        <v>0</v>
      </c>
    </row>
    <row r="46" spans="1:36" x14ac:dyDescent="0.25">
      <c r="A46" t="str">
        <f>Palmon!B47</f>
        <v>Revontulet</v>
      </c>
      <c r="B46" t="str">
        <f>Palmon!C47</f>
        <v>Fire</v>
      </c>
      <c r="C46" t="str">
        <f>Palmon!D47</f>
        <v>Attack</v>
      </c>
      <c r="D46">
        <f>Palmon!E47</f>
        <v>160</v>
      </c>
      <c r="E46">
        <f>Palmon!F47</f>
        <v>1</v>
      </c>
      <c r="F46">
        <f>Palmon!G47</f>
        <v>2</v>
      </c>
      <c r="G46">
        <f>Palmon!H47</f>
        <v>2.2999999999999998</v>
      </c>
      <c r="H46">
        <f>Palmon!I47</f>
        <v>0</v>
      </c>
      <c r="I46">
        <f>Palmon!J47</f>
        <v>1</v>
      </c>
      <c r="J46">
        <f>Palmon!K47</f>
        <v>1</v>
      </c>
      <c r="K46">
        <f>Palmon!L47</f>
        <v>1</v>
      </c>
      <c r="L46" t="str">
        <f>Palmon!M47</f>
        <v/>
      </c>
      <c r="M46" t="str">
        <f>Palmon!N47</f>
        <v/>
      </c>
      <c r="N46">
        <f>Palmon!O47</f>
        <v>0</v>
      </c>
      <c r="O46">
        <f>Palmon!P47</f>
        <v>1</v>
      </c>
      <c r="P46">
        <f>Palmon!Q47</f>
        <v>1</v>
      </c>
      <c r="Q46">
        <f>Palmon!R47</f>
        <v>0.59999999999999964</v>
      </c>
      <c r="R46">
        <f>Palmon!S47</f>
        <v>0</v>
      </c>
      <c r="S46">
        <f>Palmon!T47</f>
        <v>0</v>
      </c>
      <c r="T46">
        <f>Palmon!U47</f>
        <v>0.13846153846153844</v>
      </c>
      <c r="U46">
        <f>Palmon!V47</f>
        <v>840</v>
      </c>
      <c r="V46">
        <f>Palmon!W47</f>
        <v>0</v>
      </c>
      <c r="W46">
        <f>Palmon!X47</f>
        <v>6299740000</v>
      </c>
      <c r="X46">
        <f>Palmon!Y47</f>
        <v>1</v>
      </c>
      <c r="Y46">
        <f>Palmon!Z47</f>
        <v>0</v>
      </c>
      <c r="Z46">
        <f>Palmon!AA47</f>
        <v>2460</v>
      </c>
      <c r="AA46">
        <f>Palmon!AB47</f>
        <v>27</v>
      </c>
      <c r="AB46" t="str">
        <f>Palmon!AC47</f>
        <v/>
      </c>
      <c r="AC46">
        <f>Palmon!AD47</f>
        <v>0</v>
      </c>
      <c r="AD46" t="str">
        <f>IF(Palmon!AE47="","",Palmon!AE47)</f>
        <v/>
      </c>
      <c r="AE46" t="str">
        <f>IF(Palmon!AF47="","",Palmon!AF47)</f>
        <v xml:space="preserve"> </v>
      </c>
      <c r="AF46" t="str">
        <f>Palmon!AG47</f>
        <v xml:space="preserve"> </v>
      </c>
      <c r="AG46">
        <f>Palmon!AH47</f>
        <v>0</v>
      </c>
      <c r="AH46" t="str">
        <f>IF(Palmon!AI47=0,"Non",Palmon!AI47)</f>
        <v>Vulpyrean</v>
      </c>
      <c r="AI46" t="str">
        <f>IF(Palmon!AJ47=0,"Non",Palmon!AJ47)</f>
        <v>Non</v>
      </c>
      <c r="AJ46">
        <f>Palmon!AK47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2BA4-36EE-4A42-BDE7-84D3F7F93518}">
  <sheetPr codeName="Feuil1"/>
  <dimension ref="B1:W236"/>
  <sheetViews>
    <sheetView topLeftCell="A24" workbookViewId="0">
      <selection activeCell="M42" sqref="M42"/>
    </sheetView>
  </sheetViews>
  <sheetFormatPr baseColWidth="10" defaultRowHeight="15" x14ac:dyDescent="0.25"/>
  <cols>
    <col min="16" max="16" width="12.5703125" bestFit="1" customWidth="1"/>
    <col min="20" max="23" width="11.42578125" style="1"/>
  </cols>
  <sheetData>
    <row r="1" spans="2:23" ht="15.75" thickBot="1" x14ac:dyDescent="0.3"/>
    <row r="2" spans="2:23" ht="15.75" thickBot="1" x14ac:dyDescent="0.3">
      <c r="B2" s="1"/>
      <c r="C2" s="1"/>
      <c r="D2" s="1"/>
      <c r="E2" s="274" t="s">
        <v>91</v>
      </c>
      <c r="F2" s="275"/>
      <c r="G2" s="275"/>
      <c r="H2" s="275"/>
      <c r="I2" s="275"/>
      <c r="J2" s="276"/>
      <c r="L2" s="1"/>
      <c r="M2" s="274" t="s">
        <v>109</v>
      </c>
      <c r="N2" s="275"/>
      <c r="O2" s="275"/>
      <c r="P2" s="275"/>
      <c r="Q2" s="275"/>
      <c r="R2" s="275"/>
      <c r="S2" s="276"/>
    </row>
    <row r="3" spans="2:23" ht="15.75" thickBot="1" x14ac:dyDescent="0.3">
      <c r="B3" s="1" t="str" cm="1">
        <f t="array" ref="B3:I37">_xlfn.PIVOTBY(Palmon!B2:D47,IFERROR(Palmon!G2:G47+1,"To Next Step"),_xlfn.LAMBDA(_xlpm.x,IFERROR(VLOOKUP(Palmon!G2:G47+1,StepNeeds,4,FALSE)-NeedsFull*_xlpm.x-Palmon!I2:I47,""))(Palmon!U2:U47),_xleta.MAX,3,0,,0,,Palmon!G2:G47&gt;0)</f>
        <v/>
      </c>
      <c r="C3" s="1" t="str">
        <v/>
      </c>
      <c r="D3" s="1" t="str">
        <v/>
      </c>
      <c r="E3" s="50" t="str">
        <v>To Next Step</v>
      </c>
      <c r="F3" s="48" t="str">
        <v/>
      </c>
      <c r="G3" s="48" t="str">
        <v/>
      </c>
      <c r="H3" s="48" t="str">
        <v/>
      </c>
      <c r="I3" s="48" t="str">
        <v/>
      </c>
      <c r="J3" s="49"/>
      <c r="L3" s="5" t="str" cm="1">
        <f t="array" ref="L3:S8">_xlfn.PIVOTBY(Tableaux!N2:N226,IF(Tableaux!O2:O226=0,"Essence",Tableaux!O2:O226),Tableaux!Q2:Q226,_xleta.SUM,1,1,,0)</f>
        <v/>
      </c>
      <c r="M3" s="38">
        <v>1</v>
      </c>
      <c r="N3" s="41">
        <v>2</v>
      </c>
      <c r="O3" s="41">
        <v>3</v>
      </c>
      <c r="P3" s="41">
        <v>4</v>
      </c>
      <c r="Q3" s="41">
        <v>5</v>
      </c>
      <c r="R3" s="41">
        <v>6</v>
      </c>
      <c r="S3" s="43" t="str">
        <v>Essence</v>
      </c>
    </row>
    <row r="4" spans="2:23" ht="15.75" thickBot="1" x14ac:dyDescent="0.3">
      <c r="B4" s="1" t="str">
        <v/>
      </c>
      <c r="C4" s="1" t="str">
        <v/>
      </c>
      <c r="D4" s="1" t="str">
        <v/>
      </c>
      <c r="E4" s="38">
        <v>2</v>
      </c>
      <c r="F4" s="41">
        <v>3</v>
      </c>
      <c r="G4" s="41">
        <v>4</v>
      </c>
      <c r="H4" s="41">
        <v>5</v>
      </c>
      <c r="I4" s="41">
        <v>6</v>
      </c>
      <c r="J4" s="43"/>
      <c r="L4" s="130">
        <v>1</v>
      </c>
      <c r="M4" s="132">
        <v>6000</v>
      </c>
      <c r="N4" s="133">
        <v>7000</v>
      </c>
      <c r="O4" s="133">
        <v>8000</v>
      </c>
      <c r="P4" s="133">
        <v>9000</v>
      </c>
      <c r="Q4" s="133" t="str">
        <v/>
      </c>
      <c r="R4" s="133" t="str">
        <v/>
      </c>
      <c r="S4" s="134">
        <v>20</v>
      </c>
    </row>
    <row r="5" spans="2:23" x14ac:dyDescent="0.25">
      <c r="B5" s="34" t="str">
        <v>Name</v>
      </c>
      <c r="C5" s="35" t="str">
        <v>Type</v>
      </c>
      <c r="D5" s="35" t="str">
        <v>Skill</v>
      </c>
      <c r="E5" s="38" t="str">
        <v/>
      </c>
      <c r="F5" s="42" t="str">
        <v/>
      </c>
      <c r="G5" s="42" t="str">
        <v/>
      </c>
      <c r="H5" s="42" t="str">
        <v/>
      </c>
      <c r="I5" s="42" t="str">
        <v/>
      </c>
      <c r="J5" s="44"/>
      <c r="L5" s="131">
        <v>2</v>
      </c>
      <c r="M5" s="132">
        <v>9000</v>
      </c>
      <c r="N5" s="133">
        <v>9000</v>
      </c>
      <c r="O5" s="133">
        <v>10000</v>
      </c>
      <c r="P5" s="133">
        <v>10000</v>
      </c>
      <c r="Q5" s="133">
        <v>11000</v>
      </c>
      <c r="R5" s="133">
        <v>11000</v>
      </c>
      <c r="S5" s="134">
        <v>40</v>
      </c>
    </row>
    <row r="6" spans="2:23" x14ac:dyDescent="0.25">
      <c r="B6" s="36" t="str">
        <v>Abuzzinian</v>
      </c>
      <c r="C6" s="32" t="str">
        <v>Electricity</v>
      </c>
      <c r="D6" s="47" t="str">
        <v>Defend</v>
      </c>
      <c r="E6" s="39" t="str">
        <v/>
      </c>
      <c r="F6" s="33" t="str">
        <v/>
      </c>
      <c r="G6" s="33" t="str">
        <v/>
      </c>
      <c r="H6" s="33">
        <v>386.00000000000034</v>
      </c>
      <c r="I6" s="33" t="str">
        <v/>
      </c>
      <c r="J6" s="40"/>
      <c r="L6" s="131">
        <v>3</v>
      </c>
      <c r="M6" s="132">
        <v>12000</v>
      </c>
      <c r="N6" s="133">
        <v>13000</v>
      </c>
      <c r="O6" s="133">
        <v>14000</v>
      </c>
      <c r="P6" s="133">
        <v>15000</v>
      </c>
      <c r="Q6" s="133">
        <v>17000</v>
      </c>
      <c r="R6" s="133">
        <v>19000</v>
      </c>
      <c r="S6" s="134">
        <v>80</v>
      </c>
    </row>
    <row r="7" spans="2:23" x14ac:dyDescent="0.25">
      <c r="B7" s="36" t="str">
        <v>Baboom</v>
      </c>
      <c r="C7" s="32" t="str">
        <v>Wood</v>
      </c>
      <c r="D7" s="47" t="str">
        <v>Attack</v>
      </c>
      <c r="E7" s="39" t="str">
        <v/>
      </c>
      <c r="F7" s="33" t="str">
        <v/>
      </c>
      <c r="G7" s="33">
        <v>290</v>
      </c>
      <c r="H7" s="33" t="str">
        <v/>
      </c>
      <c r="I7" s="33" t="str">
        <v/>
      </c>
      <c r="J7" s="40"/>
      <c r="L7" s="131">
        <v>4</v>
      </c>
      <c r="M7" s="132">
        <v>22000</v>
      </c>
      <c r="N7" s="133">
        <v>26000</v>
      </c>
      <c r="O7" s="133">
        <v>30000</v>
      </c>
      <c r="P7" s="133">
        <v>38000</v>
      </c>
      <c r="Q7" s="133">
        <v>46000</v>
      </c>
      <c r="R7" s="133">
        <v>58000</v>
      </c>
      <c r="S7" s="134">
        <v>160</v>
      </c>
    </row>
    <row r="8" spans="2:23" ht="15.75" thickBot="1" x14ac:dyDescent="0.3">
      <c r="B8" s="36" t="str">
        <v>Barkplug</v>
      </c>
      <c r="C8" s="32" t="str">
        <v>Electricity</v>
      </c>
      <c r="D8" s="47" t="str">
        <v>Defend</v>
      </c>
      <c r="E8" s="39" t="str">
        <v/>
      </c>
      <c r="F8" s="33" t="str">
        <v/>
      </c>
      <c r="G8" s="33">
        <v>300</v>
      </c>
      <c r="H8" s="33" t="str">
        <v/>
      </c>
      <c r="I8" s="33" t="str">
        <v/>
      </c>
      <c r="J8" s="40"/>
      <c r="L8" s="84" t="str">
        <v>Total</v>
      </c>
      <c r="M8" s="135">
        <v>49000</v>
      </c>
      <c r="N8" s="136">
        <v>55000</v>
      </c>
      <c r="O8" s="136">
        <v>62000</v>
      </c>
      <c r="P8" s="136">
        <v>72000</v>
      </c>
      <c r="Q8" s="137">
        <v>74000</v>
      </c>
      <c r="R8" s="137">
        <v>88000</v>
      </c>
      <c r="S8" s="138">
        <v>300</v>
      </c>
    </row>
    <row r="9" spans="2:23" x14ac:dyDescent="0.25">
      <c r="B9" s="36" t="str">
        <v>Battereina</v>
      </c>
      <c r="C9" s="32" t="str">
        <v>Electricity</v>
      </c>
      <c r="D9" s="47" t="str">
        <v>Attack</v>
      </c>
      <c r="E9" s="39" t="str">
        <v/>
      </c>
      <c r="F9" s="33" t="str">
        <v/>
      </c>
      <c r="G9" s="33" t="str">
        <v/>
      </c>
      <c r="H9" s="33">
        <v>500</v>
      </c>
      <c r="I9" s="33" t="str">
        <v/>
      </c>
      <c r="J9" s="40"/>
      <c r="L9" s="90" t="s">
        <v>110</v>
      </c>
      <c r="M9" s="139">
        <f>S8</f>
        <v>300</v>
      </c>
      <c r="N9" s="1"/>
      <c r="O9" s="1"/>
      <c r="P9" s="1"/>
      <c r="Q9" s="1"/>
      <c r="R9" s="1"/>
      <c r="S9" s="1"/>
    </row>
    <row r="10" spans="2:23" x14ac:dyDescent="0.25">
      <c r="B10" s="36" t="str">
        <v>Blazeal</v>
      </c>
      <c r="C10" s="32" t="str">
        <v>Fire</v>
      </c>
      <c r="D10" s="47" t="str">
        <v>Attack</v>
      </c>
      <c r="E10" s="39" t="str">
        <v/>
      </c>
      <c r="F10" s="33" t="str">
        <v/>
      </c>
      <c r="G10" s="33">
        <v>290</v>
      </c>
      <c r="H10" s="33" t="str">
        <v/>
      </c>
      <c r="I10" s="33" t="str">
        <v/>
      </c>
      <c r="J10" s="40"/>
      <c r="L10" s="90" t="s">
        <v>108</v>
      </c>
      <c r="M10" s="139">
        <f>SUM(M8:R8)</f>
        <v>400000</v>
      </c>
      <c r="N10" s="1"/>
      <c r="O10" s="1"/>
      <c r="P10" s="1"/>
      <c r="Q10" s="1"/>
      <c r="R10" s="1"/>
      <c r="S10" s="1"/>
    </row>
    <row r="11" spans="2:23" ht="15.75" thickBot="1" x14ac:dyDescent="0.3">
      <c r="B11" s="36" t="str">
        <v>Bufonobi</v>
      </c>
      <c r="C11" s="32" t="str">
        <v>Water</v>
      </c>
      <c r="D11" s="47" t="str">
        <v>Attack</v>
      </c>
      <c r="E11" s="39" t="str">
        <v/>
      </c>
      <c r="F11" s="33" t="str">
        <v/>
      </c>
      <c r="G11" s="33" t="str">
        <v/>
      </c>
      <c r="H11" s="33" t="str">
        <v/>
      </c>
      <c r="I11" s="33">
        <v>0</v>
      </c>
      <c r="J11" s="40"/>
      <c r="L11" s="1"/>
      <c r="M11" s="1"/>
      <c r="N11" s="1"/>
      <c r="O11" s="1"/>
      <c r="P11" s="1"/>
      <c r="Q11" s="1"/>
      <c r="R11" s="1"/>
      <c r="S11" s="1"/>
    </row>
    <row r="12" spans="2:23" ht="15.75" thickBot="1" x14ac:dyDescent="0.3">
      <c r="B12" s="36" t="str">
        <v>Dolphriend</v>
      </c>
      <c r="C12" s="32" t="str">
        <v>Water</v>
      </c>
      <c r="D12" s="47" t="str">
        <v>Defend</v>
      </c>
      <c r="E12" s="39" t="str">
        <v/>
      </c>
      <c r="F12" s="33">
        <v>19</v>
      </c>
      <c r="G12" s="33" t="str">
        <v/>
      </c>
      <c r="H12" s="33" t="str">
        <v/>
      </c>
      <c r="I12" s="33" t="str">
        <v/>
      </c>
      <c r="J12" s="40"/>
      <c r="L12" s="1"/>
      <c r="M12" s="274" t="str">
        <f>TCD!E2 &amp; " per Type"</f>
        <v>Palmon upgrade costs per Type</v>
      </c>
      <c r="N12" s="275"/>
      <c r="O12" s="275"/>
      <c r="P12" s="275"/>
      <c r="Q12" s="276"/>
      <c r="R12" s="1"/>
    </row>
    <row r="13" spans="2:23" x14ac:dyDescent="0.25">
      <c r="B13" s="36" t="str">
        <v>Escarffier</v>
      </c>
      <c r="C13" s="32" t="str">
        <v>Fire</v>
      </c>
      <c r="D13" s="47" t="str">
        <v>Defend</v>
      </c>
      <c r="E13" s="39" t="str">
        <v/>
      </c>
      <c r="F13" s="33">
        <v>12</v>
      </c>
      <c r="G13" s="33" t="str">
        <v/>
      </c>
      <c r="H13" s="33" t="str">
        <v/>
      </c>
      <c r="I13" s="33" t="str">
        <v/>
      </c>
      <c r="J13" s="40"/>
      <c r="L13" s="1" t="str" cm="1">
        <f t="array" ref="L13:Q20">_xlfn.PIVOTBY(Palmon!C2:C31,IFERROR(Palmon!G2:G31+1,"To Next Step"),_xlfn.LAMBDA(_xlpm.x,IFERROR(VLOOKUP(Palmon!G2:G31+1,StepNeeds,4,FALSE)-NeedsFull*_xlpm.x-Palmon!I2:I31,""))(Palmon!U2:U31),_xleta.MAX,3,1,,1,,Palmon!G2:G31&lt;5)</f>
        <v/>
      </c>
      <c r="M13" s="50" t="str">
        <v>To Next Step</v>
      </c>
      <c r="N13" s="51" t="str">
        <v/>
      </c>
      <c r="O13" s="51" t="str">
        <v/>
      </c>
      <c r="P13" s="51" t="str">
        <v/>
      </c>
      <c r="Q13" s="52" t="str">
        <v/>
      </c>
      <c r="R13" s="1"/>
    </row>
    <row r="14" spans="2:23" ht="15.75" thickBot="1" x14ac:dyDescent="0.3">
      <c r="B14" s="36" t="str">
        <v>Fingenue</v>
      </c>
      <c r="C14" s="32" t="str">
        <v>Water</v>
      </c>
      <c r="D14" s="47" t="str">
        <v>Attack</v>
      </c>
      <c r="E14" s="39" t="str">
        <v/>
      </c>
      <c r="F14" s="33">
        <v>87</v>
      </c>
      <c r="G14" s="33" t="str">
        <v/>
      </c>
      <c r="H14" s="33" t="str">
        <v/>
      </c>
      <c r="I14" s="33" t="str">
        <v/>
      </c>
      <c r="J14" s="40"/>
      <c r="L14" s="1" t="str">
        <v/>
      </c>
      <c r="M14" s="38">
        <v>2</v>
      </c>
      <c r="N14" s="41">
        <v>3</v>
      </c>
      <c r="O14" s="41">
        <v>4</v>
      </c>
      <c r="P14" s="41">
        <v>5</v>
      </c>
      <c r="Q14" s="43" t="str">
        <v>Total</v>
      </c>
      <c r="R14" s="1"/>
    </row>
    <row r="15" spans="2:23" ht="15.75" thickBot="1" x14ac:dyDescent="0.3">
      <c r="B15" s="36" t="str">
        <v>Fleurizard</v>
      </c>
      <c r="C15" s="32" t="str">
        <v>Wood</v>
      </c>
      <c r="D15" s="47" t="str">
        <v>Attack</v>
      </c>
      <c r="E15" s="39" t="str">
        <v/>
      </c>
      <c r="F15" s="33" t="str">
        <v/>
      </c>
      <c r="G15" s="33" t="str">
        <v/>
      </c>
      <c r="H15" s="33" t="str">
        <v/>
      </c>
      <c r="I15" s="33">
        <v>0</v>
      </c>
      <c r="J15" s="40"/>
      <c r="L15" s="45" t="str">
        <v>Type</v>
      </c>
      <c r="M15" s="38" t="str">
        <v/>
      </c>
      <c r="N15" s="42" t="str">
        <v/>
      </c>
      <c r="O15" s="42" t="str">
        <v/>
      </c>
      <c r="P15" s="42" t="str">
        <v/>
      </c>
      <c r="Q15" s="44" t="str">
        <v/>
      </c>
      <c r="R15" s="1"/>
      <c r="U15" s="1" t="str" cm="1">
        <f t="array" ref="U15:V19">_xlfn.PIVOTBY(Palmon!$C$2:$C$47,IF(Palmon!$A$2:$A$47=0,"Average Level",""),_xlfn.LAMBDA(_xlpm.x,_xlpm.x)(Palmon!$E$2:$E$47),_xleta.AVERAGE,1,0,,0,,Palmon!$E$2:$E$47&gt;=200)</f>
        <v/>
      </c>
      <c r="V15" s="191" t="str">
        <v/>
      </c>
      <c r="W15" s="193" t="s">
        <v>138</v>
      </c>
    </row>
    <row r="16" spans="2:23" x14ac:dyDescent="0.25">
      <c r="B16" s="36" t="str">
        <v>Fulgairy</v>
      </c>
      <c r="C16" s="32" t="str">
        <v>Electricity</v>
      </c>
      <c r="D16" s="47" t="str">
        <v>Defend</v>
      </c>
      <c r="E16" s="39" t="str">
        <v/>
      </c>
      <c r="F16" s="33" t="str">
        <v/>
      </c>
      <c r="G16" s="33">
        <v>239.99999999999994</v>
      </c>
      <c r="H16" s="33" t="str">
        <v/>
      </c>
      <c r="I16" s="33" t="str">
        <v/>
      </c>
      <c r="J16" s="40"/>
      <c r="L16" s="46" t="str">
        <v>Electricity</v>
      </c>
      <c r="M16" s="39" t="str">
        <v/>
      </c>
      <c r="N16" s="33">
        <v>55.999999999999972</v>
      </c>
      <c r="O16" s="33">
        <v>300</v>
      </c>
      <c r="P16" s="47">
        <v>500</v>
      </c>
      <c r="Q16" s="40">
        <v>500</v>
      </c>
      <c r="R16" s="1"/>
      <c r="U16" s="46" t="str">
        <v>Electricity</v>
      </c>
      <c r="V16" s="192">
        <v>244.28571428571428</v>
      </c>
      <c r="W16" s="40" cm="1">
        <f t="array" ref="W16">COUNTA(_xlfn._xlws.FILTER(C3:C42,C3:C42=$U16,""))</f>
        <v>7</v>
      </c>
    </row>
    <row r="17" spans="2:23" x14ac:dyDescent="0.25">
      <c r="B17" s="36" t="str">
        <v>Ghillant</v>
      </c>
      <c r="C17" s="32" t="str">
        <v>Wood</v>
      </c>
      <c r="D17" s="47" t="str">
        <v>Defend</v>
      </c>
      <c r="E17" s="39" t="str">
        <v/>
      </c>
      <c r="F17" s="33" t="str">
        <v/>
      </c>
      <c r="G17" s="33" t="str">
        <v/>
      </c>
      <c r="H17" s="33">
        <v>400.00000000000034</v>
      </c>
      <c r="I17" s="33" t="str">
        <v/>
      </c>
      <c r="J17" s="40"/>
      <c r="L17" s="46" t="str">
        <v>Fire</v>
      </c>
      <c r="M17" s="39" t="str">
        <v/>
      </c>
      <c r="N17" s="33">
        <v>12</v>
      </c>
      <c r="O17" s="33">
        <v>290</v>
      </c>
      <c r="P17" s="47">
        <v>489</v>
      </c>
      <c r="Q17" s="40">
        <v>489</v>
      </c>
      <c r="R17" s="1"/>
      <c r="U17" s="46" t="str">
        <v>Fire</v>
      </c>
      <c r="V17" s="192">
        <v>252.85714285714286</v>
      </c>
      <c r="W17" s="40" cm="1">
        <f t="array" ref="W17">COUNTA(_xlfn._xlws.FILTER(C4:C43,C4:C43=$U17,""))</f>
        <v>8</v>
      </c>
    </row>
    <row r="18" spans="2:23" x14ac:dyDescent="0.25">
      <c r="B18" s="36" t="str">
        <v>Glacewing</v>
      </c>
      <c r="C18" s="32" t="str">
        <v>Water</v>
      </c>
      <c r="D18" s="47" t="str">
        <v>Attack</v>
      </c>
      <c r="E18" s="39" t="str">
        <v/>
      </c>
      <c r="F18" s="33" t="str">
        <v/>
      </c>
      <c r="G18" s="33" t="str">
        <v/>
      </c>
      <c r="H18" s="33" t="str">
        <v/>
      </c>
      <c r="I18" s="33">
        <v>0</v>
      </c>
      <c r="J18" s="40"/>
      <c r="L18" s="46" t="str">
        <v>Water</v>
      </c>
      <c r="M18" s="39">
        <v>50</v>
      </c>
      <c r="N18" s="33">
        <v>87</v>
      </c>
      <c r="O18" s="33" t="str">
        <v/>
      </c>
      <c r="P18" s="47">
        <v>500</v>
      </c>
      <c r="Q18" s="40">
        <v>500</v>
      </c>
      <c r="R18" s="1"/>
      <c r="U18" s="46" t="str">
        <v>Water</v>
      </c>
      <c r="V18" s="192">
        <v>237.5</v>
      </c>
      <c r="W18" s="40" cm="1">
        <f t="array" ref="W18">COUNTA(_xlfn._xlws.FILTER(C5:C44,C5:C44=$U18,""))</f>
        <v>10</v>
      </c>
    </row>
    <row r="19" spans="2:23" ht="15.75" thickBot="1" x14ac:dyDescent="0.3">
      <c r="B19" s="36" t="str">
        <v>Gnashfin</v>
      </c>
      <c r="C19" s="32" t="str">
        <v>Water</v>
      </c>
      <c r="D19" s="47" t="str">
        <v>Defend</v>
      </c>
      <c r="E19" s="39" t="str">
        <v/>
      </c>
      <c r="F19" s="33" t="str">
        <v/>
      </c>
      <c r="G19" s="33" t="str">
        <v/>
      </c>
      <c r="H19" s="33" t="str">
        <v/>
      </c>
      <c r="I19" s="33">
        <v>0</v>
      </c>
      <c r="J19" s="40"/>
      <c r="L19" s="46" t="str">
        <v>Wood</v>
      </c>
      <c r="M19" s="39" t="str">
        <v/>
      </c>
      <c r="N19" s="33">
        <v>100</v>
      </c>
      <c r="O19" s="33">
        <v>290</v>
      </c>
      <c r="P19" s="47">
        <v>400.00000000000034</v>
      </c>
      <c r="Q19" s="40">
        <v>400.00000000000034</v>
      </c>
      <c r="R19" s="1"/>
      <c r="U19" s="46" t="str">
        <v>Wood</v>
      </c>
      <c r="V19" s="194">
        <v>242.85714285714286</v>
      </c>
      <c r="W19" s="195" cm="1">
        <f t="array" ref="W19">COUNTA(_xlfn._xlws.FILTER(C6:C45,C6:C45=$U19,""))</f>
        <v>7</v>
      </c>
    </row>
    <row r="20" spans="2:23" ht="15.75" thickBot="1" x14ac:dyDescent="0.3">
      <c r="B20" s="36" t="str">
        <v>Gnashley</v>
      </c>
      <c r="C20" s="32" t="str">
        <v>Water</v>
      </c>
      <c r="D20" s="47" t="str">
        <v>Defend</v>
      </c>
      <c r="E20" s="39">
        <v>50</v>
      </c>
      <c r="F20" s="33" t="str">
        <v/>
      </c>
      <c r="G20" s="33" t="str">
        <v/>
      </c>
      <c r="H20" s="33" t="str">
        <v/>
      </c>
      <c r="I20" s="33" t="str">
        <v/>
      </c>
      <c r="J20" s="40"/>
      <c r="L20" s="84" t="str">
        <v>Total</v>
      </c>
      <c r="M20" s="85">
        <v>50</v>
      </c>
      <c r="N20" s="86">
        <v>100</v>
      </c>
      <c r="O20" s="86">
        <v>300</v>
      </c>
      <c r="P20" s="87">
        <v>500</v>
      </c>
      <c r="Q20" s="88">
        <v>500</v>
      </c>
      <c r="R20" s="1"/>
      <c r="V20" s="197">
        <f>AVERAGE(V16:V19)</f>
        <v>244.375</v>
      </c>
      <c r="W20" s="196">
        <f>SUM(W16:W19)</f>
        <v>32</v>
      </c>
    </row>
    <row r="21" spans="2:23" ht="15.75" thickBot="1" x14ac:dyDescent="0.3">
      <c r="B21" s="36" t="str">
        <v>Hoofrit</v>
      </c>
      <c r="C21" s="32" t="str">
        <v>Fire</v>
      </c>
      <c r="D21" s="47" t="str">
        <v>Attack</v>
      </c>
      <c r="E21" s="39" t="str">
        <v/>
      </c>
      <c r="F21" s="33" t="str">
        <v/>
      </c>
      <c r="G21" s="33" t="str">
        <v/>
      </c>
      <c r="H21" s="33">
        <v>489</v>
      </c>
      <c r="I21" s="33" t="str">
        <v/>
      </c>
      <c r="J21" s="40"/>
      <c r="L21" s="1"/>
      <c r="M21" s="1"/>
      <c r="N21" s="1"/>
      <c r="O21" s="1"/>
      <c r="P21" s="1"/>
      <c r="Q21" s="1"/>
      <c r="R21" s="1"/>
    </row>
    <row r="22" spans="2:23" ht="15.75" thickBot="1" x14ac:dyDescent="0.3">
      <c r="B22" s="36" t="str">
        <v>Kungpaw</v>
      </c>
      <c r="C22" s="32" t="str">
        <v>Water</v>
      </c>
      <c r="D22" s="47" t="str">
        <v>Defend</v>
      </c>
      <c r="E22" s="39" t="str">
        <v/>
      </c>
      <c r="F22" s="33" t="str">
        <v/>
      </c>
      <c r="G22" s="33" t="str">
        <v/>
      </c>
      <c r="H22" s="33">
        <v>370.00000000000034</v>
      </c>
      <c r="I22" s="33" t="str">
        <v/>
      </c>
      <c r="J22" s="40"/>
      <c r="L22" s="1"/>
      <c r="M22" s="274" t="s">
        <v>90</v>
      </c>
      <c r="N22" s="275"/>
      <c r="O22" s="275"/>
      <c r="P22" s="275"/>
      <c r="Q22" s="275"/>
      <c r="R22" s="275"/>
      <c r="S22" s="276"/>
    </row>
    <row r="23" spans="2:23" x14ac:dyDescent="0.25">
      <c r="B23" s="36" t="str">
        <v>Limudroid</v>
      </c>
      <c r="C23" s="32" t="str">
        <v>Electricity</v>
      </c>
      <c r="D23" s="47" t="str">
        <v>Attack</v>
      </c>
      <c r="E23" s="39" t="str">
        <v/>
      </c>
      <c r="F23" s="33">
        <v>55.999999999999972</v>
      </c>
      <c r="G23" s="33" t="str">
        <v/>
      </c>
      <c r="H23" s="33" t="str">
        <v/>
      </c>
      <c r="I23" s="33" t="str">
        <v/>
      </c>
      <c r="J23" s="40"/>
      <c r="L23" s="1" t="str" cm="1">
        <f t="array" ref="L23:R30">_xlfn.PIVOTBY(Palmon!C2:C31,IFERROR(Palmon!G2:G31,"Nb per Step"),_xlfn.LAMBDA(_xlpm.x,IFERROR(VLOOKUP(Palmon!G2:G31,StepNeeds,4,FALSE)-NeedsFull*_xlpm.x-Palmon!I2:I31,""))(Palmon!U2:U31),_xleta.COUNTA,3,1,,1,,Palmon!G2:G31&lt;6)</f>
        <v/>
      </c>
      <c r="M23" s="50" t="str">
        <v>Step</v>
      </c>
      <c r="N23" s="51" t="str">
        <v/>
      </c>
      <c r="O23" s="51" t="str">
        <v/>
      </c>
      <c r="P23" s="51" t="str">
        <v/>
      </c>
      <c r="Q23" s="51" t="str">
        <v/>
      </c>
      <c r="R23" s="52" t="str">
        <v/>
      </c>
      <c r="S23" s="45"/>
    </row>
    <row r="24" spans="2:23" ht="15.75" thickBot="1" x14ac:dyDescent="0.3">
      <c r="B24" s="36" t="str">
        <v>Lucidina</v>
      </c>
      <c r="C24" s="32" t="str">
        <v>Water</v>
      </c>
      <c r="D24" s="47" t="str">
        <v>Attack</v>
      </c>
      <c r="E24" s="39" t="str">
        <v/>
      </c>
      <c r="F24" s="33" t="str">
        <v/>
      </c>
      <c r="G24" s="33" t="str">
        <v/>
      </c>
      <c r="H24" s="33">
        <v>500</v>
      </c>
      <c r="I24" s="33" t="str">
        <v/>
      </c>
      <c r="J24" s="40"/>
      <c r="L24" s="1" t="str">
        <v/>
      </c>
      <c r="M24" s="38">
        <v>1</v>
      </c>
      <c r="N24" s="41">
        <v>2</v>
      </c>
      <c r="O24" s="41">
        <v>3</v>
      </c>
      <c r="P24" s="41">
        <v>4</v>
      </c>
      <c r="Q24" s="41">
        <v>5</v>
      </c>
      <c r="R24" s="43" t="str">
        <v>Total</v>
      </c>
      <c r="S24" s="181"/>
    </row>
    <row r="25" spans="2:23" x14ac:dyDescent="0.25">
      <c r="B25" s="36" t="str">
        <v>Magmolin</v>
      </c>
      <c r="C25" s="32" t="str">
        <v>Fire</v>
      </c>
      <c r="D25" s="47" t="str">
        <v>Defend</v>
      </c>
      <c r="E25" s="39" t="str">
        <v/>
      </c>
      <c r="F25" s="33" t="str">
        <v/>
      </c>
      <c r="G25" s="33">
        <v>178.99999999999994</v>
      </c>
      <c r="H25" s="33" t="str">
        <v/>
      </c>
      <c r="I25" s="33" t="str">
        <v/>
      </c>
      <c r="J25" s="40"/>
      <c r="L25" s="45" t="str">
        <v>Type</v>
      </c>
      <c r="M25" s="38" t="str">
        <v/>
      </c>
      <c r="N25" s="42" t="str">
        <v/>
      </c>
      <c r="O25" s="42" t="str">
        <v/>
      </c>
      <c r="P25" s="42" t="str">
        <v/>
      </c>
      <c r="Q25" s="42" t="str">
        <v/>
      </c>
      <c r="R25" s="44" t="str">
        <v/>
      </c>
      <c r="S25" s="182"/>
    </row>
    <row r="26" spans="2:23" x14ac:dyDescent="0.25">
      <c r="B26" s="36" t="str">
        <v>Mantleray</v>
      </c>
      <c r="C26" s="32" t="str">
        <v>Electricity</v>
      </c>
      <c r="D26" s="47" t="str">
        <v>Attack</v>
      </c>
      <c r="E26" s="39" t="str">
        <v/>
      </c>
      <c r="F26" s="33">
        <v>17</v>
      </c>
      <c r="G26" s="33" t="str">
        <v/>
      </c>
      <c r="H26" s="33" t="str">
        <v/>
      </c>
      <c r="I26" s="33" t="str">
        <v/>
      </c>
      <c r="J26" s="40"/>
      <c r="L26" s="46" t="str">
        <v>Electricity</v>
      </c>
      <c r="M26" s="39" t="str">
        <v/>
      </c>
      <c r="N26" s="33">
        <v>2</v>
      </c>
      <c r="O26" s="33">
        <v>2</v>
      </c>
      <c r="P26" s="33">
        <v>2</v>
      </c>
      <c r="Q26" s="47" t="str">
        <v/>
      </c>
      <c r="R26" s="40">
        <v>6</v>
      </c>
      <c r="S26" s="71"/>
    </row>
    <row r="27" spans="2:23" x14ac:dyDescent="0.25">
      <c r="B27" s="36" t="str">
        <v>Ninjump</v>
      </c>
      <c r="C27" s="32" t="str">
        <v>Water</v>
      </c>
      <c r="D27" s="47" t="str">
        <v>Attack</v>
      </c>
      <c r="E27" s="39" t="str">
        <v/>
      </c>
      <c r="F27" s="33">
        <v>30.000000000000028</v>
      </c>
      <c r="G27" s="33" t="str">
        <v/>
      </c>
      <c r="H27" s="33" t="str">
        <v/>
      </c>
      <c r="I27" s="33" t="str">
        <v/>
      </c>
      <c r="J27" s="40"/>
      <c r="L27" s="46" t="str">
        <v>Fire</v>
      </c>
      <c r="M27" s="39" t="str">
        <v/>
      </c>
      <c r="N27" s="33">
        <v>1</v>
      </c>
      <c r="O27" s="33">
        <v>2</v>
      </c>
      <c r="P27" s="33">
        <v>2</v>
      </c>
      <c r="Q27" s="47">
        <v>2</v>
      </c>
      <c r="R27" s="40">
        <v>7</v>
      </c>
      <c r="S27" s="71"/>
    </row>
    <row r="28" spans="2:23" x14ac:dyDescent="0.25">
      <c r="B28" s="36" t="str">
        <v>Oleana</v>
      </c>
      <c r="C28" s="32" t="str">
        <v>Wood</v>
      </c>
      <c r="D28" s="47" t="str">
        <v>Attack</v>
      </c>
      <c r="E28" s="39" t="str">
        <v/>
      </c>
      <c r="F28" s="33" t="str">
        <v/>
      </c>
      <c r="G28" s="33" t="str">
        <v/>
      </c>
      <c r="H28" s="33" t="str">
        <v/>
      </c>
      <c r="I28" s="33">
        <v>0</v>
      </c>
      <c r="J28" s="40"/>
      <c r="L28" s="46" t="str">
        <v>Water</v>
      </c>
      <c r="M28" s="39">
        <v>1</v>
      </c>
      <c r="N28" s="33">
        <v>4</v>
      </c>
      <c r="O28" s="33" t="str">
        <v/>
      </c>
      <c r="P28" s="33">
        <v>2</v>
      </c>
      <c r="Q28" s="47">
        <v>2</v>
      </c>
      <c r="R28" s="40">
        <v>9</v>
      </c>
      <c r="S28" s="71"/>
    </row>
    <row r="29" spans="2:23" x14ac:dyDescent="0.25">
      <c r="B29" s="36" t="str">
        <v>Pipistrigoi</v>
      </c>
      <c r="C29" s="32" t="str">
        <v>Fire</v>
      </c>
      <c r="D29" s="47" t="str">
        <v>Attack</v>
      </c>
      <c r="E29" s="39" t="str">
        <v/>
      </c>
      <c r="F29" s="33" t="str">
        <v/>
      </c>
      <c r="G29" s="33" t="str">
        <v/>
      </c>
      <c r="H29" s="33">
        <v>387.00000000000034</v>
      </c>
      <c r="I29" s="33" t="str">
        <v/>
      </c>
      <c r="J29" s="40"/>
      <c r="L29" s="46" t="str">
        <v>Wood</v>
      </c>
      <c r="M29" s="39" t="str">
        <v/>
      </c>
      <c r="N29" s="33">
        <v>2</v>
      </c>
      <c r="O29" s="33">
        <v>2</v>
      </c>
      <c r="P29" s="33">
        <v>1</v>
      </c>
      <c r="Q29" s="47">
        <v>2</v>
      </c>
      <c r="R29" s="40">
        <v>7</v>
      </c>
      <c r="S29" s="71"/>
    </row>
    <row r="30" spans="2:23" ht="15.75" thickBot="1" x14ac:dyDescent="0.3">
      <c r="B30" s="36" t="str">
        <v>Regalion</v>
      </c>
      <c r="C30" s="32" t="str">
        <v>Water</v>
      </c>
      <c r="D30" s="47" t="str">
        <v>Defend</v>
      </c>
      <c r="E30" s="39" t="str">
        <v/>
      </c>
      <c r="F30" s="33">
        <v>48.999999999999972</v>
      </c>
      <c r="G30" s="33" t="str">
        <v/>
      </c>
      <c r="H30" s="33" t="str">
        <v/>
      </c>
      <c r="I30" s="33" t="str">
        <v/>
      </c>
      <c r="J30" s="40"/>
      <c r="L30" s="84" t="str">
        <v>Total</v>
      </c>
      <c r="M30" s="85">
        <v>1</v>
      </c>
      <c r="N30" s="86">
        <v>9</v>
      </c>
      <c r="O30" s="86">
        <v>6</v>
      </c>
      <c r="P30" s="86">
        <v>7</v>
      </c>
      <c r="Q30" s="87">
        <v>6</v>
      </c>
      <c r="R30" s="88">
        <v>29</v>
      </c>
      <c r="S30" s="183"/>
    </row>
    <row r="31" spans="2:23" ht="15.75" thickBot="1" x14ac:dyDescent="0.3">
      <c r="B31" s="36" t="str">
        <v>Revontulet</v>
      </c>
      <c r="C31" s="32" t="str">
        <v>Fire</v>
      </c>
      <c r="D31" s="47" t="str">
        <v>Attack</v>
      </c>
      <c r="E31" s="39" t="str">
        <v/>
      </c>
      <c r="F31" s="33">
        <v>40.000000000000028</v>
      </c>
      <c r="G31" s="33" t="str">
        <v/>
      </c>
      <c r="H31" s="33" t="str">
        <v/>
      </c>
      <c r="I31" s="33" t="str">
        <v/>
      </c>
      <c r="J31" s="40"/>
      <c r="L31" s="1"/>
      <c r="M31" s="1"/>
      <c r="N31" s="1"/>
      <c r="O31" s="1"/>
      <c r="P31" s="1"/>
      <c r="Q31" s="1"/>
      <c r="R31" s="1"/>
    </row>
    <row r="32" spans="2:23" ht="15.75" thickBot="1" x14ac:dyDescent="0.3">
      <c r="B32" s="36" t="str">
        <v>Salamantis</v>
      </c>
      <c r="C32" s="32" t="str">
        <v>Wood</v>
      </c>
      <c r="D32" s="47" t="str">
        <v>Attack</v>
      </c>
      <c r="E32" s="39" t="str">
        <v/>
      </c>
      <c r="F32" s="33">
        <v>40.000000000000028</v>
      </c>
      <c r="G32" s="33" t="str">
        <v/>
      </c>
      <c r="H32" s="33" t="str">
        <v/>
      </c>
      <c r="I32" s="33" t="str">
        <v/>
      </c>
      <c r="J32" s="40"/>
      <c r="L32" s="1"/>
      <c r="M32" s="274" t="s">
        <v>95</v>
      </c>
      <c r="N32" s="275"/>
      <c r="O32" s="276"/>
      <c r="P32" s="1"/>
      <c r="Q32" s="1"/>
      <c r="R32" s="1"/>
    </row>
    <row r="33" spans="2:23" ht="15.75" thickBot="1" x14ac:dyDescent="0.3">
      <c r="B33" s="36" t="str">
        <v>Spookaboo</v>
      </c>
      <c r="C33" s="32" t="str">
        <v>Fire</v>
      </c>
      <c r="D33" s="47" t="str">
        <v>Attack</v>
      </c>
      <c r="E33" s="39" t="str">
        <v/>
      </c>
      <c r="F33" s="33" t="str">
        <v/>
      </c>
      <c r="G33" s="33" t="str">
        <v/>
      </c>
      <c r="H33" s="33" t="str">
        <v/>
      </c>
      <c r="I33" s="33">
        <v>0</v>
      </c>
      <c r="J33" s="40"/>
      <c r="L33" s="1" t="str" cm="1">
        <f t="array" ref="L33:O38">_xlfn.PIVOTBY(Palmon!C2:C31,IFERROR(Palmon!AC2:AC31,""),Palmon!AC2:AC31,_xleta.COUNTA,1,1,,0,,Palmon!AC2:AC31&lt;&gt;"")</f>
        <v/>
      </c>
      <c r="M33" s="37">
        <v>1</v>
      </c>
      <c r="N33" s="65">
        <v>2</v>
      </c>
      <c r="O33" s="66">
        <v>3</v>
      </c>
      <c r="P33" s="1"/>
      <c r="Q33" s="1" t="str" cm="1">
        <f t="array" ref="Q33:S38">_xlfn.PIVOTBY(_xlfn.CHOOSECOLS(PalmonListWIthHeaders,2),_xlfn.CHOOSECOLS(PalmonListWIthHeaders,3),_xlfn.CHOOSECOLS(PalmonListWIthHeaders,4),_xleta.COUNTA,1,1,,0,,_xlfn.CHOOSECOLS(PalmonListWIthHeaders,4)&gt;0)</f>
        <v/>
      </c>
      <c r="R33" s="37" t="str">
        <v>Attack</v>
      </c>
      <c r="S33" s="69" t="str">
        <v>Defend</v>
      </c>
    </row>
    <row r="34" spans="2:23" x14ac:dyDescent="0.25">
      <c r="B34" s="36" t="str">
        <v>Statchew</v>
      </c>
      <c r="C34" s="32" t="str">
        <v>Wood</v>
      </c>
      <c r="D34" s="47" t="str">
        <v>Defend</v>
      </c>
      <c r="E34" s="39" t="str">
        <v/>
      </c>
      <c r="F34" s="33" t="str">
        <v/>
      </c>
      <c r="G34" s="33">
        <v>290</v>
      </c>
      <c r="H34" s="33" t="str">
        <v/>
      </c>
      <c r="I34" s="33" t="str">
        <v/>
      </c>
      <c r="J34" s="40"/>
      <c r="L34" s="67" t="str">
        <v>Electricity</v>
      </c>
      <c r="M34" s="39" t="str">
        <v/>
      </c>
      <c r="N34" s="33">
        <v>1</v>
      </c>
      <c r="O34" s="40">
        <v>3</v>
      </c>
      <c r="P34" s="1"/>
      <c r="Q34" s="216" t="str">
        <v>Electricity</v>
      </c>
      <c r="R34" s="39">
        <v>4</v>
      </c>
      <c r="S34" s="40">
        <v>3</v>
      </c>
    </row>
    <row r="35" spans="2:23" x14ac:dyDescent="0.25">
      <c r="B35" s="36" t="str">
        <v>Surveilynx</v>
      </c>
      <c r="C35" s="32" t="str">
        <v>Wood</v>
      </c>
      <c r="D35" s="47" t="str">
        <v>Attack</v>
      </c>
      <c r="E35" s="39" t="str">
        <v/>
      </c>
      <c r="F35" s="33">
        <v>100</v>
      </c>
      <c r="G35" s="33" t="str">
        <v/>
      </c>
      <c r="H35" s="33" t="str">
        <v/>
      </c>
      <c r="I35" s="33" t="str">
        <v/>
      </c>
      <c r="J35" s="40"/>
      <c r="L35" s="46" t="str">
        <v>Fire</v>
      </c>
      <c r="M35" s="39">
        <v>1</v>
      </c>
      <c r="N35" s="33">
        <v>3</v>
      </c>
      <c r="O35" s="40">
        <v>2</v>
      </c>
      <c r="P35" s="1"/>
      <c r="Q35" s="217" t="str">
        <v>Fire</v>
      </c>
      <c r="R35" s="39">
        <v>6</v>
      </c>
      <c r="S35" s="40">
        <v>2</v>
      </c>
    </row>
    <row r="36" spans="2:23" x14ac:dyDescent="0.25">
      <c r="B36" s="36" t="str">
        <v>Thundertooth</v>
      </c>
      <c r="C36" s="32" t="str">
        <v>Electricity</v>
      </c>
      <c r="D36" s="47" t="str">
        <v>Attack</v>
      </c>
      <c r="E36" s="39" t="str">
        <v/>
      </c>
      <c r="F36" s="33" t="str">
        <v/>
      </c>
      <c r="G36" s="33" t="str">
        <v/>
      </c>
      <c r="H36" s="33" t="str">
        <v/>
      </c>
      <c r="I36" s="33">
        <v>0</v>
      </c>
      <c r="J36" s="40"/>
      <c r="L36" s="46" t="str">
        <v>Water</v>
      </c>
      <c r="M36" s="39">
        <v>2</v>
      </c>
      <c r="N36" s="33">
        <v>2</v>
      </c>
      <c r="O36" s="40" t="str">
        <v/>
      </c>
      <c r="P36" s="1"/>
      <c r="Q36" s="217" t="str">
        <v>Water</v>
      </c>
      <c r="R36" s="39">
        <v>5</v>
      </c>
      <c r="S36" s="40">
        <v>5</v>
      </c>
    </row>
    <row r="37" spans="2:23" x14ac:dyDescent="0.25">
      <c r="B37" s="36" t="str">
        <v>Vulpyrean</v>
      </c>
      <c r="C37" s="32" t="str">
        <v>Fire</v>
      </c>
      <c r="D37" s="47" t="str">
        <v>Attack</v>
      </c>
      <c r="E37" s="39" t="str">
        <v/>
      </c>
      <c r="F37" s="33" t="str">
        <v/>
      </c>
      <c r="G37" s="33" t="str">
        <v/>
      </c>
      <c r="H37" s="33" t="str">
        <v/>
      </c>
      <c r="I37" s="33">
        <v>0</v>
      </c>
      <c r="J37" s="40"/>
      <c r="L37" s="46" t="str">
        <v>Wood</v>
      </c>
      <c r="M37" s="39">
        <v>2</v>
      </c>
      <c r="N37" s="33">
        <v>1</v>
      </c>
      <c r="O37" s="40">
        <v>1</v>
      </c>
      <c r="P37" s="1"/>
      <c r="Q37" s="217" t="str">
        <v>Wood</v>
      </c>
      <c r="R37" s="39">
        <v>6</v>
      </c>
      <c r="S37" s="40">
        <v>2</v>
      </c>
    </row>
    <row r="38" spans="2:23" ht="15.75" thickBot="1" x14ac:dyDescent="0.3">
      <c r="B38" s="36"/>
      <c r="C38" s="32"/>
      <c r="D38" s="47"/>
      <c r="E38" s="39"/>
      <c r="F38" s="33"/>
      <c r="G38" s="33"/>
      <c r="H38" s="33"/>
      <c r="I38" s="33"/>
      <c r="J38" s="40"/>
      <c r="L38" s="84" t="str">
        <v>Total</v>
      </c>
      <c r="M38" s="85">
        <v>5</v>
      </c>
      <c r="N38" s="86">
        <v>7</v>
      </c>
      <c r="O38" s="88">
        <v>6</v>
      </c>
      <c r="P38" s="1"/>
      <c r="Q38" s="218" t="str">
        <v>Total</v>
      </c>
      <c r="R38" s="85">
        <v>21</v>
      </c>
      <c r="S38" s="88">
        <v>12</v>
      </c>
    </row>
    <row r="39" spans="2:23" ht="15.75" thickBot="1" x14ac:dyDescent="0.3">
      <c r="B39" s="36"/>
      <c r="C39" s="32"/>
      <c r="D39" s="47"/>
      <c r="E39" s="39"/>
      <c r="F39" s="33"/>
      <c r="G39" s="33"/>
      <c r="H39" s="33"/>
      <c r="I39" s="33"/>
      <c r="J39" s="40"/>
      <c r="L39" s="79"/>
      <c r="M39" s="80"/>
      <c r="N39" s="80"/>
      <c r="O39" s="80"/>
      <c r="P39" s="1"/>
      <c r="Q39" s="1"/>
      <c r="R39" s="1"/>
    </row>
    <row r="40" spans="2:23" ht="15.75" thickBot="1" x14ac:dyDescent="0.3">
      <c r="B40" s="36"/>
      <c r="C40" s="32"/>
      <c r="D40" s="47"/>
      <c r="E40" s="39"/>
      <c r="F40" s="33"/>
      <c r="G40" s="33"/>
      <c r="H40" s="33"/>
      <c r="I40" s="33"/>
      <c r="J40" s="40"/>
      <c r="L40" s="274" t="s">
        <v>94</v>
      </c>
      <c r="M40" s="275"/>
      <c r="N40" s="276"/>
      <c r="O40" s="1"/>
      <c r="P40" s="1"/>
      <c r="Q40" s="1"/>
      <c r="R40" s="1"/>
      <c r="T40"/>
      <c r="U40"/>
      <c r="V40"/>
      <c r="W40"/>
    </row>
    <row r="41" spans="2:23" ht="15.75" thickBot="1" x14ac:dyDescent="0.3">
      <c r="B41" s="36"/>
      <c r="C41" s="32"/>
      <c r="D41" s="47"/>
      <c r="E41" s="39"/>
      <c r="F41" s="33"/>
      <c r="G41" s="33"/>
      <c r="H41" s="33"/>
      <c r="I41" s="33"/>
      <c r="J41" s="40"/>
      <c r="L41" s="37">
        <f>M33</f>
        <v>1</v>
      </c>
      <c r="M41" s="68">
        <f>N33</f>
        <v>2</v>
      </c>
      <c r="N41" s="69">
        <f>O33</f>
        <v>3</v>
      </c>
      <c r="O41" s="1"/>
      <c r="P41" s="1"/>
      <c r="Q41" s="1"/>
      <c r="R41" s="1"/>
      <c r="T41"/>
      <c r="U41"/>
      <c r="V41"/>
      <c r="W41"/>
    </row>
    <row r="42" spans="2:23" x14ac:dyDescent="0.25">
      <c r="B42" s="36"/>
      <c r="C42" s="32"/>
      <c r="D42" s="47"/>
      <c r="E42" s="39"/>
      <c r="F42" s="33"/>
      <c r="G42" s="33"/>
      <c r="H42" s="33"/>
      <c r="I42" s="33"/>
      <c r="J42" s="40"/>
      <c r="L42" s="73" t="str" cm="1">
        <f t="array" ref="L42:N48">_xlfn.MAKEARRAY(7,3,_xlfn.LAMBDA(_xlpm.row,_xlpm.col,VLOOKUP(_xlpm.row+(7*(_xlpm.col-1)),_xlfn.CHOOSECOLS(PalmonList,27,1),2,FALSE)))</f>
        <v>Glacewing</v>
      </c>
      <c r="M42" s="74" t="str">
        <v>Spookaboo</v>
      </c>
      <c r="N42" s="75" t="str">
        <v>Battereina</v>
      </c>
      <c r="O42" s="1"/>
      <c r="P42" s="1" t="str" cm="1">
        <f t="array" ref="P42:Q48">_xlfn.MAKEARRAY(7,2,_xlfn.LAMBDA(_xlpm.row,_xlpm.col,VLOOKUP(_xlpm.row+(7*(_xlpm.col-1)),_xlfn.CHOOSECOLS(PalmonList,27,1,3),2,FALSE)))</f>
        <v>Glacewing</v>
      </c>
      <c r="Q42" s="1" t="str">
        <v>Spookaboo</v>
      </c>
      <c r="R42" s="1"/>
      <c r="T42"/>
      <c r="U42"/>
      <c r="V42"/>
      <c r="W42"/>
    </row>
    <row r="43" spans="2:23" x14ac:dyDescent="0.25">
      <c r="B43" s="36"/>
      <c r="C43" s="32"/>
      <c r="D43" s="47"/>
      <c r="E43" s="39"/>
      <c r="F43" s="33"/>
      <c r="G43" s="33"/>
      <c r="H43" s="33"/>
      <c r="I43" s="33"/>
      <c r="J43" s="40"/>
      <c r="L43" s="76" t="str">
        <v>Bufonobi</v>
      </c>
      <c r="M43" s="77" t="str">
        <v>Pipistrigoi</v>
      </c>
      <c r="N43" s="78" t="str">
        <v>Magmolin</v>
      </c>
      <c r="O43" s="1"/>
      <c r="P43" s="1" t="str">
        <v>Bufonobi</v>
      </c>
      <c r="Q43" s="1" t="str">
        <v>Pipistrigoi</v>
      </c>
      <c r="R43" s="1"/>
      <c r="T43"/>
      <c r="U43"/>
      <c r="V43"/>
      <c r="W43"/>
    </row>
    <row r="44" spans="2:23" x14ac:dyDescent="0.25">
      <c r="B44" s="36"/>
      <c r="C44" s="32"/>
      <c r="D44" s="47"/>
      <c r="E44" s="39"/>
      <c r="F44" s="33"/>
      <c r="G44" s="33"/>
      <c r="H44" s="33"/>
      <c r="I44" s="33"/>
      <c r="J44" s="40"/>
      <c r="L44" s="76" t="str">
        <v>Vulpyrean</v>
      </c>
      <c r="M44" s="77" t="str">
        <v>Ghillant</v>
      </c>
      <c r="N44" s="78" t="str">
        <v>Fulgairy</v>
      </c>
      <c r="O44" s="1"/>
      <c r="P44" s="1" t="str">
        <v>Vulpyrean</v>
      </c>
      <c r="Q44" s="1" t="str">
        <v>Ghillant</v>
      </c>
      <c r="R44" s="1"/>
      <c r="T44"/>
      <c r="U44"/>
      <c r="V44"/>
      <c r="W44"/>
    </row>
    <row r="45" spans="2:23" x14ac:dyDescent="0.25">
      <c r="B45" s="36"/>
      <c r="C45" s="32"/>
      <c r="D45" s="47"/>
      <c r="E45" s="39"/>
      <c r="F45" s="33"/>
      <c r="G45" s="33"/>
      <c r="H45" s="33"/>
      <c r="I45" s="33"/>
      <c r="J45" s="40"/>
      <c r="L45" s="76" t="str">
        <v>Gnashfin</v>
      </c>
      <c r="M45" s="77" t="str">
        <v>Abuzzinian</v>
      </c>
      <c r="N45" s="78" t="str">
        <v>Barkplug</v>
      </c>
      <c r="O45" s="1"/>
      <c r="P45" s="1" t="str">
        <v>Gnashfin</v>
      </c>
      <c r="Q45" s="1" t="str">
        <v>Abuzzinian</v>
      </c>
      <c r="R45" s="1"/>
      <c r="T45"/>
      <c r="U45"/>
      <c r="V45"/>
      <c r="W45"/>
    </row>
    <row r="46" spans="2:23" x14ac:dyDescent="0.25">
      <c r="L46" s="76" t="str">
        <v>Fleurizard</v>
      </c>
      <c r="M46" s="77" t="str">
        <v>Kungpaw</v>
      </c>
      <c r="N46" s="78" t="str">
        <v>Statchew</v>
      </c>
      <c r="O46" s="1"/>
      <c r="P46" s="1" t="str">
        <v>Fleurizard</v>
      </c>
      <c r="Q46" s="1" t="str">
        <v>Kungpaw</v>
      </c>
      <c r="R46" s="1"/>
      <c r="T46"/>
      <c r="U46"/>
      <c r="V46"/>
      <c r="W46"/>
    </row>
    <row r="47" spans="2:23" x14ac:dyDescent="0.25">
      <c r="L47" s="76" t="str">
        <v>Thundertooth</v>
      </c>
      <c r="M47" s="77" t="str">
        <v>Hoofrit</v>
      </c>
      <c r="N47" s="78" t="str">
        <v>Blazeal</v>
      </c>
      <c r="O47" s="1"/>
      <c r="P47" s="1" t="str">
        <v>Thundertooth</v>
      </c>
      <c r="Q47" s="1" t="str">
        <v>Hoofrit</v>
      </c>
      <c r="R47" s="1"/>
      <c r="T47"/>
      <c r="U47"/>
      <c r="V47"/>
      <c r="W47"/>
    </row>
    <row r="48" spans="2:23" ht="15.75" thickBot="1" x14ac:dyDescent="0.3">
      <c r="L48" s="81" t="str">
        <v>Oleana</v>
      </c>
      <c r="M48" s="82" t="str">
        <v>Lucidina</v>
      </c>
      <c r="N48" s="83" t="str">
        <v>Baboom</v>
      </c>
      <c r="O48" s="1"/>
      <c r="P48" s="1" t="str">
        <v>Oleana</v>
      </c>
      <c r="Q48" s="1" t="str">
        <v>Lucidina</v>
      </c>
      <c r="R48" s="1"/>
      <c r="T48"/>
      <c r="U48"/>
      <c r="V48"/>
      <c r="W48"/>
    </row>
    <row r="49" spans="7:20" x14ac:dyDescent="0.25">
      <c r="L49" s="1"/>
      <c r="M49" s="1"/>
      <c r="N49" s="1"/>
      <c r="O49" s="1"/>
      <c r="P49" s="1"/>
      <c r="Q49" s="1"/>
      <c r="R49" s="1"/>
    </row>
    <row r="50" spans="7:20" x14ac:dyDescent="0.25">
      <c r="L50" s="1"/>
      <c r="M50" s="1" t="s">
        <v>229</v>
      </c>
      <c r="N50" s="1"/>
      <c r="O50" s="1"/>
      <c r="P50" s="1" t="s">
        <v>230</v>
      </c>
      <c r="Q50" s="1"/>
      <c r="R50" s="1"/>
      <c r="S50" s="1" t="s">
        <v>231</v>
      </c>
    </row>
    <row r="51" spans="7:20" s="1" customFormat="1" ht="12" x14ac:dyDescent="0.2">
      <c r="L51" s="1" t="str" cm="1">
        <f t="array" ref="L51:N80">_xlfn.PIVOTBY(Palmon!B2:B31,Palmon!D2:D31,Palmon!AB2:AB31,_xleta.MAX,,0,,0)</f>
        <v/>
      </c>
      <c r="M51" s="1" t="str">
        <v>Attack</v>
      </c>
      <c r="N51" s="1" t="str">
        <v>Defend</v>
      </c>
      <c r="P51" s="1" t="str">
        <f>M51</f>
        <v>Attack</v>
      </c>
      <c r="Q51" s="1" t="str">
        <f>N51</f>
        <v>Defend</v>
      </c>
      <c r="S51" s="1" t="str">
        <f>P51</f>
        <v>Attack</v>
      </c>
      <c r="T51" s="1" t="str">
        <f>Q51</f>
        <v>Defend</v>
      </c>
    </row>
    <row r="52" spans="7:20" s="1" customFormat="1" ht="12" x14ac:dyDescent="0.2">
      <c r="G52" s="1" t="str" cm="1">
        <f t="array" ref="G52:H78">_xlfn.LAMBDA(_xlpm.cel,IFERROR(_xlfn.RANK.EQ(_xlpm.cel,M$52:N$78,1),""))(M$52:N$78)</f>
        <v/>
      </c>
      <c r="H52" s="1">
        <v>8</v>
      </c>
      <c r="L52" s="1" t="str">
        <v>Abuzzinian</v>
      </c>
      <c r="M52" s="1" t="str">
        <v/>
      </c>
      <c r="N52" s="1">
        <v>11</v>
      </c>
      <c r="P52" s="1" t="str" cm="1">
        <f t="array" ref="P52:P78">_xlfn.LAMBDA(_xlpm.row,IFERROR(_xlfn.RANK.EQ(_xlpm.row,M$52:M$78,1),""))(M$52:M$78)</f>
        <v/>
      </c>
      <c r="Q52" s="1" cm="1">
        <f t="array" ref="Q52:Q78">_xlfn.LAMBDA(_xlpm.row,IFERROR(_xlfn.RANK.EQ(_xlpm.row,N$52:N$78,1),""))(N$52:N$78)</f>
        <v>3</v>
      </c>
      <c r="S52" s="1" t="str" cm="1">
        <f t="array" ref="S52:S58">_xlfn.CHOOSECOLS(_xlfn._xlws.FILTER(L52:Q78,P52:P78&lt;=7),1)</f>
        <v>Bufonobi</v>
      </c>
      <c r="T52" s="1" t="str" cm="1">
        <f t="array" ref="T52:T58">_xlfn.CHOOSECOLS(_xlfn._xlws.FILTER(L52:Q78,Q52:Q78&lt;=7),1)</f>
        <v>Abuzzinian</v>
      </c>
    </row>
    <row r="53" spans="7:20" s="1" customFormat="1" ht="12" x14ac:dyDescent="0.2">
      <c r="G53" s="1">
        <v>18</v>
      </c>
      <c r="H53" s="1" t="str">
        <v/>
      </c>
      <c r="L53" s="1" t="str">
        <v>Baboom</v>
      </c>
      <c r="M53" s="1">
        <v>21</v>
      </c>
      <c r="N53" s="1" t="str">
        <v/>
      </c>
      <c r="P53" s="1">
        <v>10</v>
      </c>
      <c r="Q53" s="1" t="str">
        <v/>
      </c>
      <c r="S53" s="1" t="str">
        <v>Fleurizard</v>
      </c>
      <c r="T53" s="1" t="str">
        <v>Barkplug</v>
      </c>
    </row>
    <row r="54" spans="7:20" s="1" customFormat="1" ht="12" x14ac:dyDescent="0.2">
      <c r="G54" s="1" t="str">
        <v/>
      </c>
      <c r="H54" s="1">
        <v>15</v>
      </c>
      <c r="L54" s="1" t="str">
        <v>Barkplug</v>
      </c>
      <c r="M54" s="1" t="str">
        <v/>
      </c>
      <c r="N54" s="1">
        <v>18</v>
      </c>
      <c r="P54" s="1" t="str">
        <v/>
      </c>
      <c r="Q54" s="1">
        <v>7</v>
      </c>
      <c r="S54" s="1" t="str">
        <v>Hoofrit</v>
      </c>
      <c r="T54" s="1" t="str">
        <v>Fulgairy</v>
      </c>
    </row>
    <row r="55" spans="7:20" s="1" customFormat="1" ht="12" x14ac:dyDescent="0.2">
      <c r="G55" s="1">
        <v>12</v>
      </c>
      <c r="H55" s="1" t="str">
        <v/>
      </c>
      <c r="L55" s="1" t="str">
        <v>Battereina</v>
      </c>
      <c r="M55" s="1">
        <v>15</v>
      </c>
      <c r="N55" s="1" t="str">
        <v/>
      </c>
      <c r="P55" s="1">
        <v>8</v>
      </c>
      <c r="Q55" s="1" t="str">
        <v/>
      </c>
      <c r="S55" s="1" t="str">
        <v>Lucidina</v>
      </c>
      <c r="T55" s="1" t="str">
        <v>Ghillant</v>
      </c>
    </row>
    <row r="56" spans="7:20" s="1" customFormat="1" ht="12" x14ac:dyDescent="0.2">
      <c r="G56" s="1">
        <v>17</v>
      </c>
      <c r="H56" s="1" t="str">
        <v/>
      </c>
      <c r="L56" s="1" t="str">
        <v>Blazeal</v>
      </c>
      <c r="M56" s="1">
        <v>20</v>
      </c>
      <c r="N56" s="1" t="str">
        <v/>
      </c>
      <c r="P56" s="1">
        <v>9</v>
      </c>
      <c r="Q56" s="1" t="str">
        <v/>
      </c>
      <c r="S56" s="1" t="str">
        <v>Oleana</v>
      </c>
      <c r="T56" s="1" t="str">
        <v>Gnashfin</v>
      </c>
    </row>
    <row r="57" spans="7:20" s="1" customFormat="1" ht="12" x14ac:dyDescent="0.2">
      <c r="G57" s="1">
        <v>1</v>
      </c>
      <c r="H57" s="1" t="str">
        <v/>
      </c>
      <c r="L57" s="1" t="str">
        <v>Bufonobi</v>
      </c>
      <c r="M57" s="1">
        <v>2</v>
      </c>
      <c r="N57" s="1" t="str">
        <v/>
      </c>
      <c r="P57" s="1">
        <v>1</v>
      </c>
      <c r="Q57" s="1" t="str">
        <v/>
      </c>
      <c r="S57" s="1" t="str">
        <v>Pipistrigoi</v>
      </c>
      <c r="T57" s="1" t="str">
        <v>Kungpaw</v>
      </c>
    </row>
    <row r="58" spans="7:20" s="1" customFormat="1" ht="12" x14ac:dyDescent="0.2">
      <c r="G58" s="1" t="str">
        <v/>
      </c>
      <c r="H58" s="1">
        <v>21</v>
      </c>
      <c r="L58" s="1" t="str">
        <v>Dolphriend</v>
      </c>
      <c r="M58" s="1" t="str">
        <v/>
      </c>
      <c r="N58" s="1">
        <v>24</v>
      </c>
      <c r="P58" s="1" t="str">
        <v/>
      </c>
      <c r="Q58" s="1">
        <v>10</v>
      </c>
      <c r="S58" s="1" t="str">
        <v>Spookaboo</v>
      </c>
      <c r="T58" s="1" t="str">
        <v>Magmolin</v>
      </c>
    </row>
    <row r="59" spans="7:20" s="1" customFormat="1" ht="12" x14ac:dyDescent="0.2">
      <c r="G59" s="1" t="str">
        <v/>
      </c>
      <c r="H59" s="1">
        <v>19</v>
      </c>
      <c r="L59" s="1" t="str">
        <v>Escarffier</v>
      </c>
      <c r="M59" s="1" t="str">
        <v/>
      </c>
      <c r="N59" s="1">
        <v>22</v>
      </c>
      <c r="P59" s="1" t="str">
        <v/>
      </c>
      <c r="Q59" s="1">
        <v>9</v>
      </c>
    </row>
    <row r="60" spans="7:20" s="1" customFormat="1" ht="12" x14ac:dyDescent="0.2">
      <c r="G60" s="1">
        <v>26</v>
      </c>
      <c r="H60" s="1" t="str">
        <v/>
      </c>
      <c r="L60" s="1" t="str">
        <v>Fingenue</v>
      </c>
      <c r="M60" s="1">
        <v>31</v>
      </c>
      <c r="N60" s="1" t="str">
        <v/>
      </c>
      <c r="P60" s="1">
        <v>15</v>
      </c>
      <c r="Q60" s="1" t="str">
        <v/>
      </c>
    </row>
    <row r="61" spans="7:20" s="1" customFormat="1" ht="12" x14ac:dyDescent="0.2">
      <c r="G61" s="1">
        <v>3</v>
      </c>
      <c r="H61" s="1" t="str">
        <v/>
      </c>
      <c r="L61" s="1" t="str">
        <v>Fleurizard</v>
      </c>
      <c r="M61" s="1">
        <v>5</v>
      </c>
      <c r="N61" s="1" t="str">
        <v/>
      </c>
      <c r="P61" s="1">
        <v>2</v>
      </c>
      <c r="Q61" s="1" t="str">
        <v/>
      </c>
    </row>
    <row r="62" spans="7:20" s="1" customFormat="1" ht="12" x14ac:dyDescent="0.2">
      <c r="G62" s="1" t="str">
        <v/>
      </c>
      <c r="H62" s="1">
        <v>14</v>
      </c>
      <c r="L62" s="1" t="str">
        <v>Fulgairy</v>
      </c>
      <c r="M62" s="1" t="str">
        <v/>
      </c>
      <c r="N62" s="1">
        <v>17</v>
      </c>
      <c r="P62" s="1" t="str">
        <v/>
      </c>
      <c r="Q62" s="1">
        <v>6</v>
      </c>
    </row>
    <row r="63" spans="7:20" s="1" customFormat="1" ht="12" x14ac:dyDescent="0.2">
      <c r="G63" s="1" t="str">
        <v/>
      </c>
      <c r="H63" s="1">
        <v>7</v>
      </c>
      <c r="L63" s="1" t="str">
        <v>Ghillant</v>
      </c>
      <c r="M63" s="1" t="str">
        <v/>
      </c>
      <c r="N63" s="1">
        <v>10</v>
      </c>
      <c r="P63" s="1" t="str">
        <v/>
      </c>
      <c r="Q63" s="1">
        <v>2</v>
      </c>
    </row>
    <row r="64" spans="7:20" s="1" customFormat="1" ht="12" x14ac:dyDescent="0.2">
      <c r="G64" s="1" t="str">
        <v/>
      </c>
      <c r="H64" s="1">
        <v>2</v>
      </c>
      <c r="L64" s="1" t="str">
        <v>Gnashfin</v>
      </c>
      <c r="M64" s="1" t="str">
        <v/>
      </c>
      <c r="N64" s="1">
        <v>4</v>
      </c>
      <c r="P64" s="1" t="str">
        <v/>
      </c>
      <c r="Q64" s="1">
        <v>1</v>
      </c>
    </row>
    <row r="65" spans="7:20" s="1" customFormat="1" ht="12" x14ac:dyDescent="0.2">
      <c r="G65" s="1" t="str">
        <v/>
      </c>
      <c r="H65" s="1">
        <v>27</v>
      </c>
      <c r="L65" s="1" t="str">
        <v>Gnashley</v>
      </c>
      <c r="M65" s="1" t="str">
        <v/>
      </c>
      <c r="N65" s="1">
        <v>32</v>
      </c>
      <c r="P65" s="1" t="str">
        <v/>
      </c>
      <c r="Q65" s="1">
        <v>12</v>
      </c>
    </row>
    <row r="66" spans="7:20" s="1" customFormat="1" ht="12" x14ac:dyDescent="0.2">
      <c r="G66" s="1">
        <v>10</v>
      </c>
      <c r="H66" s="1" t="str">
        <v/>
      </c>
      <c r="L66" s="1" t="str">
        <v>Hoofrit</v>
      </c>
      <c r="M66" s="1">
        <v>13</v>
      </c>
      <c r="N66" s="1" t="str">
        <v/>
      </c>
      <c r="P66" s="1">
        <v>6</v>
      </c>
      <c r="Q66" s="1" t="str">
        <v/>
      </c>
    </row>
    <row r="67" spans="7:20" s="1" customFormat="1" ht="12" x14ac:dyDescent="0.2">
      <c r="G67" s="1" t="str">
        <v/>
      </c>
      <c r="H67" s="1">
        <v>9</v>
      </c>
      <c r="L67" s="1" t="str">
        <v>Kungpaw</v>
      </c>
      <c r="M67" s="1" t="str">
        <v/>
      </c>
      <c r="N67" s="1">
        <v>12</v>
      </c>
      <c r="P67" s="1" t="str">
        <v/>
      </c>
      <c r="Q67" s="1">
        <v>4</v>
      </c>
    </row>
    <row r="68" spans="7:20" s="1" customFormat="1" ht="12" x14ac:dyDescent="0.2">
      <c r="G68" s="1">
        <v>24</v>
      </c>
      <c r="H68" s="1" t="str">
        <v/>
      </c>
      <c r="L68" s="1" t="str">
        <v>Limudroid</v>
      </c>
      <c r="M68" s="1">
        <v>28</v>
      </c>
      <c r="N68" s="1" t="str">
        <v/>
      </c>
      <c r="P68" s="1">
        <v>14</v>
      </c>
      <c r="Q68" s="1" t="str">
        <v/>
      </c>
    </row>
    <row r="69" spans="7:20" s="1" customFormat="1" ht="12" x14ac:dyDescent="0.2">
      <c r="G69" s="1">
        <v>11</v>
      </c>
      <c r="H69" s="1" t="str">
        <v/>
      </c>
      <c r="L69" s="1" t="str">
        <v>Lucidina</v>
      </c>
      <c r="M69" s="1">
        <v>14</v>
      </c>
      <c r="N69" s="1" t="str">
        <v/>
      </c>
      <c r="P69" s="1">
        <v>7</v>
      </c>
      <c r="Q69" s="1" t="str">
        <v/>
      </c>
    </row>
    <row r="70" spans="7:20" s="1" customFormat="1" ht="12" x14ac:dyDescent="0.2">
      <c r="G70" s="1" t="str">
        <v/>
      </c>
      <c r="H70" s="1">
        <v>13</v>
      </c>
      <c r="L70" s="1" t="str">
        <v>Magmolin</v>
      </c>
      <c r="M70" s="1" t="str">
        <v/>
      </c>
      <c r="N70" s="1">
        <v>16</v>
      </c>
      <c r="P70" s="1" t="str">
        <v/>
      </c>
      <c r="Q70" s="1">
        <v>5</v>
      </c>
    </row>
    <row r="71" spans="7:20" s="1" customFormat="1" ht="12" x14ac:dyDescent="0.2">
      <c r="G71" s="1">
        <v>20</v>
      </c>
      <c r="H71" s="1" t="str">
        <v/>
      </c>
      <c r="L71" s="1" t="str">
        <v>Mantleray</v>
      </c>
      <c r="M71" s="1">
        <v>23</v>
      </c>
      <c r="N71" s="1" t="str">
        <v/>
      </c>
      <c r="P71" s="1">
        <v>11</v>
      </c>
      <c r="Q71" s="1" t="str">
        <v/>
      </c>
    </row>
    <row r="72" spans="7:20" s="1" customFormat="1" ht="12" x14ac:dyDescent="0.2">
      <c r="G72" s="1">
        <v>23</v>
      </c>
      <c r="H72" s="1" t="str">
        <v/>
      </c>
      <c r="L72" s="1" t="str">
        <v>Ninjump</v>
      </c>
      <c r="M72" s="1">
        <v>26</v>
      </c>
      <c r="N72" s="1" t="str">
        <v/>
      </c>
      <c r="P72" s="1">
        <v>13</v>
      </c>
      <c r="Q72" s="1" t="str">
        <v/>
      </c>
    </row>
    <row r="73" spans="7:20" s="1" customFormat="1" ht="12" x14ac:dyDescent="0.2">
      <c r="G73" s="1">
        <v>4</v>
      </c>
      <c r="H73" s="1" t="str">
        <v/>
      </c>
      <c r="L73" s="1" t="str">
        <v>Oleana</v>
      </c>
      <c r="M73" s="1">
        <v>7</v>
      </c>
      <c r="N73" s="1" t="str">
        <v/>
      </c>
      <c r="P73" s="1">
        <v>3</v>
      </c>
      <c r="Q73" s="1" t="str">
        <v/>
      </c>
    </row>
    <row r="74" spans="7:20" s="1" customFormat="1" ht="12" x14ac:dyDescent="0.2">
      <c r="G74" s="1">
        <v>6</v>
      </c>
      <c r="H74" s="1" t="str">
        <v/>
      </c>
      <c r="L74" s="1" t="str">
        <v>Pipistrigoi</v>
      </c>
      <c r="M74" s="1">
        <v>9</v>
      </c>
      <c r="N74" s="1" t="str">
        <v/>
      </c>
      <c r="P74" s="1">
        <v>5</v>
      </c>
      <c r="Q74" s="1" t="str">
        <v/>
      </c>
    </row>
    <row r="75" spans="7:20" s="1" customFormat="1" ht="12" x14ac:dyDescent="0.2">
      <c r="G75" s="1" t="str">
        <v/>
      </c>
      <c r="H75" s="1">
        <v>25</v>
      </c>
      <c r="L75" s="1" t="str">
        <v>Regalion</v>
      </c>
      <c r="M75" s="1" t="str">
        <v/>
      </c>
      <c r="N75" s="1">
        <v>29</v>
      </c>
      <c r="P75" s="1" t="str">
        <v/>
      </c>
      <c r="Q75" s="1">
        <v>11</v>
      </c>
    </row>
    <row r="76" spans="7:20" s="1" customFormat="1" ht="12" x14ac:dyDescent="0.2">
      <c r="G76" s="1">
        <v>22</v>
      </c>
      <c r="H76" s="1" t="str">
        <v/>
      </c>
      <c r="L76" s="1" t="str">
        <v>Salamantis</v>
      </c>
      <c r="M76" s="1">
        <v>25</v>
      </c>
      <c r="N76" s="1" t="str">
        <v/>
      </c>
      <c r="P76" s="1">
        <v>12</v>
      </c>
      <c r="Q76" s="1" t="str">
        <v/>
      </c>
    </row>
    <row r="77" spans="7:20" s="1" customFormat="1" ht="12" x14ac:dyDescent="0.2">
      <c r="G77" s="1">
        <v>5</v>
      </c>
      <c r="H77" s="1" t="str">
        <v/>
      </c>
      <c r="L77" s="1" t="str">
        <v>Spookaboo</v>
      </c>
      <c r="M77" s="1">
        <v>8</v>
      </c>
      <c r="N77" s="1" t="str">
        <v/>
      </c>
      <c r="P77" s="1">
        <v>4</v>
      </c>
      <c r="Q77" s="1" t="str">
        <v/>
      </c>
    </row>
    <row r="78" spans="7:20" s="1" customFormat="1" ht="12" x14ac:dyDescent="0.2">
      <c r="G78" s="1" t="str">
        <v/>
      </c>
      <c r="H78" s="1">
        <v>16</v>
      </c>
      <c r="L78" s="1" t="str">
        <v>Statchew</v>
      </c>
      <c r="M78" s="1" t="str">
        <v/>
      </c>
      <c r="N78" s="1">
        <v>19</v>
      </c>
      <c r="P78" s="1" t="str">
        <v/>
      </c>
      <c r="Q78" s="1">
        <v>8</v>
      </c>
    </row>
    <row r="79" spans="7:20" s="1" customFormat="1" ht="12" x14ac:dyDescent="0.2">
      <c r="L79" s="1" t="str">
        <v>Surveilynx</v>
      </c>
      <c r="M79" s="1">
        <v>30</v>
      </c>
      <c r="N79" s="1" t="str">
        <v/>
      </c>
      <c r="Q79" s="53"/>
      <c r="R79" s="53"/>
      <c r="S79" s="53"/>
      <c r="T79" s="53"/>
    </row>
    <row r="80" spans="7:20" s="1" customFormat="1" ht="12" x14ac:dyDescent="0.2">
      <c r="L80" s="1" t="str">
        <v>Vulpyrean</v>
      </c>
      <c r="M80" s="1">
        <v>3</v>
      </c>
      <c r="N80" s="1" t="str">
        <v/>
      </c>
    </row>
    <row r="81" s="1" customFormat="1" ht="12" x14ac:dyDescent="0.2"/>
    <row r="82" s="1" customFormat="1" ht="12" x14ac:dyDescent="0.2"/>
    <row r="83" s="1" customFormat="1" ht="12" x14ac:dyDescent="0.2"/>
    <row r="84" s="1" customFormat="1" ht="12" x14ac:dyDescent="0.2"/>
    <row r="85" s="1" customFormat="1" ht="12" x14ac:dyDescent="0.2"/>
    <row r="86" s="1" customFormat="1" ht="12" x14ac:dyDescent="0.2"/>
    <row r="87" s="1" customFormat="1" ht="12" x14ac:dyDescent="0.2"/>
    <row r="88" s="1" customFormat="1" ht="12" x14ac:dyDescent="0.2"/>
    <row r="89" s="1" customFormat="1" ht="12" x14ac:dyDescent="0.2"/>
    <row r="90" s="1" customFormat="1" ht="12" x14ac:dyDescent="0.2"/>
    <row r="91" s="1" customFormat="1" ht="12" x14ac:dyDescent="0.2"/>
    <row r="92" s="1" customFormat="1" ht="12" x14ac:dyDescent="0.2"/>
    <row r="93" s="1" customFormat="1" ht="12" x14ac:dyDescent="0.2"/>
    <row r="94" s="1" customFormat="1" ht="12" x14ac:dyDescent="0.2"/>
    <row r="95" s="1" customFormat="1" ht="12" x14ac:dyDescent="0.2"/>
    <row r="96" s="1" customFormat="1" ht="12" x14ac:dyDescent="0.2"/>
    <row r="97" s="1" customFormat="1" ht="12" x14ac:dyDescent="0.2"/>
    <row r="98" s="1" customFormat="1" ht="12" x14ac:dyDescent="0.2"/>
    <row r="99" s="1" customFormat="1" ht="12" x14ac:dyDescent="0.2"/>
    <row r="100" s="1" customFormat="1" ht="12" x14ac:dyDescent="0.2"/>
    <row r="101" s="1" customFormat="1" ht="12" x14ac:dyDescent="0.2"/>
    <row r="102" s="1" customFormat="1" ht="12" x14ac:dyDescent="0.2"/>
    <row r="103" s="1" customFormat="1" ht="12" x14ac:dyDescent="0.2"/>
    <row r="104" s="1" customFormat="1" ht="12" x14ac:dyDescent="0.2"/>
    <row r="105" s="1" customFormat="1" ht="12" x14ac:dyDescent="0.2"/>
    <row r="106" s="1" customFormat="1" ht="12" x14ac:dyDescent="0.2"/>
    <row r="107" s="1" customFormat="1" ht="12" x14ac:dyDescent="0.2"/>
    <row r="108" s="1" customFormat="1" ht="12" x14ac:dyDescent="0.2"/>
    <row r="109" s="1" customFormat="1" ht="12" x14ac:dyDescent="0.2"/>
    <row r="110" s="1" customFormat="1" ht="12" x14ac:dyDescent="0.2"/>
    <row r="111" s="1" customFormat="1" ht="12" x14ac:dyDescent="0.2"/>
    <row r="112" s="1" customFormat="1" ht="12" x14ac:dyDescent="0.2"/>
    <row r="113" s="1" customFormat="1" ht="12" x14ac:dyDescent="0.2"/>
    <row r="114" s="1" customFormat="1" ht="12" x14ac:dyDescent="0.2"/>
    <row r="115" s="1" customFormat="1" ht="12" x14ac:dyDescent="0.2"/>
    <row r="116" s="1" customFormat="1" ht="12" x14ac:dyDescent="0.2"/>
    <row r="117" s="1" customFormat="1" ht="12" x14ac:dyDescent="0.2"/>
    <row r="118" s="1" customFormat="1" ht="12" x14ac:dyDescent="0.2"/>
    <row r="119" s="1" customFormat="1" ht="12" x14ac:dyDescent="0.2"/>
    <row r="120" s="1" customFormat="1" ht="12" x14ac:dyDescent="0.2"/>
    <row r="121" s="1" customFormat="1" ht="12" x14ac:dyDescent="0.2"/>
    <row r="122" s="1" customFormat="1" ht="12" x14ac:dyDescent="0.2"/>
    <row r="123" s="1" customFormat="1" ht="12" x14ac:dyDescent="0.2"/>
    <row r="124" s="1" customFormat="1" ht="12" x14ac:dyDescent="0.2"/>
    <row r="125" s="1" customFormat="1" ht="12" x14ac:dyDescent="0.2"/>
    <row r="126" s="1" customFormat="1" ht="12" x14ac:dyDescent="0.2"/>
    <row r="127" s="1" customFormat="1" ht="12" x14ac:dyDescent="0.2"/>
    <row r="128" s="1" customFormat="1" ht="12" x14ac:dyDescent="0.2"/>
    <row r="129" s="1" customFormat="1" ht="12" x14ac:dyDescent="0.2"/>
    <row r="130" s="1" customFormat="1" ht="12" x14ac:dyDescent="0.2"/>
    <row r="131" s="1" customFormat="1" ht="12" x14ac:dyDescent="0.2"/>
    <row r="132" s="1" customFormat="1" ht="12" x14ac:dyDescent="0.2"/>
    <row r="133" s="1" customFormat="1" ht="12" x14ac:dyDescent="0.2"/>
    <row r="134" s="1" customFormat="1" ht="12" x14ac:dyDescent="0.2"/>
    <row r="135" s="1" customFormat="1" ht="12" x14ac:dyDescent="0.2"/>
    <row r="136" s="1" customFormat="1" ht="12" x14ac:dyDescent="0.2"/>
    <row r="137" s="1" customFormat="1" ht="12" x14ac:dyDescent="0.2"/>
    <row r="138" s="1" customFormat="1" ht="12" x14ac:dyDescent="0.2"/>
    <row r="139" s="1" customFormat="1" ht="12" x14ac:dyDescent="0.2"/>
    <row r="140" s="1" customFormat="1" ht="12" x14ac:dyDescent="0.2"/>
    <row r="141" s="1" customFormat="1" ht="12" x14ac:dyDescent="0.2"/>
    <row r="142" s="1" customFormat="1" ht="12" x14ac:dyDescent="0.2"/>
    <row r="143" s="1" customFormat="1" ht="12" x14ac:dyDescent="0.2"/>
    <row r="144" s="1" customFormat="1" ht="12" x14ac:dyDescent="0.2"/>
    <row r="145" s="1" customFormat="1" ht="12" x14ac:dyDescent="0.2"/>
    <row r="146" s="1" customFormat="1" ht="12" x14ac:dyDescent="0.2"/>
    <row r="147" s="1" customFormat="1" ht="12" x14ac:dyDescent="0.2"/>
    <row r="148" s="1" customFormat="1" ht="12" x14ac:dyDescent="0.2"/>
    <row r="149" s="1" customFormat="1" ht="12" x14ac:dyDescent="0.2"/>
    <row r="150" s="1" customFormat="1" ht="12" x14ac:dyDescent="0.2"/>
    <row r="151" s="1" customFormat="1" ht="12" x14ac:dyDescent="0.2"/>
    <row r="152" s="1" customFormat="1" ht="12" x14ac:dyDescent="0.2"/>
    <row r="153" s="1" customFormat="1" ht="12" x14ac:dyDescent="0.2"/>
    <row r="154" s="1" customFormat="1" ht="12" x14ac:dyDescent="0.2"/>
    <row r="155" s="1" customFormat="1" ht="12" x14ac:dyDescent="0.2"/>
    <row r="156" s="1" customFormat="1" ht="12" x14ac:dyDescent="0.2"/>
    <row r="157" s="1" customFormat="1" ht="12" x14ac:dyDescent="0.2"/>
    <row r="158" s="1" customFormat="1" ht="12" x14ac:dyDescent="0.2"/>
    <row r="159" s="1" customFormat="1" ht="12" x14ac:dyDescent="0.2"/>
    <row r="160" s="1" customFormat="1" ht="12" x14ac:dyDescent="0.2"/>
    <row r="161" s="1" customFormat="1" ht="12" x14ac:dyDescent="0.2"/>
    <row r="162" s="1" customFormat="1" ht="12" x14ac:dyDescent="0.2"/>
    <row r="163" s="1" customFormat="1" ht="12" x14ac:dyDescent="0.2"/>
    <row r="164" s="1" customFormat="1" ht="12" x14ac:dyDescent="0.2"/>
    <row r="165" s="1" customFormat="1" ht="12" x14ac:dyDescent="0.2"/>
    <row r="166" s="1" customFormat="1" ht="12" x14ac:dyDescent="0.2"/>
    <row r="167" s="1" customFormat="1" ht="12" x14ac:dyDescent="0.2"/>
    <row r="168" s="1" customFormat="1" ht="12" x14ac:dyDescent="0.2"/>
    <row r="169" s="1" customFormat="1" ht="12" x14ac:dyDescent="0.2"/>
    <row r="170" s="1" customFormat="1" ht="12" x14ac:dyDescent="0.2"/>
    <row r="171" s="1" customFormat="1" ht="12" x14ac:dyDescent="0.2"/>
    <row r="172" s="1" customFormat="1" ht="12" x14ac:dyDescent="0.2"/>
    <row r="173" s="1" customFormat="1" ht="12" x14ac:dyDescent="0.2"/>
    <row r="174" s="1" customFormat="1" ht="12" x14ac:dyDescent="0.2"/>
    <row r="175" s="1" customFormat="1" ht="12" x14ac:dyDescent="0.2"/>
    <row r="176" s="1" customFormat="1" ht="12" x14ac:dyDescent="0.2"/>
    <row r="177" s="1" customFormat="1" ht="12" x14ac:dyDescent="0.2"/>
    <row r="178" s="1" customFormat="1" ht="12" x14ac:dyDescent="0.2"/>
    <row r="179" s="1" customFormat="1" ht="12" x14ac:dyDescent="0.2"/>
    <row r="180" s="1" customFormat="1" ht="12" x14ac:dyDescent="0.2"/>
    <row r="181" s="1" customFormat="1" ht="12" x14ac:dyDescent="0.2"/>
    <row r="182" s="1" customFormat="1" ht="12" x14ac:dyDescent="0.2"/>
    <row r="183" s="1" customFormat="1" ht="12" x14ac:dyDescent="0.2"/>
    <row r="184" s="1" customFormat="1" ht="12" x14ac:dyDescent="0.2"/>
    <row r="185" s="1" customFormat="1" ht="12" x14ac:dyDescent="0.2"/>
    <row r="186" s="1" customFormat="1" ht="12" x14ac:dyDescent="0.2"/>
    <row r="187" s="1" customFormat="1" ht="12" x14ac:dyDescent="0.2"/>
    <row r="188" s="1" customFormat="1" ht="12" x14ac:dyDescent="0.2"/>
    <row r="189" s="1" customFormat="1" ht="12" x14ac:dyDescent="0.2"/>
    <row r="190" s="1" customFormat="1" ht="12" x14ac:dyDescent="0.2"/>
    <row r="191" s="1" customFormat="1" ht="12" x14ac:dyDescent="0.2"/>
    <row r="192" s="1" customFormat="1" ht="12" x14ac:dyDescent="0.2"/>
    <row r="193" s="1" customFormat="1" ht="12" x14ac:dyDescent="0.2"/>
    <row r="194" s="1" customFormat="1" ht="12" x14ac:dyDescent="0.2"/>
    <row r="195" s="1" customFormat="1" ht="12" x14ac:dyDescent="0.2"/>
    <row r="196" s="1" customFormat="1" ht="12" x14ac:dyDescent="0.2"/>
    <row r="197" s="1" customFormat="1" ht="12" x14ac:dyDescent="0.2"/>
    <row r="198" s="1" customFormat="1" ht="12" x14ac:dyDescent="0.2"/>
    <row r="199" s="1" customFormat="1" ht="12" x14ac:dyDescent="0.2"/>
    <row r="200" s="1" customFormat="1" ht="12" x14ac:dyDescent="0.2"/>
    <row r="201" s="1" customFormat="1" ht="12" x14ac:dyDescent="0.2"/>
    <row r="202" s="1" customFormat="1" ht="12" x14ac:dyDescent="0.2"/>
    <row r="203" s="1" customFormat="1" ht="12" x14ac:dyDescent="0.2"/>
    <row r="204" s="1" customFormat="1" ht="12" x14ac:dyDescent="0.2"/>
    <row r="205" s="1" customFormat="1" ht="12" x14ac:dyDescent="0.2"/>
    <row r="206" s="1" customFormat="1" ht="12" x14ac:dyDescent="0.2"/>
    <row r="207" s="1" customFormat="1" ht="12" x14ac:dyDescent="0.2"/>
    <row r="208" s="1" customFormat="1" ht="12" x14ac:dyDescent="0.2"/>
    <row r="209" s="1" customFormat="1" ht="12" x14ac:dyDescent="0.2"/>
    <row r="210" s="1" customFormat="1" ht="12" x14ac:dyDescent="0.2"/>
    <row r="211" s="1" customFormat="1" ht="12" x14ac:dyDescent="0.2"/>
    <row r="212" s="1" customFormat="1" ht="12" x14ac:dyDescent="0.2"/>
    <row r="213" s="1" customFormat="1" ht="12" x14ac:dyDescent="0.2"/>
    <row r="214" s="1" customFormat="1" ht="12" x14ac:dyDescent="0.2"/>
    <row r="215" s="1" customFormat="1" ht="12" x14ac:dyDescent="0.2"/>
    <row r="216" s="1" customFormat="1" ht="12" x14ac:dyDescent="0.2"/>
    <row r="217" s="1" customFormat="1" ht="12" x14ac:dyDescent="0.2"/>
    <row r="218" s="1" customFormat="1" ht="12" x14ac:dyDescent="0.2"/>
    <row r="219" s="1" customFormat="1" ht="12" x14ac:dyDescent="0.2"/>
    <row r="220" s="1" customFormat="1" ht="12" x14ac:dyDescent="0.2"/>
    <row r="221" s="1" customFormat="1" ht="12" x14ac:dyDescent="0.2"/>
    <row r="222" s="1" customFormat="1" ht="12" x14ac:dyDescent="0.2"/>
    <row r="223" s="1" customFormat="1" ht="12" x14ac:dyDescent="0.2"/>
    <row r="224" s="1" customFormat="1" ht="12" x14ac:dyDescent="0.2"/>
    <row r="225" s="1" customFormat="1" ht="12" x14ac:dyDescent="0.2"/>
    <row r="226" s="1" customFormat="1" ht="12" x14ac:dyDescent="0.2"/>
    <row r="227" s="1" customFormat="1" ht="12" x14ac:dyDescent="0.2"/>
    <row r="228" s="1" customFormat="1" ht="12" x14ac:dyDescent="0.2"/>
    <row r="229" s="1" customFormat="1" ht="12" x14ac:dyDescent="0.2"/>
    <row r="230" s="1" customFormat="1" ht="12" x14ac:dyDescent="0.2"/>
    <row r="231" s="1" customFormat="1" ht="12" x14ac:dyDescent="0.2"/>
    <row r="232" s="1" customFormat="1" ht="12" x14ac:dyDescent="0.2"/>
    <row r="233" s="1" customFormat="1" ht="12" x14ac:dyDescent="0.2"/>
    <row r="234" s="1" customFormat="1" ht="12" x14ac:dyDescent="0.2"/>
    <row r="235" s="1" customFormat="1" ht="12" x14ac:dyDescent="0.2"/>
    <row r="236" s="1" customFormat="1" ht="12" x14ac:dyDescent="0.2"/>
  </sheetData>
  <mergeCells count="6">
    <mergeCell ref="L40:N40"/>
    <mergeCell ref="E2:J2"/>
    <mergeCell ref="M2:S2"/>
    <mergeCell ref="M32:O32"/>
    <mergeCell ref="M12:Q12"/>
    <mergeCell ref="M22:S22"/>
  </mergeCells>
  <conditionalFormatting sqref="B6:D45">
    <cfRule type="expression" dxfId="61" priority="43">
      <formula>$C6="Fire"</formula>
    </cfRule>
    <cfRule type="expression" dxfId="60" priority="44">
      <formula>$C6="Water"</formula>
    </cfRule>
    <cfRule type="expression" dxfId="59" priority="45">
      <formula>$C6="Electricity"</formula>
    </cfRule>
    <cfRule type="expression" dxfId="58" priority="46">
      <formula>$C6="Wood"</formula>
    </cfRule>
  </conditionalFormatting>
  <conditionalFormatting sqref="L16:L19 U16:U19">
    <cfRule type="expression" dxfId="57" priority="39">
      <formula>$L16="Fire"</formula>
    </cfRule>
    <cfRule type="expression" dxfId="56" priority="40">
      <formula>$L16="Water"</formula>
    </cfRule>
    <cfRule type="expression" dxfId="55" priority="41">
      <formula>$L16="Electricity"</formula>
    </cfRule>
    <cfRule type="expression" dxfId="54" priority="42">
      <formula>$L16="Wood"</formula>
    </cfRule>
  </conditionalFormatting>
  <conditionalFormatting sqref="L26:L29">
    <cfRule type="expression" dxfId="53" priority="35">
      <formula>$L26="Fire"</formula>
    </cfRule>
    <cfRule type="expression" dxfId="52" priority="36">
      <formula>$L26="Water"</formula>
    </cfRule>
    <cfRule type="expression" dxfId="51" priority="37">
      <formula>$L26="Electricity"</formula>
    </cfRule>
    <cfRule type="expression" dxfId="50" priority="38">
      <formula>$L26="Wood"</formula>
    </cfRule>
  </conditionalFormatting>
  <conditionalFormatting sqref="L34:L37">
    <cfRule type="expression" dxfId="49" priority="31">
      <formula>$L34="Fire"</formula>
    </cfRule>
    <cfRule type="expression" dxfId="48" priority="32">
      <formula>$L34="Water"</formula>
    </cfRule>
    <cfRule type="expression" dxfId="47" priority="33">
      <formula>$L34="Electricity"</formula>
    </cfRule>
    <cfRule type="expression" dxfId="46" priority="34">
      <formula>$L34="Wood"</formula>
    </cfRule>
  </conditionalFormatting>
  <conditionalFormatting sqref="L41:N41">
    <cfRule type="iconSet" priority="21">
      <iconSet iconSet="3Flags">
        <cfvo type="percent" val="0"/>
        <cfvo type="percent" val="33"/>
        <cfvo type="percent" val="67"/>
      </iconSet>
    </cfRule>
  </conditionalFormatting>
  <conditionalFormatting sqref="L42:N48">
    <cfRule type="expression" dxfId="45" priority="17">
      <formula>VLOOKUP(L42,PalmonList,2,FALSE)="Wood"</formula>
    </cfRule>
    <cfRule type="expression" dxfId="44" priority="18">
      <formula>VLOOKUP(L42,PalmonList,2,FALSE)="Fire"</formula>
    </cfRule>
    <cfRule type="expression" dxfId="43" priority="19">
      <formula>VLOOKUP(L42,PalmonList,2,FALSE)="Electricity"</formula>
    </cfRule>
    <cfRule type="expression" dxfId="42" priority="20">
      <formula>VLOOKUP(L42,PalmonList,2,FALSE)="Water"</formula>
    </cfRule>
  </conditionalFormatting>
  <conditionalFormatting sqref="M33:O33">
    <cfRule type="iconSet" priority="26">
      <iconSet iconSet="3Flags">
        <cfvo type="percent" val="0"/>
        <cfvo type="percent" val="33"/>
        <cfvo type="percent" val="67"/>
      </iconSet>
    </cfRule>
  </conditionalFormatting>
  <conditionalFormatting sqref="Q34:Q37">
    <cfRule type="expression" dxfId="41" priority="5">
      <formula>$L34="Fire"</formula>
    </cfRule>
    <cfRule type="expression" dxfId="40" priority="6">
      <formula>$L34="Water"</formula>
    </cfRule>
    <cfRule type="expression" dxfId="39" priority="7">
      <formula>$L34="Electricity"</formula>
    </cfRule>
    <cfRule type="expression" dxfId="38" priority="8">
      <formula>$L34="Wood"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A954-5CF5-4857-B469-2FF65933EFCC}">
  <sheetPr codeName="Feuil3"/>
  <dimension ref="A1:J10"/>
  <sheetViews>
    <sheetView workbookViewId="0">
      <selection activeCell="B3" sqref="B3:C8"/>
    </sheetView>
  </sheetViews>
  <sheetFormatPr baseColWidth="10" defaultRowHeight="15" x14ac:dyDescent="0.25"/>
  <cols>
    <col min="1" max="1" width="1.42578125" customWidth="1"/>
  </cols>
  <sheetData>
    <row r="1" spans="1:10" ht="7.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thickBot="1" x14ac:dyDescent="0.3">
      <c r="A2" s="1"/>
      <c r="B2" s="286" t="s">
        <v>34</v>
      </c>
      <c r="C2" s="287"/>
      <c r="D2" s="287"/>
      <c r="E2" s="287"/>
      <c r="F2" s="58" t="s">
        <v>19</v>
      </c>
      <c r="G2" s="60">
        <f>VLOOKUP($G$7,PalmonList,8,FALSE)</f>
        <v>0</v>
      </c>
      <c r="H2" s="277" t="e" vm="1">
        <f>IFERROR(_xlfn.IMAGE(VLOOKUP($G$7,PalmonList,30,FALSE),$G$7,0),"")</f>
        <v>#VALUE!</v>
      </c>
      <c r="I2" s="278"/>
      <c r="J2" s="279"/>
    </row>
    <row r="3" spans="1:10" ht="15.75" thickBot="1" x14ac:dyDescent="0.3">
      <c r="A3" s="1"/>
      <c r="B3" s="223" t="s">
        <v>17</v>
      </c>
      <c r="C3" s="222" t="s">
        <v>20</v>
      </c>
      <c r="D3" s="222" t="s">
        <v>21</v>
      </c>
      <c r="E3" s="222" t="s">
        <v>8</v>
      </c>
      <c r="F3" s="59" t="s">
        <v>18</v>
      </c>
      <c r="G3" s="224">
        <f>VLOOKUP($G$7,PalmonList,7,FALSE)</f>
        <v>5</v>
      </c>
      <c r="H3" s="280"/>
      <c r="I3" s="281"/>
      <c r="J3" s="282"/>
    </row>
    <row r="4" spans="1:10" x14ac:dyDescent="0.25">
      <c r="A4" s="1"/>
      <c r="B4" s="225">
        <v>1</v>
      </c>
      <c r="C4" s="4">
        <v>5</v>
      </c>
      <c r="D4" s="4">
        <f>C4*5</f>
        <v>25</v>
      </c>
      <c r="E4" s="4">
        <f>SUM(D$4:D4)</f>
        <v>25</v>
      </c>
      <c r="F4" s="57">
        <f>IFERROR(CHOOSE(IF($G$3&gt;=$B4,1,2),$D4,IF($G$3&gt;$B4-1,IF($G$3&lt;1,$G3,MOD($G$3,$B4-1))*10*$C4,""))/$D4,0)</f>
        <v>1</v>
      </c>
      <c r="G4" s="226"/>
      <c r="H4" s="280"/>
      <c r="I4" s="281"/>
      <c r="J4" s="282"/>
    </row>
    <row r="5" spans="1:10" x14ac:dyDescent="0.25">
      <c r="A5" s="1"/>
      <c r="B5" s="225">
        <v>2</v>
      </c>
      <c r="C5" s="4">
        <v>10</v>
      </c>
      <c r="D5" s="4">
        <f>C5*5</f>
        <v>50</v>
      </c>
      <c r="E5" s="4">
        <f>SUM(D$4:D5)</f>
        <v>75</v>
      </c>
      <c r="F5" s="9">
        <f>IFERROR(CHOOSE(IF($G$3&gt;=$B5,1,2),$D5,IF($G$3&gt;$B5-1,IF($G$3&lt;1,$G4,MOD($G$3,$B5-1))*10*$C5,""))/$D5,0)</f>
        <v>1</v>
      </c>
      <c r="G5" s="226"/>
      <c r="H5" s="280"/>
      <c r="I5" s="281"/>
      <c r="J5" s="282"/>
    </row>
    <row r="6" spans="1:10" ht="15.75" thickBot="1" x14ac:dyDescent="0.3">
      <c r="A6" s="1"/>
      <c r="B6" s="225">
        <v>3</v>
      </c>
      <c r="C6" s="4">
        <v>20</v>
      </c>
      <c r="D6" s="4">
        <f>C6*5</f>
        <v>100</v>
      </c>
      <c r="E6" s="4">
        <f>SUM(D$4:D6)</f>
        <v>175</v>
      </c>
      <c r="F6" s="9">
        <f>IFERROR(CHOOSE(IF($G$3&gt;=$B6,1,2),$D6,IF($G$3&gt;$B6-1,IF($G$3&lt;1,$G5,MOD($G$3,$B6-1))*10*$C6,""))/$D6,0)</f>
        <v>1</v>
      </c>
      <c r="G6" s="226"/>
      <c r="H6" s="280"/>
      <c r="I6" s="281"/>
      <c r="J6" s="282"/>
    </row>
    <row r="7" spans="1:10" x14ac:dyDescent="0.25">
      <c r="A7" s="1"/>
      <c r="B7" s="225">
        <v>4</v>
      </c>
      <c r="C7" s="4">
        <v>60</v>
      </c>
      <c r="D7" s="4">
        <f>C7*5</f>
        <v>300</v>
      </c>
      <c r="E7" s="4">
        <f>SUM(D$4:D7)</f>
        <v>475</v>
      </c>
      <c r="F7" s="9">
        <f>IFERROR(CHOOSE(IF($G$3&gt;=$B7,1,2),$D7,IF($G$3&gt;$B7-1,IF($G$3&lt;1,$G6,MOD($G$3,$B7-1))*10*$C7,""))/$D7,0)</f>
        <v>1</v>
      </c>
      <c r="G7" s="227" t="s">
        <v>139</v>
      </c>
      <c r="H7" s="280"/>
      <c r="I7" s="281"/>
      <c r="J7" s="282"/>
    </row>
    <row r="8" spans="1:10" ht="15.75" thickBot="1" x14ac:dyDescent="0.3">
      <c r="A8" s="1"/>
      <c r="B8" s="228">
        <v>5</v>
      </c>
      <c r="C8" s="229">
        <v>100</v>
      </c>
      <c r="D8" s="229">
        <f>C8*5</f>
        <v>500</v>
      </c>
      <c r="E8" s="229">
        <f>SUM(D$4:D8)</f>
        <v>975</v>
      </c>
      <c r="F8" s="21">
        <f>IFERROR(CHOOSE(IF($G$3&gt;=$B8,1,2),$D8,IF($G$3&gt;$B8-1,IF($G$3&lt;1,#REF!,MOD($G$3,$B8-1))*10*$C8,""))/$D8,0)</f>
        <v>1</v>
      </c>
      <c r="G8" s="230" t="s">
        <v>22</v>
      </c>
      <c r="H8" s="280"/>
      <c r="I8" s="281"/>
      <c r="J8" s="282"/>
    </row>
    <row r="9" spans="1:10" ht="15.75" thickBot="1" x14ac:dyDescent="0.3">
      <c r="A9" s="1"/>
      <c r="B9" s="1"/>
      <c r="C9" s="231" t="s">
        <v>35</v>
      </c>
      <c r="D9" s="232">
        <f>SUM(D4:D8)</f>
        <v>975</v>
      </c>
      <c r="E9" s="232">
        <f>MAX(E4:E8)</f>
        <v>975</v>
      </c>
      <c r="F9" s="232">
        <f>D9-SUMPRODUCT($F$4:$F$8,D4:D8)-$G$2</f>
        <v>0</v>
      </c>
      <c r="G9" s="233">
        <f>SUMPRODUCT($F$4:$F$8,$D$4:$D$8)/$D$9</f>
        <v>1</v>
      </c>
      <c r="H9" s="283"/>
      <c r="I9" s="284"/>
      <c r="J9" s="285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H2:J9"/>
    <mergeCell ref="B2:E2"/>
  </mergeCells>
  <conditionalFormatting sqref="F4:F8 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{7E4A0B37-ABE0-4881-93BF-58A9FA10D33E}</x14:id>
        </ext>
      </extLst>
    </cfRule>
  </conditionalFormatting>
  <dataValidations count="2">
    <dataValidation type="list" allowBlank="1" showInputMessage="1" showErrorMessage="1" sqref="G7" xr:uid="{C5C19A02-7631-4143-A30A-43AED478D2C9}">
      <formula1>PalmonNamesSorted</formula1>
    </dataValidation>
    <dataValidation operator="greaterThanOrEqual" allowBlank="1" showInputMessage="1" showErrorMessage="1" sqref="G2" xr:uid="{B4C34211-6777-45D4-A236-553846120186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A0B37-ABE0-4881-93BF-58A9FA10D3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F4:F8 G9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DAFC-3933-4794-AFEE-6324617705C8}">
  <sheetPr codeName="Feuil4"/>
  <dimension ref="A1:AF302"/>
  <sheetViews>
    <sheetView workbookViewId="0">
      <selection activeCell="H284" sqref="H284"/>
    </sheetView>
  </sheetViews>
  <sheetFormatPr baseColWidth="10" defaultRowHeight="12" x14ac:dyDescent="0.2"/>
  <cols>
    <col min="1" max="6" width="11.42578125" style="1"/>
    <col min="7" max="7" width="1.42578125" style="1" customWidth="1"/>
    <col min="8" max="9" width="11.42578125" style="1"/>
    <col min="10" max="10" width="12.140625" style="1" bestFit="1" customWidth="1"/>
    <col min="11" max="12" width="11.42578125" style="1"/>
    <col min="13" max="13" width="1.42578125" style="1" customWidth="1"/>
    <col min="14" max="18" width="11.42578125" style="1"/>
    <col min="19" max="20" width="1.42578125" style="1" customWidth="1"/>
    <col min="21" max="21" width="12.7109375" style="1" bestFit="1" customWidth="1"/>
    <col min="22" max="23" width="1.42578125" style="1" customWidth="1"/>
    <col min="24" max="16384" width="11.42578125" style="1"/>
  </cols>
  <sheetData>
    <row r="1" spans="1:32" ht="12.75" thickBot="1" x14ac:dyDescent="0.25">
      <c r="A1" s="290" t="s">
        <v>88</v>
      </c>
      <c r="B1" s="291"/>
      <c r="C1" s="291"/>
      <c r="D1" s="291"/>
      <c r="E1" s="291"/>
      <c r="F1" s="292"/>
      <c r="H1" s="290" t="s">
        <v>89</v>
      </c>
      <c r="I1" s="291"/>
      <c r="J1" s="291"/>
      <c r="K1" s="291"/>
      <c r="L1" s="292"/>
      <c r="N1" s="290" t="s">
        <v>103</v>
      </c>
      <c r="O1" s="291"/>
      <c r="P1" s="291"/>
      <c r="Q1" s="291"/>
      <c r="R1" s="292"/>
    </row>
    <row r="2" spans="1:32" x14ac:dyDescent="0.2">
      <c r="A2" s="54" t="s">
        <v>13</v>
      </c>
      <c r="B2" s="54" t="s">
        <v>14</v>
      </c>
      <c r="C2" s="55" t="s">
        <v>12</v>
      </c>
      <c r="D2" s="55" t="s">
        <v>7</v>
      </c>
      <c r="E2" s="55" t="s">
        <v>8</v>
      </c>
      <c r="F2" s="12" t="s">
        <v>24</v>
      </c>
      <c r="H2" s="54" t="str">
        <f>A$2</f>
        <v>Lvl from</v>
      </c>
      <c r="I2" s="55" t="str">
        <f>C2</f>
        <v>Cost</v>
      </c>
      <c r="J2" s="55" t="str">
        <f>D2</f>
        <v>Diff réelle</v>
      </c>
      <c r="K2" s="55" t="str">
        <f>E2</f>
        <v>Cumul</v>
      </c>
      <c r="L2" s="12" t="str">
        <f>F2</f>
        <v>Cost (screen)</v>
      </c>
      <c r="N2" s="54" t="s">
        <v>79</v>
      </c>
      <c r="O2" s="55" t="s">
        <v>83</v>
      </c>
      <c r="P2" s="55" t="s">
        <v>104</v>
      </c>
      <c r="Q2" s="55" t="s">
        <v>105</v>
      </c>
      <c r="R2" s="12" t="s">
        <v>106</v>
      </c>
      <c r="U2" s="243" t="s">
        <v>111</v>
      </c>
      <c r="X2" s="239" t="s">
        <v>33</v>
      </c>
      <c r="Y2" s="238" t="s">
        <v>0</v>
      </c>
      <c r="Z2" s="238" t="s">
        <v>1</v>
      </c>
      <c r="AA2" s="238" t="s">
        <v>2</v>
      </c>
      <c r="AB2" s="238" t="s">
        <v>3</v>
      </c>
      <c r="AC2" s="238" t="s">
        <v>4</v>
      </c>
    </row>
    <row r="3" spans="1:32" x14ac:dyDescent="0.2">
      <c r="A3" s="2">
        <f t="shared" ref="A3:A66" si="0">B3-1</f>
        <v>0</v>
      </c>
      <c r="B3" s="3">
        <f>ROW()-ROW($B$2)</f>
        <v>1</v>
      </c>
      <c r="C3" s="4">
        <v>0</v>
      </c>
      <c r="D3" s="4" t="str">
        <f>IF(AND(C3&gt;0,ISNUMBER(C2)),C3-C2,"")</f>
        <v/>
      </c>
      <c r="E3" s="4">
        <f>IF(ISNUMBER(E2),E2,0)+C3</f>
        <v>0</v>
      </c>
      <c r="F3" s="3" t="str" cm="1">
        <f t="array" ref="F3">CostScreen($C3)</f>
        <v>0</v>
      </c>
      <c r="H3" s="2">
        <f>A3</f>
        <v>0</v>
      </c>
      <c r="I3" s="4">
        <v>0</v>
      </c>
      <c r="J3" s="4" t="str">
        <f>IF(AND(I3&gt;0,ISNUMBER(I2)),I3-I2,"")</f>
        <v/>
      </c>
      <c r="K3" s="4">
        <f>IF(ISNUMBER(K2),K2,0)+I3</f>
        <v>0</v>
      </c>
      <c r="L3" s="3" t="str" cm="1">
        <f t="array" ref="L3">CostScreen($I3)</f>
        <v>0</v>
      </c>
      <c r="N3" s="2">
        <f>IFERROR(N2+IF(AND(O2=CHOOSE(IF(N2=1,1,2),4,6),P2=10),1,0),1)</f>
        <v>1</v>
      </c>
      <c r="O3" s="4">
        <v>0</v>
      </c>
      <c r="P3" s="4"/>
      <c r="Q3" s="4">
        <v>20</v>
      </c>
      <c r="R3" s="3"/>
      <c r="U3" s="53" t="str" cm="1">
        <f t="array" ref="U3:U35">_xlfn._xlws.SORT(_xlfn._xlws.FILTER(Palmon!B3:B47,Palmon!E3:E47&gt;0))</f>
        <v>Abuzzinian</v>
      </c>
      <c r="X3" s="8" t="s">
        <v>5</v>
      </c>
      <c r="Y3" s="18">
        <v>256</v>
      </c>
      <c r="Z3" s="18">
        <f>Y3/4</f>
        <v>64</v>
      </c>
      <c r="AA3" s="18">
        <f>Z3/4</f>
        <v>16</v>
      </c>
      <c r="AB3" s="18">
        <f>AA3/4</f>
        <v>4</v>
      </c>
      <c r="AC3" s="18">
        <f>AB3/4</f>
        <v>1</v>
      </c>
    </row>
    <row r="4" spans="1:32" x14ac:dyDescent="0.2">
      <c r="A4" s="2">
        <f t="shared" si="0"/>
        <v>1</v>
      </c>
      <c r="B4" s="3">
        <f t="shared" ref="B4:B67" si="1">ROW()-ROW($B$2)</f>
        <v>2</v>
      </c>
      <c r="C4" s="4">
        <v>100</v>
      </c>
      <c r="D4" s="4">
        <f t="shared" ref="D4:D67" si="2">IF(AND(C4&gt;0,ISNUMBER(C3)),C4-C3,"")</f>
        <v>100</v>
      </c>
      <c r="E4" s="4">
        <f t="shared" ref="E4:E67" si="3">IF(ISNUMBER(E3),E3+C4,"")</f>
        <v>100</v>
      </c>
      <c r="F4" s="3" t="str" cm="1">
        <f t="array" ref="F4">CostScreen($C4)</f>
        <v>100</v>
      </c>
      <c r="H4" s="2">
        <f>H3+1</f>
        <v>1</v>
      </c>
      <c r="I4" s="4">
        <v>100</v>
      </c>
      <c r="J4" s="4">
        <f t="shared" ref="J4:J32" si="4">IF(AND(I4&gt;0,ISNUMBER(I3)),I4-I3,"")</f>
        <v>100</v>
      </c>
      <c r="K4" s="4">
        <f t="shared" ref="K4:K32" si="5">IF(ISNUMBER(K3),K3+I4,"")</f>
        <v>100</v>
      </c>
      <c r="L4" s="3" t="str" cm="1">
        <f t="array" ref="L4">CostScreen($I4)</f>
        <v>100</v>
      </c>
      <c r="N4" s="2">
        <f t="shared" ref="N4:N67" si="6">IFERROR(N3+IF(AND(O3=CHOOSE(IF(N3=1,1,2),4,6),P3=10),1,0),1)</f>
        <v>1</v>
      </c>
      <c r="O4" s="4">
        <f>IF(AND(O3=CHOOSE(IF(N3=1,1,2),4,6),P3=10),1,IF(P3=10,IF(O3=0,1,O3)+1,IF(O3=0,1,O3)))</f>
        <v>1</v>
      </c>
      <c r="P4" s="4">
        <f>IFERROR(IF(P3=10,0,P3)+1,1)</f>
        <v>1</v>
      </c>
      <c r="Q4" s="4">
        <v>600</v>
      </c>
      <c r="R4" s="3"/>
      <c r="U4" s="1" t="str">
        <v>Baboom</v>
      </c>
      <c r="X4" s="8" t="s">
        <v>6</v>
      </c>
      <c r="Y4" s="18">
        <f>Z4*4</f>
        <v>1280000</v>
      </c>
      <c r="Z4" s="18">
        <f>AA4*4</f>
        <v>320000</v>
      </c>
      <c r="AA4" s="18">
        <f>AB4*4</f>
        <v>80000</v>
      </c>
      <c r="AB4" s="18">
        <f>AC4*4</f>
        <v>20000</v>
      </c>
      <c r="AC4" s="18">
        <v>5000</v>
      </c>
    </row>
    <row r="5" spans="1:32" x14ac:dyDescent="0.2">
      <c r="A5" s="2">
        <f t="shared" si="0"/>
        <v>2</v>
      </c>
      <c r="B5" s="3">
        <f t="shared" si="1"/>
        <v>3</v>
      </c>
      <c r="C5" s="4">
        <v>200</v>
      </c>
      <c r="D5" s="4">
        <f t="shared" si="2"/>
        <v>100</v>
      </c>
      <c r="E5" s="4">
        <f t="shared" si="3"/>
        <v>300</v>
      </c>
      <c r="F5" s="3" t="str" cm="1">
        <f t="array" ref="F5">CostScreen($C5)</f>
        <v>200</v>
      </c>
      <c r="H5" s="2">
        <f t="shared" ref="H5:H32" si="7">H4+1</f>
        <v>2</v>
      </c>
      <c r="I5" s="4">
        <v>200</v>
      </c>
      <c r="J5" s="4">
        <f t="shared" si="4"/>
        <v>100</v>
      </c>
      <c r="K5" s="4">
        <f t="shared" si="5"/>
        <v>300</v>
      </c>
      <c r="L5" s="3" t="str" cm="1">
        <f t="array" ref="L5">CostScreen($I5)</f>
        <v>200</v>
      </c>
      <c r="N5" s="2">
        <f t="shared" si="6"/>
        <v>1</v>
      </c>
      <c r="O5" s="4">
        <f t="shared" ref="O5:O68" si="8">IF(AND(O4=CHOOSE(IF(N4=1,1,2),4,6),P4=10),1,IF(P4=10,IF(O4=0,1,O4)+1,IF(O4=0,1,O4)))</f>
        <v>1</v>
      </c>
      <c r="P5" s="4">
        <f t="shared" ref="P5:P68" si="9">IFERROR(IF(P4=10,0,P4)+1,1)</f>
        <v>2</v>
      </c>
      <c r="Q5" s="4">
        <v>600</v>
      </c>
      <c r="R5" s="3"/>
      <c r="U5" s="1" t="str">
        <v>Barkplug</v>
      </c>
      <c r="X5" s="8" t="s">
        <v>16</v>
      </c>
      <c r="Y5" s="4">
        <f>MAX(AC4-AC6-Y6,0)</f>
        <v>0</v>
      </c>
      <c r="Z5" s="4">
        <f>Z6+Y6/4</f>
        <v>27900</v>
      </c>
      <c r="AA5" s="4">
        <f>AA6+Z5/4</f>
        <v>6977</v>
      </c>
      <c r="AB5" s="4">
        <f>AB6+AA5/4</f>
        <v>2716.25</v>
      </c>
      <c r="AC5" s="4">
        <f>AC4-AC6-AB5/4</f>
        <v>1079.9375</v>
      </c>
    </row>
    <row r="6" spans="1:32" x14ac:dyDescent="0.2">
      <c r="A6" s="2">
        <f t="shared" si="0"/>
        <v>3</v>
      </c>
      <c r="B6" s="3">
        <f t="shared" si="1"/>
        <v>4</v>
      </c>
      <c r="C6" s="4">
        <v>300</v>
      </c>
      <c r="D6" s="4">
        <f t="shared" si="2"/>
        <v>100</v>
      </c>
      <c r="E6" s="4">
        <f t="shared" si="3"/>
        <v>600</v>
      </c>
      <c r="F6" s="3" t="str" cm="1">
        <f t="array" ref="F6">CostScreen($C6)</f>
        <v>300</v>
      </c>
      <c r="H6" s="2">
        <f t="shared" si="7"/>
        <v>3</v>
      </c>
      <c r="I6" s="4">
        <v>300</v>
      </c>
      <c r="J6" s="4">
        <f t="shared" si="4"/>
        <v>100</v>
      </c>
      <c r="K6" s="4">
        <f t="shared" si="5"/>
        <v>600</v>
      </c>
      <c r="L6" s="3" t="str" cm="1">
        <f t="array" ref="L6">CostScreen($I6)</f>
        <v>300</v>
      </c>
      <c r="N6" s="2">
        <f t="shared" si="6"/>
        <v>1</v>
      </c>
      <c r="O6" s="4">
        <f t="shared" si="8"/>
        <v>1</v>
      </c>
      <c r="P6" s="4">
        <f t="shared" si="9"/>
        <v>3</v>
      </c>
      <c r="Q6" s="4">
        <v>600</v>
      </c>
      <c r="R6" s="3"/>
      <c r="U6" s="1" t="str">
        <v>Battereina</v>
      </c>
      <c r="X6" s="11" t="s">
        <v>15</v>
      </c>
      <c r="Y6" s="6">
        <v>111592</v>
      </c>
      <c r="Z6" s="6">
        <v>2</v>
      </c>
      <c r="AA6" s="6">
        <v>2</v>
      </c>
      <c r="AB6" s="6">
        <v>972</v>
      </c>
      <c r="AC6" s="6">
        <v>3241</v>
      </c>
    </row>
    <row r="7" spans="1:32" ht="12.75" customHeight="1" thickBot="1" x14ac:dyDescent="0.25">
      <c r="A7" s="2">
        <f t="shared" si="0"/>
        <v>4</v>
      </c>
      <c r="B7" s="3">
        <f t="shared" si="1"/>
        <v>5</v>
      </c>
      <c r="C7" s="4">
        <v>400</v>
      </c>
      <c r="D7" s="4">
        <f t="shared" si="2"/>
        <v>100</v>
      </c>
      <c r="E7" s="4">
        <f t="shared" si="3"/>
        <v>1000</v>
      </c>
      <c r="F7" s="3" t="str" cm="1">
        <f t="array" ref="F7">CostScreen($C7)</f>
        <v>400</v>
      </c>
      <c r="H7" s="2">
        <f t="shared" si="7"/>
        <v>4</v>
      </c>
      <c r="I7" s="4">
        <v>400</v>
      </c>
      <c r="J7" s="4">
        <f t="shared" si="4"/>
        <v>100</v>
      </c>
      <c r="K7" s="4">
        <f t="shared" si="5"/>
        <v>1000</v>
      </c>
      <c r="L7" s="3" t="str" cm="1">
        <f t="array" ref="L7">CostScreen($I7)</f>
        <v>400</v>
      </c>
      <c r="N7" s="2">
        <f t="shared" si="6"/>
        <v>1</v>
      </c>
      <c r="O7" s="4">
        <f t="shared" si="8"/>
        <v>1</v>
      </c>
      <c r="P7" s="4">
        <f t="shared" si="9"/>
        <v>4</v>
      </c>
      <c r="Q7" s="4">
        <v>600</v>
      </c>
      <c r="R7" s="3"/>
      <c r="U7" s="1" t="str">
        <v>Blazeal</v>
      </c>
    </row>
    <row r="8" spans="1:32" ht="12.75" customHeight="1" thickBot="1" x14ac:dyDescent="0.25">
      <c r="A8" s="2">
        <f t="shared" si="0"/>
        <v>5</v>
      </c>
      <c r="B8" s="3">
        <f t="shared" si="1"/>
        <v>6</v>
      </c>
      <c r="C8" s="4">
        <v>500</v>
      </c>
      <c r="D8" s="4">
        <f t="shared" si="2"/>
        <v>100</v>
      </c>
      <c r="E8" s="4">
        <f t="shared" si="3"/>
        <v>1500</v>
      </c>
      <c r="F8" s="3" t="str" cm="1">
        <f t="array" ref="F8">CostScreen($C8)</f>
        <v>500</v>
      </c>
      <c r="H8" s="2">
        <f t="shared" si="7"/>
        <v>5</v>
      </c>
      <c r="I8" s="4">
        <v>600</v>
      </c>
      <c r="J8" s="4">
        <f t="shared" si="4"/>
        <v>200</v>
      </c>
      <c r="K8" s="4">
        <f t="shared" si="5"/>
        <v>1600</v>
      </c>
      <c r="L8" s="3" t="str" cm="1">
        <f t="array" ref="L8">CostScreen($I8)</f>
        <v>600</v>
      </c>
      <c r="N8" s="2">
        <f t="shared" si="6"/>
        <v>1</v>
      </c>
      <c r="O8" s="4">
        <f t="shared" si="8"/>
        <v>1</v>
      </c>
      <c r="P8" s="4">
        <f t="shared" si="9"/>
        <v>5</v>
      </c>
      <c r="Q8" s="4">
        <v>600</v>
      </c>
      <c r="R8" s="3"/>
      <c r="U8" s="1" t="str">
        <v>Bufonobi</v>
      </c>
      <c r="Z8" s="293" t="s">
        <v>30</v>
      </c>
      <c r="AA8" s="294"/>
      <c r="AB8" s="294"/>
      <c r="AC8" s="294"/>
      <c r="AD8" s="295"/>
    </row>
    <row r="9" spans="1:32" ht="12.75" customHeight="1" thickBot="1" x14ac:dyDescent="0.25">
      <c r="A9" s="2">
        <f t="shared" si="0"/>
        <v>6</v>
      </c>
      <c r="B9" s="3">
        <f t="shared" si="1"/>
        <v>7</v>
      </c>
      <c r="C9" s="4">
        <v>600</v>
      </c>
      <c r="D9" s="4">
        <f t="shared" si="2"/>
        <v>100</v>
      </c>
      <c r="E9" s="4">
        <f t="shared" si="3"/>
        <v>2100</v>
      </c>
      <c r="F9" s="3" t="str" cm="1">
        <f t="array" ref="F9">CostScreen($C9)</f>
        <v>600</v>
      </c>
      <c r="H9" s="2">
        <f t="shared" si="7"/>
        <v>6</v>
      </c>
      <c r="I9" s="4">
        <v>800</v>
      </c>
      <c r="J9" s="4">
        <f t="shared" si="4"/>
        <v>200</v>
      </c>
      <c r="K9" s="4">
        <f t="shared" si="5"/>
        <v>2400</v>
      </c>
      <c r="L9" s="3" t="str" cm="1">
        <f t="array" ref="L9">CostScreen($I9)</f>
        <v>800</v>
      </c>
      <c r="N9" s="2">
        <f t="shared" si="6"/>
        <v>1</v>
      </c>
      <c r="O9" s="4">
        <f t="shared" si="8"/>
        <v>1</v>
      </c>
      <c r="P9" s="4">
        <f t="shared" si="9"/>
        <v>6</v>
      </c>
      <c r="Q9" s="4">
        <v>600</v>
      </c>
      <c r="R9" s="3"/>
      <c r="U9" s="1" t="str">
        <v>Dolphriend</v>
      </c>
      <c r="Z9" s="99" t="s">
        <v>25</v>
      </c>
      <c r="AA9" s="100" t="s">
        <v>26</v>
      </c>
      <c r="AB9" s="100" t="s">
        <v>27</v>
      </c>
      <c r="AC9" s="100" t="s">
        <v>28</v>
      </c>
      <c r="AD9" s="101" t="s">
        <v>29</v>
      </c>
    </row>
    <row r="10" spans="1:32" ht="12.75" customHeight="1" thickBot="1" x14ac:dyDescent="0.25">
      <c r="A10" s="2">
        <f t="shared" si="0"/>
        <v>7</v>
      </c>
      <c r="B10" s="3">
        <f t="shared" si="1"/>
        <v>8</v>
      </c>
      <c r="C10" s="4">
        <v>700</v>
      </c>
      <c r="D10" s="4">
        <f t="shared" si="2"/>
        <v>100</v>
      </c>
      <c r="E10" s="4">
        <f t="shared" si="3"/>
        <v>2800</v>
      </c>
      <c r="F10" s="3" t="str" cm="1">
        <f t="array" ref="F10">CostScreen($C10)</f>
        <v>700</v>
      </c>
      <c r="H10" s="2">
        <f t="shared" si="7"/>
        <v>7</v>
      </c>
      <c r="I10" s="4">
        <v>1000</v>
      </c>
      <c r="J10" s="4">
        <f t="shared" si="4"/>
        <v>200</v>
      </c>
      <c r="K10" s="4">
        <f t="shared" si="5"/>
        <v>3400</v>
      </c>
      <c r="L10" s="3" t="str" cm="1">
        <f t="array" ref="L10">CostScreen($I10)</f>
        <v>1K</v>
      </c>
      <c r="N10" s="2">
        <f t="shared" si="6"/>
        <v>1</v>
      </c>
      <c r="O10" s="4">
        <f t="shared" si="8"/>
        <v>1</v>
      </c>
      <c r="P10" s="4">
        <f t="shared" si="9"/>
        <v>7</v>
      </c>
      <c r="Q10" s="4">
        <v>600</v>
      </c>
      <c r="R10" s="3"/>
      <c r="U10" s="1" t="str">
        <v>Escarffier</v>
      </c>
      <c r="Z10" s="102">
        <v>8</v>
      </c>
      <c r="AA10" s="103">
        <v>3</v>
      </c>
      <c r="AB10" s="103">
        <v>1</v>
      </c>
      <c r="AC10" s="104">
        <f>1/12</f>
        <v>8.3333333333333329E-2</v>
      </c>
      <c r="AD10" s="104">
        <f>1/60</f>
        <v>1.6666666666666666E-2</v>
      </c>
      <c r="AE10" s="288" t="s">
        <v>32</v>
      </c>
      <c r="AF10" s="289"/>
    </row>
    <row r="11" spans="1:32" ht="12.75" customHeight="1" x14ac:dyDescent="0.2">
      <c r="A11" s="2">
        <f t="shared" si="0"/>
        <v>8</v>
      </c>
      <c r="B11" s="3">
        <f t="shared" si="1"/>
        <v>9</v>
      </c>
      <c r="C11" s="7">
        <v>800</v>
      </c>
      <c r="D11" s="4">
        <f t="shared" si="2"/>
        <v>100</v>
      </c>
      <c r="E11" s="4">
        <f t="shared" si="3"/>
        <v>3600</v>
      </c>
      <c r="F11" s="3" t="str" cm="1">
        <f t="array" ref="F11">CostScreen($C11)</f>
        <v>800</v>
      </c>
      <c r="H11" s="2">
        <f t="shared" si="7"/>
        <v>8</v>
      </c>
      <c r="I11" s="7">
        <v>1200</v>
      </c>
      <c r="J11" s="4">
        <f t="shared" si="4"/>
        <v>200</v>
      </c>
      <c r="K11" s="4">
        <f t="shared" si="5"/>
        <v>4600</v>
      </c>
      <c r="L11" s="3" t="str" cm="1">
        <f t="array" ref="L11">CostScreen($I11)</f>
        <v>1,2K</v>
      </c>
      <c r="N11" s="2">
        <f t="shared" si="6"/>
        <v>1</v>
      </c>
      <c r="O11" s="4">
        <f t="shared" si="8"/>
        <v>1</v>
      </c>
      <c r="P11" s="4">
        <f t="shared" si="9"/>
        <v>8</v>
      </c>
      <c r="Q11" s="4">
        <v>600</v>
      </c>
      <c r="R11" s="3"/>
      <c r="U11" s="1" t="str">
        <v>Fingenue</v>
      </c>
      <c r="X11" s="144" t="s">
        <v>43</v>
      </c>
      <c r="Y11" s="90" t="s">
        <v>36</v>
      </c>
      <c r="Z11" s="98">
        <v>5</v>
      </c>
      <c r="AA11" s="56">
        <v>30</v>
      </c>
      <c r="AB11" s="56">
        <v>5</v>
      </c>
      <c r="AC11" s="56">
        <v>10270</v>
      </c>
      <c r="AD11" s="105">
        <v>8917</v>
      </c>
      <c r="AE11" s="108">
        <f t="shared" ref="AE11:AE16" si="10">SUMPRODUCT($Z$10:$AD$10,Z11:AD11)</f>
        <v>1139.4499999999998</v>
      </c>
      <c r="AF11" s="109" t="str">
        <f t="shared" ref="AF11:AF16" si="11">INT(AE11/24) &amp; "d " &amp; INT((AE11/24-INT(AE11/24))*60) &amp; "h"</f>
        <v>47d 28h</v>
      </c>
    </row>
    <row r="12" spans="1:32" ht="12.75" customHeight="1" x14ac:dyDescent="0.2">
      <c r="A12" s="2">
        <f t="shared" si="0"/>
        <v>9</v>
      </c>
      <c r="B12" s="3">
        <f t="shared" si="1"/>
        <v>10</v>
      </c>
      <c r="C12" s="4">
        <v>900</v>
      </c>
      <c r="D12" s="4">
        <f t="shared" si="2"/>
        <v>100</v>
      </c>
      <c r="E12" s="4">
        <f t="shared" si="3"/>
        <v>4500</v>
      </c>
      <c r="F12" s="3" t="str" cm="1">
        <f t="array" ref="F12">CostScreen($C12)</f>
        <v>900</v>
      </c>
      <c r="H12" s="2">
        <f t="shared" si="7"/>
        <v>9</v>
      </c>
      <c r="I12" s="4">
        <v>1400</v>
      </c>
      <c r="J12" s="4">
        <f t="shared" si="4"/>
        <v>200</v>
      </c>
      <c r="K12" s="4">
        <f t="shared" si="5"/>
        <v>6000</v>
      </c>
      <c r="L12" s="3" t="str" cm="1">
        <f t="array" ref="L12">CostScreen($I12)</f>
        <v>1,4K</v>
      </c>
      <c r="N12" s="2">
        <f t="shared" si="6"/>
        <v>1</v>
      </c>
      <c r="O12" s="4">
        <f t="shared" si="8"/>
        <v>1</v>
      </c>
      <c r="P12" s="4">
        <f t="shared" si="9"/>
        <v>9</v>
      </c>
      <c r="Q12" s="4">
        <v>600</v>
      </c>
      <c r="R12" s="3"/>
      <c r="U12" s="1" t="str">
        <v>Fleurizard</v>
      </c>
      <c r="X12" s="145" t="s">
        <v>42</v>
      </c>
      <c r="Y12" s="93" t="s">
        <v>37</v>
      </c>
      <c r="Z12" s="91">
        <v>42</v>
      </c>
      <c r="AA12" s="6">
        <v>36</v>
      </c>
      <c r="AB12" s="6">
        <v>97</v>
      </c>
      <c r="AC12" s="6">
        <v>3090</v>
      </c>
      <c r="AD12" s="106">
        <v>11223</v>
      </c>
      <c r="AE12" s="110">
        <f t="shared" si="10"/>
        <v>985.55</v>
      </c>
      <c r="AF12" s="111" t="str">
        <f t="shared" si="11"/>
        <v>41d 3h</v>
      </c>
    </row>
    <row r="13" spans="1:32" ht="12.75" customHeight="1" x14ac:dyDescent="0.2">
      <c r="A13" s="2">
        <f t="shared" si="0"/>
        <v>10</v>
      </c>
      <c r="B13" s="3">
        <f t="shared" si="1"/>
        <v>11</v>
      </c>
      <c r="C13" s="4">
        <v>1000</v>
      </c>
      <c r="D13" s="4">
        <f t="shared" si="2"/>
        <v>100</v>
      </c>
      <c r="E13" s="4">
        <f t="shared" si="3"/>
        <v>5500</v>
      </c>
      <c r="F13" s="3" t="str" cm="1">
        <f t="array" ref="F13">CostScreen($C13)</f>
        <v>1K</v>
      </c>
      <c r="H13" s="2">
        <f t="shared" si="7"/>
        <v>10</v>
      </c>
      <c r="I13" s="4">
        <v>1700</v>
      </c>
      <c r="J13" s="4">
        <f t="shared" si="4"/>
        <v>300</v>
      </c>
      <c r="K13" s="4">
        <f t="shared" si="5"/>
        <v>7700</v>
      </c>
      <c r="L13" s="3" t="str" cm="1">
        <f t="array" ref="L13">CostScreen($I13)</f>
        <v>1,7K</v>
      </c>
      <c r="N13" s="2">
        <f t="shared" si="6"/>
        <v>1</v>
      </c>
      <c r="O13" s="4">
        <f t="shared" si="8"/>
        <v>1</v>
      </c>
      <c r="P13" s="4">
        <f t="shared" si="9"/>
        <v>10</v>
      </c>
      <c r="Q13" s="4">
        <v>600</v>
      </c>
      <c r="R13" s="3"/>
      <c r="U13" s="1" t="str">
        <v>Fulgairy</v>
      </c>
      <c r="X13" s="146" t="s">
        <v>47</v>
      </c>
      <c r="Y13" s="94" t="s">
        <v>38</v>
      </c>
      <c r="Z13" s="91">
        <v>32</v>
      </c>
      <c r="AA13" s="6">
        <v>18</v>
      </c>
      <c r="AB13" s="6">
        <v>49</v>
      </c>
      <c r="AC13" s="6">
        <v>2830</v>
      </c>
      <c r="AD13" s="106">
        <v>4000</v>
      </c>
      <c r="AE13" s="110">
        <f t="shared" si="10"/>
        <v>661.49999999999989</v>
      </c>
      <c r="AF13" s="111" t="str">
        <f t="shared" si="11"/>
        <v>27d 33h</v>
      </c>
    </row>
    <row r="14" spans="1:32" ht="12.75" customHeight="1" x14ac:dyDescent="0.2">
      <c r="A14" s="2">
        <f t="shared" si="0"/>
        <v>11</v>
      </c>
      <c r="B14" s="3">
        <f t="shared" si="1"/>
        <v>12</v>
      </c>
      <c r="C14" s="4">
        <v>1100</v>
      </c>
      <c r="D14" s="4">
        <f t="shared" si="2"/>
        <v>100</v>
      </c>
      <c r="E14" s="4">
        <f t="shared" si="3"/>
        <v>6600</v>
      </c>
      <c r="F14" s="3" t="str" cm="1">
        <f t="array" ref="F14">CostScreen($C14)</f>
        <v>1,1K</v>
      </c>
      <c r="H14" s="2">
        <f t="shared" si="7"/>
        <v>11</v>
      </c>
      <c r="I14" s="4">
        <v>2000</v>
      </c>
      <c r="J14" s="4">
        <f t="shared" si="4"/>
        <v>300</v>
      </c>
      <c r="K14" s="4">
        <f t="shared" si="5"/>
        <v>9700</v>
      </c>
      <c r="L14" s="3" t="str" cm="1">
        <f t="array" ref="L14">CostScreen($I14)</f>
        <v>2K</v>
      </c>
      <c r="N14" s="2">
        <f t="shared" si="6"/>
        <v>1</v>
      </c>
      <c r="O14" s="4">
        <f t="shared" si="8"/>
        <v>2</v>
      </c>
      <c r="P14" s="4">
        <f t="shared" si="9"/>
        <v>1</v>
      </c>
      <c r="Q14" s="4">
        <v>700</v>
      </c>
      <c r="R14" s="3"/>
      <c r="U14" s="1" t="str">
        <v>Ghillant</v>
      </c>
      <c r="X14" s="147" t="s">
        <v>46</v>
      </c>
      <c r="Y14" s="95" t="s">
        <v>39</v>
      </c>
      <c r="Z14" s="91">
        <v>16</v>
      </c>
      <c r="AA14" s="6">
        <v>36</v>
      </c>
      <c r="AB14" s="6">
        <v>97</v>
      </c>
      <c r="AC14" s="6">
        <v>3700</v>
      </c>
      <c r="AD14" s="106">
        <v>5100</v>
      </c>
      <c r="AE14" s="110">
        <f t="shared" si="10"/>
        <v>726.33333333333326</v>
      </c>
      <c r="AF14" s="111" t="str">
        <f t="shared" si="11"/>
        <v>30d 15h</v>
      </c>
    </row>
    <row r="15" spans="1:32" ht="12.75" customHeight="1" x14ac:dyDescent="0.2">
      <c r="A15" s="2">
        <f t="shared" si="0"/>
        <v>12</v>
      </c>
      <c r="B15" s="3">
        <f t="shared" si="1"/>
        <v>13</v>
      </c>
      <c r="C15" s="4">
        <v>1200</v>
      </c>
      <c r="D15" s="4">
        <f t="shared" si="2"/>
        <v>100</v>
      </c>
      <c r="E15" s="4">
        <f t="shared" si="3"/>
        <v>7800</v>
      </c>
      <c r="F15" s="3" t="str" cm="1">
        <f t="array" ref="F15">CostScreen($C15)</f>
        <v>1,2K</v>
      </c>
      <c r="H15" s="2">
        <f t="shared" si="7"/>
        <v>12</v>
      </c>
      <c r="I15" s="4">
        <v>2300</v>
      </c>
      <c r="J15" s="4">
        <f t="shared" si="4"/>
        <v>300</v>
      </c>
      <c r="K15" s="4">
        <f t="shared" si="5"/>
        <v>12000</v>
      </c>
      <c r="L15" s="3" t="str" cm="1">
        <f t="array" ref="L15">CostScreen($I15)</f>
        <v>2,3K</v>
      </c>
      <c r="N15" s="2">
        <f t="shared" si="6"/>
        <v>1</v>
      </c>
      <c r="O15" s="4">
        <f t="shared" si="8"/>
        <v>2</v>
      </c>
      <c r="P15" s="4">
        <f t="shared" si="9"/>
        <v>2</v>
      </c>
      <c r="Q15" s="4">
        <v>700</v>
      </c>
      <c r="R15" s="3"/>
      <c r="U15" s="1" t="str">
        <v>Glacewing</v>
      </c>
      <c r="X15" s="148" t="s">
        <v>45</v>
      </c>
      <c r="Y15" s="96" t="s">
        <v>40</v>
      </c>
      <c r="Z15" s="91">
        <v>6</v>
      </c>
      <c r="AA15" s="6">
        <v>11</v>
      </c>
      <c r="AB15" s="6">
        <v>104</v>
      </c>
      <c r="AC15" s="6">
        <v>12300</v>
      </c>
      <c r="AD15" s="106">
        <v>6500</v>
      </c>
      <c r="AE15" s="110">
        <f t="shared" si="10"/>
        <v>1318.3333333333333</v>
      </c>
      <c r="AF15" s="111" t="str">
        <f t="shared" si="11"/>
        <v>54d 55h</v>
      </c>
    </row>
    <row r="16" spans="1:32" ht="12.75" customHeight="1" thickBot="1" x14ac:dyDescent="0.25">
      <c r="A16" s="2">
        <f t="shared" si="0"/>
        <v>13</v>
      </c>
      <c r="B16" s="3">
        <f t="shared" si="1"/>
        <v>14</v>
      </c>
      <c r="C16" s="4">
        <v>1300</v>
      </c>
      <c r="D16" s="4">
        <f t="shared" si="2"/>
        <v>100</v>
      </c>
      <c r="E16" s="4">
        <f t="shared" si="3"/>
        <v>9100</v>
      </c>
      <c r="F16" s="3" t="str" cm="1">
        <f t="array" ref="F16">CostScreen($C16)</f>
        <v>1,3K</v>
      </c>
      <c r="H16" s="2">
        <f t="shared" si="7"/>
        <v>13</v>
      </c>
      <c r="I16" s="4">
        <v>2600</v>
      </c>
      <c r="J16" s="4">
        <f t="shared" si="4"/>
        <v>300</v>
      </c>
      <c r="K16" s="4">
        <f t="shared" si="5"/>
        <v>14600</v>
      </c>
      <c r="L16" s="3" t="str" cm="1">
        <f t="array" ref="L16">CostScreen($I16)</f>
        <v>2,6K</v>
      </c>
      <c r="N16" s="2">
        <f t="shared" si="6"/>
        <v>1</v>
      </c>
      <c r="O16" s="4">
        <f t="shared" si="8"/>
        <v>2</v>
      </c>
      <c r="P16" s="4">
        <f t="shared" si="9"/>
        <v>3</v>
      </c>
      <c r="Q16" s="4">
        <v>700</v>
      </c>
      <c r="R16" s="3"/>
      <c r="U16" s="1" t="str">
        <v>Gnashfin</v>
      </c>
      <c r="X16" s="149" t="s">
        <v>44</v>
      </c>
      <c r="Y16" s="97" t="s">
        <v>41</v>
      </c>
      <c r="Z16" s="92"/>
      <c r="AA16" s="89"/>
      <c r="AB16" s="6">
        <v>137</v>
      </c>
      <c r="AC16" s="6">
        <v>33</v>
      </c>
      <c r="AD16" s="107"/>
      <c r="AE16" s="112">
        <f t="shared" si="10"/>
        <v>139.75</v>
      </c>
      <c r="AF16" s="113" t="str">
        <f t="shared" si="11"/>
        <v>5d 49h</v>
      </c>
    </row>
    <row r="17" spans="1:29" ht="12.75" customHeight="1" x14ac:dyDescent="0.2">
      <c r="A17" s="2">
        <f t="shared" si="0"/>
        <v>14</v>
      </c>
      <c r="B17" s="3">
        <f t="shared" si="1"/>
        <v>15</v>
      </c>
      <c r="C17" s="4">
        <v>1400</v>
      </c>
      <c r="D17" s="4">
        <f t="shared" si="2"/>
        <v>100</v>
      </c>
      <c r="E17" s="4">
        <f t="shared" si="3"/>
        <v>10500</v>
      </c>
      <c r="F17" s="3" t="str" cm="1">
        <f t="array" ref="F17">CostScreen($C17)</f>
        <v>1,4K</v>
      </c>
      <c r="H17" s="2">
        <f t="shared" si="7"/>
        <v>14</v>
      </c>
      <c r="I17" s="4">
        <v>2900</v>
      </c>
      <c r="J17" s="4">
        <f t="shared" si="4"/>
        <v>300</v>
      </c>
      <c r="K17" s="4">
        <f t="shared" si="5"/>
        <v>17500</v>
      </c>
      <c r="L17" s="3" t="str" cm="1">
        <f t="array" ref="L17">CostScreen($I17)</f>
        <v>2,9K</v>
      </c>
      <c r="N17" s="2">
        <f t="shared" si="6"/>
        <v>1</v>
      </c>
      <c r="O17" s="4">
        <f t="shared" si="8"/>
        <v>2</v>
      </c>
      <c r="P17" s="4">
        <f t="shared" si="9"/>
        <v>4</v>
      </c>
      <c r="Q17" s="4">
        <v>700</v>
      </c>
      <c r="R17" s="3"/>
      <c r="U17" s="1" t="str">
        <v>Gnashley</v>
      </c>
    </row>
    <row r="18" spans="1:29" x14ac:dyDescent="0.2">
      <c r="A18" s="2">
        <f t="shared" si="0"/>
        <v>15</v>
      </c>
      <c r="B18" s="3">
        <f t="shared" si="1"/>
        <v>16</v>
      </c>
      <c r="C18" s="4">
        <v>1600</v>
      </c>
      <c r="D18" s="4">
        <f t="shared" si="2"/>
        <v>200</v>
      </c>
      <c r="E18" s="4">
        <f t="shared" si="3"/>
        <v>12100</v>
      </c>
      <c r="F18" s="3" t="str" cm="1">
        <f t="array" ref="F18">CostScreen($C18)</f>
        <v>1,6K</v>
      </c>
      <c r="H18" s="2">
        <f t="shared" si="7"/>
        <v>15</v>
      </c>
      <c r="I18" s="4">
        <v>3200</v>
      </c>
      <c r="J18" s="4">
        <f t="shared" si="4"/>
        <v>300</v>
      </c>
      <c r="K18" s="4">
        <f t="shared" si="5"/>
        <v>20700</v>
      </c>
      <c r="L18" s="3" t="str" cm="1">
        <f t="array" ref="L18">CostScreen($I18)</f>
        <v>3,2K</v>
      </c>
      <c r="N18" s="2">
        <f t="shared" si="6"/>
        <v>1</v>
      </c>
      <c r="O18" s="4">
        <f t="shared" si="8"/>
        <v>2</v>
      </c>
      <c r="P18" s="4">
        <f t="shared" si="9"/>
        <v>5</v>
      </c>
      <c r="Q18" s="4">
        <v>700</v>
      </c>
      <c r="R18" s="3"/>
      <c r="U18" s="1" t="str">
        <v>Hoofrit</v>
      </c>
      <c r="X18" s="238" t="s">
        <v>101</v>
      </c>
      <c r="Y18" s="238" t="s">
        <v>102</v>
      </c>
      <c r="Z18" s="238" t="s">
        <v>228</v>
      </c>
      <c r="AA18" s="238" t="s">
        <v>227</v>
      </c>
    </row>
    <row r="19" spans="1:29" x14ac:dyDescent="0.2">
      <c r="A19" s="8">
        <f t="shared" si="0"/>
        <v>16</v>
      </c>
      <c r="B19" s="3">
        <f t="shared" si="1"/>
        <v>17</v>
      </c>
      <c r="C19" s="16">
        <v>1800</v>
      </c>
      <c r="D19" s="16">
        <f t="shared" si="2"/>
        <v>200</v>
      </c>
      <c r="E19" s="16">
        <f t="shared" si="3"/>
        <v>13900</v>
      </c>
      <c r="F19" s="15" t="str" cm="1">
        <f t="array" ref="F19">CostScreen($C19)</f>
        <v>1,8K</v>
      </c>
      <c r="H19" s="2">
        <f t="shared" si="7"/>
        <v>16</v>
      </c>
      <c r="I19" s="16">
        <v>3500</v>
      </c>
      <c r="J19" s="16">
        <f t="shared" si="4"/>
        <v>300</v>
      </c>
      <c r="K19" s="16">
        <f t="shared" si="5"/>
        <v>24200</v>
      </c>
      <c r="L19" s="3" t="str" cm="1">
        <f t="array" ref="L19">CostScreen($I19)</f>
        <v>3,5K</v>
      </c>
      <c r="N19" s="2">
        <f t="shared" si="6"/>
        <v>1</v>
      </c>
      <c r="O19" s="4">
        <f t="shared" si="8"/>
        <v>2</v>
      </c>
      <c r="P19" s="4">
        <f t="shared" si="9"/>
        <v>6</v>
      </c>
      <c r="Q19" s="4">
        <v>700</v>
      </c>
      <c r="R19" s="3"/>
      <c r="U19" s="1" t="str">
        <v>Kungpaw</v>
      </c>
      <c r="X19" s="8">
        <v>23</v>
      </c>
      <c r="Y19" s="4">
        <v>3</v>
      </c>
      <c r="Z19" s="4">
        <v>96000</v>
      </c>
      <c r="AA19" s="4">
        <f>Z19*Y19</f>
        <v>288000</v>
      </c>
    </row>
    <row r="20" spans="1:29" x14ac:dyDescent="0.2">
      <c r="A20" s="2">
        <f t="shared" si="0"/>
        <v>17</v>
      </c>
      <c r="B20" s="3">
        <f t="shared" si="1"/>
        <v>18</v>
      </c>
      <c r="C20" s="4">
        <v>2000</v>
      </c>
      <c r="D20" s="4">
        <f t="shared" si="2"/>
        <v>200</v>
      </c>
      <c r="E20" s="4">
        <f t="shared" si="3"/>
        <v>15900</v>
      </c>
      <c r="F20" s="3" t="str" cm="1">
        <f t="array" ref="F20">CostScreen($C20)</f>
        <v>2K</v>
      </c>
      <c r="H20" s="2">
        <f t="shared" si="7"/>
        <v>17</v>
      </c>
      <c r="I20" s="4">
        <v>3800</v>
      </c>
      <c r="J20" s="4">
        <f t="shared" si="4"/>
        <v>300</v>
      </c>
      <c r="K20" s="4">
        <f t="shared" si="5"/>
        <v>28000</v>
      </c>
      <c r="L20" s="3" t="str" cm="1">
        <f t="array" ref="L20">CostScreen($I20)</f>
        <v>3,8K</v>
      </c>
      <c r="N20" s="2">
        <f t="shared" si="6"/>
        <v>1</v>
      </c>
      <c r="O20" s="4">
        <f t="shared" si="8"/>
        <v>2</v>
      </c>
      <c r="P20" s="4">
        <f t="shared" si="9"/>
        <v>7</v>
      </c>
      <c r="Q20" s="4">
        <v>700</v>
      </c>
      <c r="R20" s="3"/>
      <c r="U20" s="1" t="str">
        <v>Limudroid</v>
      </c>
      <c r="X20" s="8">
        <f>X19+1</f>
        <v>24</v>
      </c>
      <c r="Y20" s="4">
        <v>4</v>
      </c>
      <c r="Z20" s="4">
        <v>100800</v>
      </c>
      <c r="AA20" s="4">
        <f>Z20*Y20</f>
        <v>403200</v>
      </c>
      <c r="AB20" s="238" t="s">
        <v>226</v>
      </c>
      <c r="AC20" s="238" t="s">
        <v>202</v>
      </c>
    </row>
    <row r="21" spans="1:29" x14ac:dyDescent="0.2">
      <c r="A21" s="2">
        <f t="shared" si="0"/>
        <v>18</v>
      </c>
      <c r="B21" s="3">
        <f t="shared" si="1"/>
        <v>19</v>
      </c>
      <c r="C21" s="4">
        <v>2200</v>
      </c>
      <c r="D21" s="4">
        <f t="shared" si="2"/>
        <v>200</v>
      </c>
      <c r="E21" s="4">
        <f t="shared" si="3"/>
        <v>18100</v>
      </c>
      <c r="F21" s="3" t="str" cm="1">
        <f t="array" ref="F21">CostScreen($C21)</f>
        <v>2,2K</v>
      </c>
      <c r="H21" s="2">
        <f t="shared" si="7"/>
        <v>18</v>
      </c>
      <c r="I21" s="4">
        <v>4100</v>
      </c>
      <c r="J21" s="4">
        <f t="shared" si="4"/>
        <v>300</v>
      </c>
      <c r="K21" s="4">
        <f t="shared" si="5"/>
        <v>32100</v>
      </c>
      <c r="L21" s="3" t="str" cm="1">
        <f t="array" ref="L21">CostScreen($I21)</f>
        <v>4,1K</v>
      </c>
      <c r="N21" s="2">
        <f t="shared" si="6"/>
        <v>1</v>
      </c>
      <c r="O21" s="4">
        <f t="shared" si="8"/>
        <v>2</v>
      </c>
      <c r="P21" s="4">
        <f t="shared" si="9"/>
        <v>8</v>
      </c>
      <c r="Q21" s="4">
        <v>700</v>
      </c>
      <c r="R21" s="3"/>
      <c r="U21" s="1" t="str">
        <v>Lucidina</v>
      </c>
      <c r="X21" s="8">
        <f>X20+1</f>
        <v>25</v>
      </c>
      <c r="Y21" s="4">
        <v>0</v>
      </c>
      <c r="Z21" s="4">
        <v>108000</v>
      </c>
      <c r="AA21" s="4">
        <f>Z21*Y21</f>
        <v>0</v>
      </c>
      <c r="AB21" s="4">
        <f>SUMPRODUCT(Y19:Y21,Z19:Z21)</f>
        <v>691200</v>
      </c>
      <c r="AC21" s="237">
        <v>1</v>
      </c>
    </row>
    <row r="22" spans="1:29" x14ac:dyDescent="0.2">
      <c r="A22" s="2">
        <f t="shared" si="0"/>
        <v>19</v>
      </c>
      <c r="B22" s="3">
        <f t="shared" si="1"/>
        <v>20</v>
      </c>
      <c r="C22" s="4">
        <v>2400</v>
      </c>
      <c r="D22" s="4">
        <f t="shared" si="2"/>
        <v>200</v>
      </c>
      <c r="E22" s="4">
        <f t="shared" si="3"/>
        <v>20500</v>
      </c>
      <c r="F22" s="3" t="str" cm="1">
        <f t="array" ref="F22">CostScreen($C22)</f>
        <v>2,4K</v>
      </c>
      <c r="H22" s="2">
        <f t="shared" si="7"/>
        <v>19</v>
      </c>
      <c r="I22" s="4">
        <v>4400</v>
      </c>
      <c r="J22" s="4">
        <f t="shared" si="4"/>
        <v>300</v>
      </c>
      <c r="K22" s="4">
        <f t="shared" si="5"/>
        <v>36500</v>
      </c>
      <c r="L22" s="3" t="str" cm="1">
        <f t="array" ref="L22">CostScreen($I22)</f>
        <v>4,4K</v>
      </c>
      <c r="N22" s="2">
        <f t="shared" si="6"/>
        <v>1</v>
      </c>
      <c r="O22" s="4">
        <f t="shared" si="8"/>
        <v>2</v>
      </c>
      <c r="P22" s="4">
        <f t="shared" si="9"/>
        <v>9</v>
      </c>
      <c r="Q22" s="4">
        <v>700</v>
      </c>
      <c r="R22" s="3"/>
      <c r="U22" s="1" t="str">
        <v>Magmolin</v>
      </c>
      <c r="AB22" s="4">
        <v>1000000</v>
      </c>
      <c r="AC22" s="237">
        <f>AB22/AB21</f>
        <v>1.4467592592592593</v>
      </c>
    </row>
    <row r="23" spans="1:29" x14ac:dyDescent="0.2">
      <c r="A23" s="2">
        <f t="shared" si="0"/>
        <v>20</v>
      </c>
      <c r="B23" s="3">
        <f t="shared" si="1"/>
        <v>21</v>
      </c>
      <c r="C23" s="4">
        <v>2700</v>
      </c>
      <c r="D23" s="4">
        <f t="shared" si="2"/>
        <v>300</v>
      </c>
      <c r="E23" s="4">
        <f t="shared" si="3"/>
        <v>23200</v>
      </c>
      <c r="F23" s="3" t="str" cm="1">
        <f t="array" ref="F23">CostScreen($C23)</f>
        <v>2,7K</v>
      </c>
      <c r="H23" s="2">
        <f t="shared" si="7"/>
        <v>20</v>
      </c>
      <c r="I23" s="4">
        <v>4700</v>
      </c>
      <c r="J23" s="4">
        <f t="shared" si="4"/>
        <v>300</v>
      </c>
      <c r="K23" s="4">
        <f t="shared" si="5"/>
        <v>41200</v>
      </c>
      <c r="L23" s="3" t="str" cm="1">
        <f t="array" ref="L23">CostScreen($I23)</f>
        <v>4,7K</v>
      </c>
      <c r="N23" s="2">
        <f t="shared" si="6"/>
        <v>1</v>
      </c>
      <c r="O23" s="4">
        <f t="shared" si="8"/>
        <v>2</v>
      </c>
      <c r="P23" s="4">
        <f t="shared" si="9"/>
        <v>10</v>
      </c>
      <c r="Q23" s="4">
        <v>700</v>
      </c>
      <c r="R23" s="3"/>
      <c r="U23" s="1" t="str">
        <v>Mantleray</v>
      </c>
      <c r="AB23" s="4">
        <f>AB21*24</f>
        <v>16588800</v>
      </c>
      <c r="AC23" s="237">
        <v>24</v>
      </c>
    </row>
    <row r="24" spans="1:29" x14ac:dyDescent="0.2">
      <c r="A24" s="2">
        <f t="shared" si="0"/>
        <v>21</v>
      </c>
      <c r="B24" s="3">
        <f t="shared" si="1"/>
        <v>22</v>
      </c>
      <c r="C24" s="4">
        <v>3000</v>
      </c>
      <c r="D24" s="4">
        <f t="shared" si="2"/>
        <v>300</v>
      </c>
      <c r="E24" s="4">
        <f t="shared" si="3"/>
        <v>26200</v>
      </c>
      <c r="F24" s="3" t="str" cm="1">
        <f t="array" ref="F24">CostScreen($C24)</f>
        <v>3K</v>
      </c>
      <c r="H24" s="2">
        <f t="shared" si="7"/>
        <v>21</v>
      </c>
      <c r="I24" s="4">
        <v>5000</v>
      </c>
      <c r="J24" s="4">
        <f t="shared" si="4"/>
        <v>300</v>
      </c>
      <c r="K24" s="4">
        <f t="shared" si="5"/>
        <v>46200</v>
      </c>
      <c r="L24" s="3" t="str" cm="1">
        <f t="array" ref="L24">CostScreen($I24)</f>
        <v>5K</v>
      </c>
      <c r="N24" s="2">
        <f t="shared" si="6"/>
        <v>1</v>
      </c>
      <c r="O24" s="4">
        <f t="shared" si="8"/>
        <v>3</v>
      </c>
      <c r="P24" s="4">
        <f t="shared" si="9"/>
        <v>1</v>
      </c>
      <c r="Q24" s="4">
        <v>800</v>
      </c>
      <c r="R24" s="3"/>
      <c r="U24" s="1" t="str">
        <v>Ninjump</v>
      </c>
      <c r="AB24" s="4">
        <v>100000000</v>
      </c>
      <c r="AC24" s="237">
        <f>AB24/AB21</f>
        <v>144.67592592592592</v>
      </c>
    </row>
    <row r="25" spans="1:29" x14ac:dyDescent="0.2">
      <c r="A25" s="2">
        <f t="shared" si="0"/>
        <v>22</v>
      </c>
      <c r="B25" s="3">
        <f t="shared" si="1"/>
        <v>23</v>
      </c>
      <c r="C25" s="4">
        <v>3500</v>
      </c>
      <c r="D25" s="4">
        <f t="shared" si="2"/>
        <v>500</v>
      </c>
      <c r="E25" s="4">
        <f t="shared" si="3"/>
        <v>29700</v>
      </c>
      <c r="F25" s="3" t="str" cm="1">
        <f t="array" ref="F25">CostScreen($C25)</f>
        <v>3,5K</v>
      </c>
      <c r="H25" s="2">
        <f t="shared" si="7"/>
        <v>22</v>
      </c>
      <c r="I25" s="4">
        <v>5500</v>
      </c>
      <c r="J25" s="4">
        <f t="shared" si="4"/>
        <v>500</v>
      </c>
      <c r="K25" s="4">
        <f t="shared" si="5"/>
        <v>51700</v>
      </c>
      <c r="L25" s="3" t="str" cm="1">
        <f t="array" ref="L25">CostScreen($I25)</f>
        <v>5,5K</v>
      </c>
      <c r="N25" s="2">
        <f t="shared" si="6"/>
        <v>1</v>
      </c>
      <c r="O25" s="4">
        <f t="shared" si="8"/>
        <v>3</v>
      </c>
      <c r="P25" s="4">
        <f t="shared" si="9"/>
        <v>2</v>
      </c>
      <c r="Q25" s="4">
        <v>800</v>
      </c>
      <c r="R25" s="3"/>
      <c r="U25" s="1" t="str">
        <v>Oleana</v>
      </c>
    </row>
    <row r="26" spans="1:29" x14ac:dyDescent="0.2">
      <c r="A26" s="2">
        <f t="shared" si="0"/>
        <v>23</v>
      </c>
      <c r="B26" s="3">
        <f t="shared" si="1"/>
        <v>24</v>
      </c>
      <c r="C26" s="4">
        <v>4000</v>
      </c>
      <c r="D26" s="4">
        <f t="shared" si="2"/>
        <v>500</v>
      </c>
      <c r="E26" s="4">
        <f t="shared" si="3"/>
        <v>33700</v>
      </c>
      <c r="F26" s="3" t="str" cm="1">
        <f t="array" ref="F26">CostScreen($C26)</f>
        <v>4K</v>
      </c>
      <c r="H26" s="2">
        <f t="shared" si="7"/>
        <v>23</v>
      </c>
      <c r="I26" s="4">
        <v>6000</v>
      </c>
      <c r="J26" s="4">
        <f t="shared" si="4"/>
        <v>500</v>
      </c>
      <c r="K26" s="4">
        <f t="shared" si="5"/>
        <v>57700</v>
      </c>
      <c r="L26" s="3" t="str" cm="1">
        <f t="array" ref="L26">CostScreen($I26)</f>
        <v>6K</v>
      </c>
      <c r="N26" s="2">
        <f t="shared" si="6"/>
        <v>1</v>
      </c>
      <c r="O26" s="4">
        <f t="shared" si="8"/>
        <v>3</v>
      </c>
      <c r="P26" s="4">
        <f t="shared" si="9"/>
        <v>3</v>
      </c>
      <c r="Q26" s="4">
        <v>800</v>
      </c>
      <c r="R26" s="3"/>
      <c r="U26" s="1" t="str">
        <v>Pipistrigoi</v>
      </c>
    </row>
    <row r="27" spans="1:29" x14ac:dyDescent="0.2">
      <c r="A27" s="2">
        <f t="shared" si="0"/>
        <v>24</v>
      </c>
      <c r="B27" s="3">
        <f t="shared" si="1"/>
        <v>25</v>
      </c>
      <c r="C27" s="4">
        <v>5000</v>
      </c>
      <c r="D27" s="4">
        <f t="shared" si="2"/>
        <v>1000</v>
      </c>
      <c r="E27" s="4">
        <f t="shared" si="3"/>
        <v>38700</v>
      </c>
      <c r="F27" s="3" t="str" cm="1">
        <f t="array" ref="F27">CostScreen($C27)</f>
        <v>5K</v>
      </c>
      <c r="H27" s="2">
        <f t="shared" si="7"/>
        <v>24</v>
      </c>
      <c r="I27" s="4">
        <v>6500</v>
      </c>
      <c r="J27" s="4">
        <f t="shared" si="4"/>
        <v>500</v>
      </c>
      <c r="K27" s="4">
        <f t="shared" si="5"/>
        <v>64200</v>
      </c>
      <c r="L27" s="3" t="str" cm="1">
        <f t="array" ref="L27">CostScreen($I27)</f>
        <v>6,5K</v>
      </c>
      <c r="N27" s="2">
        <f t="shared" si="6"/>
        <v>1</v>
      </c>
      <c r="O27" s="4">
        <f t="shared" si="8"/>
        <v>3</v>
      </c>
      <c r="P27" s="4">
        <f t="shared" si="9"/>
        <v>4</v>
      </c>
      <c r="Q27" s="4">
        <v>800</v>
      </c>
      <c r="R27" s="3"/>
      <c r="U27" s="1" t="str">
        <v>Regalion</v>
      </c>
    </row>
    <row r="28" spans="1:29" x14ac:dyDescent="0.2">
      <c r="A28" s="2">
        <f t="shared" si="0"/>
        <v>25</v>
      </c>
      <c r="B28" s="3">
        <f t="shared" si="1"/>
        <v>26</v>
      </c>
      <c r="C28" s="4">
        <v>6000</v>
      </c>
      <c r="D28" s="4">
        <f t="shared" si="2"/>
        <v>1000</v>
      </c>
      <c r="E28" s="4">
        <f t="shared" si="3"/>
        <v>44700</v>
      </c>
      <c r="F28" s="3" t="str" cm="1">
        <f t="array" ref="F28">CostScreen($C28)</f>
        <v>6K</v>
      </c>
      <c r="H28" s="2">
        <f t="shared" si="7"/>
        <v>25</v>
      </c>
      <c r="I28" s="4">
        <v>7000</v>
      </c>
      <c r="J28" s="4">
        <f t="shared" si="4"/>
        <v>500</v>
      </c>
      <c r="K28" s="4">
        <f t="shared" si="5"/>
        <v>71200</v>
      </c>
      <c r="L28" s="3" t="str" cm="1">
        <f t="array" ref="L28">CostScreen($I28)</f>
        <v>7K</v>
      </c>
      <c r="N28" s="2">
        <f t="shared" si="6"/>
        <v>1</v>
      </c>
      <c r="O28" s="4">
        <f t="shared" si="8"/>
        <v>3</v>
      </c>
      <c r="P28" s="4">
        <f t="shared" si="9"/>
        <v>5</v>
      </c>
      <c r="Q28" s="4">
        <v>800</v>
      </c>
      <c r="R28" s="3"/>
      <c r="U28" s="1" t="str">
        <v>Revontulet</v>
      </c>
    </row>
    <row r="29" spans="1:29" x14ac:dyDescent="0.2">
      <c r="A29" s="2">
        <f t="shared" si="0"/>
        <v>26</v>
      </c>
      <c r="B29" s="3">
        <f t="shared" si="1"/>
        <v>27</v>
      </c>
      <c r="C29" s="4">
        <v>7000</v>
      </c>
      <c r="D29" s="4">
        <f t="shared" si="2"/>
        <v>1000</v>
      </c>
      <c r="E29" s="4">
        <f t="shared" si="3"/>
        <v>51700</v>
      </c>
      <c r="F29" s="3" t="str" cm="1">
        <f t="array" ref="F29">CostScreen($C29)</f>
        <v>7K</v>
      </c>
      <c r="H29" s="2">
        <f t="shared" si="7"/>
        <v>26</v>
      </c>
      <c r="I29" s="4">
        <v>7500</v>
      </c>
      <c r="J29" s="4">
        <f t="shared" si="4"/>
        <v>500</v>
      </c>
      <c r="K29" s="4">
        <f t="shared" si="5"/>
        <v>78700</v>
      </c>
      <c r="L29" s="3" t="str" cm="1">
        <f t="array" ref="L29">CostScreen($I29)</f>
        <v>7,5K</v>
      </c>
      <c r="N29" s="2">
        <f t="shared" si="6"/>
        <v>1</v>
      </c>
      <c r="O29" s="4">
        <f t="shared" si="8"/>
        <v>3</v>
      </c>
      <c r="P29" s="4">
        <f t="shared" si="9"/>
        <v>6</v>
      </c>
      <c r="Q29" s="4">
        <v>800</v>
      </c>
      <c r="R29" s="3"/>
      <c r="U29" s="1" t="str">
        <v>Salamantis</v>
      </c>
    </row>
    <row r="30" spans="1:29" x14ac:dyDescent="0.2">
      <c r="A30" s="2">
        <f t="shared" si="0"/>
        <v>27</v>
      </c>
      <c r="B30" s="3">
        <f t="shared" si="1"/>
        <v>28</v>
      </c>
      <c r="C30" s="4">
        <v>8000</v>
      </c>
      <c r="D30" s="4">
        <f t="shared" si="2"/>
        <v>1000</v>
      </c>
      <c r="E30" s="4">
        <f t="shared" si="3"/>
        <v>59700</v>
      </c>
      <c r="F30" s="3" t="str" cm="1">
        <f t="array" ref="F30">CostScreen($C30)</f>
        <v>8K</v>
      </c>
      <c r="H30" s="2">
        <f t="shared" si="7"/>
        <v>27</v>
      </c>
      <c r="I30" s="4">
        <v>8000</v>
      </c>
      <c r="J30" s="4">
        <f t="shared" si="4"/>
        <v>500</v>
      </c>
      <c r="K30" s="4">
        <f t="shared" si="5"/>
        <v>86700</v>
      </c>
      <c r="L30" s="3" t="str" cm="1">
        <f t="array" ref="L30">CostScreen($I30)</f>
        <v>8K</v>
      </c>
      <c r="N30" s="2">
        <f t="shared" si="6"/>
        <v>1</v>
      </c>
      <c r="O30" s="4">
        <f t="shared" si="8"/>
        <v>3</v>
      </c>
      <c r="P30" s="4">
        <f t="shared" si="9"/>
        <v>7</v>
      </c>
      <c r="Q30" s="4">
        <v>800</v>
      </c>
      <c r="R30" s="3"/>
      <c r="U30" s="1" t="str">
        <v>Spookaboo</v>
      </c>
      <c r="X30" s="236"/>
      <c r="Y30" s="236" t="s">
        <v>199</v>
      </c>
      <c r="Z30" s="236" t="s">
        <v>200</v>
      </c>
      <c r="AA30" s="236" t="s">
        <v>201</v>
      </c>
    </row>
    <row r="31" spans="1:29" x14ac:dyDescent="0.2">
      <c r="A31" s="2">
        <f t="shared" si="0"/>
        <v>28</v>
      </c>
      <c r="B31" s="3">
        <f t="shared" si="1"/>
        <v>29</v>
      </c>
      <c r="C31" s="4">
        <v>9000</v>
      </c>
      <c r="D31" s="4">
        <f t="shared" si="2"/>
        <v>1000</v>
      </c>
      <c r="E31" s="4">
        <f t="shared" si="3"/>
        <v>68700</v>
      </c>
      <c r="F31" s="3" t="str" cm="1">
        <f t="array" ref="F31">CostScreen($C31)</f>
        <v>9K</v>
      </c>
      <c r="H31" s="2">
        <f t="shared" si="7"/>
        <v>28</v>
      </c>
      <c r="I31" s="4">
        <v>8500</v>
      </c>
      <c r="J31" s="4">
        <f t="shared" si="4"/>
        <v>500</v>
      </c>
      <c r="K31" s="4">
        <f t="shared" si="5"/>
        <v>95200</v>
      </c>
      <c r="L31" s="3" t="str" cm="1">
        <f t="array" ref="L31">CostScreen($I31)</f>
        <v>8,5K</v>
      </c>
      <c r="N31" s="2">
        <f t="shared" si="6"/>
        <v>1</v>
      </c>
      <c r="O31" s="4">
        <f t="shared" si="8"/>
        <v>3</v>
      </c>
      <c r="P31" s="4">
        <f t="shared" si="9"/>
        <v>8</v>
      </c>
      <c r="Q31" s="4">
        <v>800</v>
      </c>
      <c r="R31" s="3"/>
      <c r="U31" s="1" t="str">
        <v>Statchew</v>
      </c>
      <c r="X31" s="236" t="s">
        <v>199</v>
      </c>
      <c r="Y31" s="236">
        <v>1</v>
      </c>
      <c r="Z31" s="236">
        <v>60</v>
      </c>
      <c r="AA31" s="236">
        <f>Z31*60</f>
        <v>3600</v>
      </c>
    </row>
    <row r="32" spans="1:29" x14ac:dyDescent="0.2">
      <c r="A32" s="2">
        <f t="shared" si="0"/>
        <v>29</v>
      </c>
      <c r="B32" s="3">
        <f t="shared" si="1"/>
        <v>30</v>
      </c>
      <c r="C32" s="4">
        <v>10000</v>
      </c>
      <c r="D32" s="4">
        <f t="shared" si="2"/>
        <v>1000</v>
      </c>
      <c r="E32" s="4">
        <f t="shared" si="3"/>
        <v>78700</v>
      </c>
      <c r="F32" s="3" t="str" cm="1">
        <f t="array" ref="F32">CostScreen($C32)</f>
        <v>10K</v>
      </c>
      <c r="H32" s="2">
        <f t="shared" si="7"/>
        <v>29</v>
      </c>
      <c r="I32" s="4">
        <v>9000</v>
      </c>
      <c r="J32" s="4">
        <f t="shared" si="4"/>
        <v>500</v>
      </c>
      <c r="K32" s="4">
        <f t="shared" si="5"/>
        <v>104200</v>
      </c>
      <c r="L32" s="3" t="str" cm="1">
        <f t="array" ref="L32">CostScreen($I32)</f>
        <v>9K</v>
      </c>
      <c r="N32" s="2">
        <f t="shared" si="6"/>
        <v>1</v>
      </c>
      <c r="O32" s="4">
        <f t="shared" si="8"/>
        <v>3</v>
      </c>
      <c r="P32" s="4">
        <f t="shared" si="9"/>
        <v>9</v>
      </c>
      <c r="Q32" s="4">
        <v>800</v>
      </c>
      <c r="R32" s="3"/>
      <c r="U32" s="1" t="str">
        <v>Surveilynx</v>
      </c>
    </row>
    <row r="33" spans="1:26" x14ac:dyDescent="0.2">
      <c r="A33" s="2">
        <f t="shared" si="0"/>
        <v>30</v>
      </c>
      <c r="B33" s="3">
        <f t="shared" si="1"/>
        <v>31</v>
      </c>
      <c r="C33" s="4">
        <v>11000</v>
      </c>
      <c r="D33" s="4">
        <f t="shared" si="2"/>
        <v>1000</v>
      </c>
      <c r="E33" s="4">
        <f t="shared" si="3"/>
        <v>89700</v>
      </c>
      <c r="F33" s="3" t="str" cm="1">
        <f t="array" ref="F33">CostScreen($C33)</f>
        <v>11K</v>
      </c>
      <c r="N33" s="2">
        <f t="shared" si="6"/>
        <v>1</v>
      </c>
      <c r="O33" s="4">
        <f t="shared" si="8"/>
        <v>3</v>
      </c>
      <c r="P33" s="4">
        <f t="shared" si="9"/>
        <v>10</v>
      </c>
      <c r="Q33" s="4">
        <v>800</v>
      </c>
      <c r="R33" s="3"/>
      <c r="U33" s="1" t="str">
        <v>Thundertooth</v>
      </c>
    </row>
    <row r="34" spans="1:26" x14ac:dyDescent="0.2">
      <c r="A34" s="2">
        <f t="shared" si="0"/>
        <v>31</v>
      </c>
      <c r="B34" s="3">
        <f t="shared" si="1"/>
        <v>32</v>
      </c>
      <c r="C34" s="4">
        <v>12000</v>
      </c>
      <c r="D34" s="4">
        <f t="shared" si="2"/>
        <v>1000</v>
      </c>
      <c r="E34" s="4">
        <f t="shared" si="3"/>
        <v>101700</v>
      </c>
      <c r="F34" s="3" t="str" cm="1">
        <f t="array" ref="F34">CostScreen($C34)</f>
        <v>12K</v>
      </c>
      <c r="N34" s="2">
        <f t="shared" si="6"/>
        <v>1</v>
      </c>
      <c r="O34" s="4">
        <f t="shared" si="8"/>
        <v>4</v>
      </c>
      <c r="P34" s="4">
        <f t="shared" si="9"/>
        <v>1</v>
      </c>
      <c r="Q34" s="4">
        <v>900</v>
      </c>
      <c r="R34" s="3"/>
      <c r="U34" s="1" t="str">
        <v>Vulpyrean</v>
      </c>
    </row>
    <row r="35" spans="1:26" x14ac:dyDescent="0.2">
      <c r="A35" s="2">
        <f t="shared" si="0"/>
        <v>32</v>
      </c>
      <c r="B35" s="3">
        <f t="shared" si="1"/>
        <v>33</v>
      </c>
      <c r="C35" s="4">
        <v>13000</v>
      </c>
      <c r="D35" s="4">
        <f t="shared" si="2"/>
        <v>1000</v>
      </c>
      <c r="E35" s="4">
        <f t="shared" si="3"/>
        <v>114700</v>
      </c>
      <c r="F35" s="3" t="str" cm="1">
        <f t="array" ref="F35">CostScreen($C35)</f>
        <v>13K</v>
      </c>
      <c r="N35" s="2">
        <f t="shared" si="6"/>
        <v>1</v>
      </c>
      <c r="O35" s="4">
        <f t="shared" si="8"/>
        <v>4</v>
      </c>
      <c r="P35" s="4">
        <f t="shared" si="9"/>
        <v>2</v>
      </c>
      <c r="Q35" s="4">
        <v>900</v>
      </c>
      <c r="R35" s="3"/>
      <c r="U35" s="1" t="str">
        <v>Woozard</v>
      </c>
    </row>
    <row r="36" spans="1:26" x14ac:dyDescent="0.2">
      <c r="A36" s="2">
        <f t="shared" si="0"/>
        <v>33</v>
      </c>
      <c r="B36" s="3">
        <f t="shared" si="1"/>
        <v>34</v>
      </c>
      <c r="C36" s="4">
        <v>14000</v>
      </c>
      <c r="D36" s="4">
        <f t="shared" si="2"/>
        <v>1000</v>
      </c>
      <c r="E36" s="4">
        <f t="shared" si="3"/>
        <v>128700</v>
      </c>
      <c r="F36" s="3" t="str" cm="1">
        <f t="array" ref="F36">CostScreen($C36)</f>
        <v>14K</v>
      </c>
      <c r="N36" s="2">
        <f t="shared" si="6"/>
        <v>1</v>
      </c>
      <c r="O36" s="4">
        <f t="shared" si="8"/>
        <v>4</v>
      </c>
      <c r="P36" s="4">
        <f t="shared" si="9"/>
        <v>3</v>
      </c>
      <c r="Q36" s="4">
        <v>900</v>
      </c>
      <c r="R36" s="3"/>
      <c r="Z36" s="1">
        <f>SUMIFS($Q$3:$Q$226,$O$3:$O$226,"&gt;0")</f>
        <v>400000</v>
      </c>
    </row>
    <row r="37" spans="1:26" x14ac:dyDescent="0.2">
      <c r="A37" s="2">
        <f t="shared" si="0"/>
        <v>34</v>
      </c>
      <c r="B37" s="3">
        <f t="shared" si="1"/>
        <v>35</v>
      </c>
      <c r="C37" s="4">
        <v>15000</v>
      </c>
      <c r="D37" s="4">
        <f t="shared" si="2"/>
        <v>1000</v>
      </c>
      <c r="E37" s="4">
        <f t="shared" si="3"/>
        <v>143700</v>
      </c>
      <c r="F37" s="3" t="str" cm="1">
        <f t="array" ref="F37">CostScreen($C37)</f>
        <v>15K</v>
      </c>
      <c r="N37" s="2">
        <f t="shared" si="6"/>
        <v>1</v>
      </c>
      <c r="O37" s="4">
        <f t="shared" si="8"/>
        <v>4</v>
      </c>
      <c r="P37" s="4">
        <f t="shared" si="9"/>
        <v>4</v>
      </c>
      <c r="Q37" s="4">
        <v>900</v>
      </c>
      <c r="R37" s="3"/>
      <c r="Z37" s="1">
        <f>SUMIFS($Q$3:$Q$226,$O$3:$O$226,"=0")</f>
        <v>300</v>
      </c>
    </row>
    <row r="38" spans="1:26" x14ac:dyDescent="0.2">
      <c r="A38" s="2">
        <f t="shared" si="0"/>
        <v>35</v>
      </c>
      <c r="B38" s="3">
        <f t="shared" si="1"/>
        <v>36</v>
      </c>
      <c r="C38" s="4">
        <v>16000</v>
      </c>
      <c r="D38" s="4">
        <f t="shared" si="2"/>
        <v>1000</v>
      </c>
      <c r="E38" s="4">
        <f t="shared" si="3"/>
        <v>159700</v>
      </c>
      <c r="F38" s="3" t="str" cm="1">
        <f t="array" ref="F38">CostScreen($C38)</f>
        <v>16K</v>
      </c>
      <c r="N38" s="2">
        <f t="shared" si="6"/>
        <v>1</v>
      </c>
      <c r="O38" s="4">
        <f t="shared" si="8"/>
        <v>4</v>
      </c>
      <c r="P38" s="4">
        <f t="shared" si="9"/>
        <v>5</v>
      </c>
      <c r="Q38" s="4">
        <v>900</v>
      </c>
      <c r="R38" s="3"/>
    </row>
    <row r="39" spans="1:26" x14ac:dyDescent="0.2">
      <c r="A39" s="2">
        <f t="shared" si="0"/>
        <v>36</v>
      </c>
      <c r="B39" s="3">
        <f t="shared" si="1"/>
        <v>37</v>
      </c>
      <c r="C39" s="4">
        <v>17000</v>
      </c>
      <c r="D39" s="4">
        <f t="shared" si="2"/>
        <v>1000</v>
      </c>
      <c r="E39" s="4">
        <f t="shared" si="3"/>
        <v>176700</v>
      </c>
      <c r="F39" s="3" t="str" cm="1">
        <f t="array" ref="F39">CostScreen($C39)</f>
        <v>17K</v>
      </c>
      <c r="N39" s="2">
        <f t="shared" si="6"/>
        <v>1</v>
      </c>
      <c r="O39" s="4">
        <f t="shared" si="8"/>
        <v>4</v>
      </c>
      <c r="P39" s="4">
        <f t="shared" si="9"/>
        <v>6</v>
      </c>
      <c r="Q39" s="4">
        <v>900</v>
      </c>
      <c r="R39" s="3"/>
    </row>
    <row r="40" spans="1:26" x14ac:dyDescent="0.2">
      <c r="A40" s="2">
        <f t="shared" si="0"/>
        <v>37</v>
      </c>
      <c r="B40" s="3">
        <f t="shared" si="1"/>
        <v>38</v>
      </c>
      <c r="C40" s="4">
        <v>18000</v>
      </c>
      <c r="D40" s="4">
        <f t="shared" si="2"/>
        <v>1000</v>
      </c>
      <c r="E40" s="4">
        <f t="shared" si="3"/>
        <v>194700</v>
      </c>
      <c r="F40" s="3" t="str" cm="1">
        <f t="array" ref="F40">CostScreen($C40)</f>
        <v>18K</v>
      </c>
      <c r="N40" s="2">
        <f t="shared" si="6"/>
        <v>1</v>
      </c>
      <c r="O40" s="4">
        <f t="shared" si="8"/>
        <v>4</v>
      </c>
      <c r="P40" s="4">
        <f t="shared" si="9"/>
        <v>7</v>
      </c>
      <c r="Q40" s="4">
        <v>900</v>
      </c>
      <c r="R40" s="3"/>
    </row>
    <row r="41" spans="1:26" x14ac:dyDescent="0.2">
      <c r="A41" s="2">
        <f t="shared" si="0"/>
        <v>38</v>
      </c>
      <c r="B41" s="3">
        <f t="shared" si="1"/>
        <v>39</v>
      </c>
      <c r="C41" s="4">
        <v>19000</v>
      </c>
      <c r="D41" s="4">
        <f t="shared" si="2"/>
        <v>1000</v>
      </c>
      <c r="E41" s="4">
        <f t="shared" si="3"/>
        <v>213700</v>
      </c>
      <c r="F41" s="3" t="str" cm="1">
        <f t="array" ref="F41">CostScreen($C41)</f>
        <v>19K</v>
      </c>
      <c r="N41" s="2">
        <f t="shared" si="6"/>
        <v>1</v>
      </c>
      <c r="O41" s="4">
        <f t="shared" si="8"/>
        <v>4</v>
      </c>
      <c r="P41" s="4">
        <f t="shared" si="9"/>
        <v>8</v>
      </c>
      <c r="Q41" s="4">
        <v>900</v>
      </c>
      <c r="R41" s="3"/>
    </row>
    <row r="42" spans="1:26" x14ac:dyDescent="0.2">
      <c r="A42" s="2">
        <f t="shared" si="0"/>
        <v>39</v>
      </c>
      <c r="B42" s="3">
        <f t="shared" si="1"/>
        <v>40</v>
      </c>
      <c r="C42" s="4">
        <v>20000</v>
      </c>
      <c r="D42" s="4">
        <f t="shared" si="2"/>
        <v>1000</v>
      </c>
      <c r="E42" s="4">
        <f t="shared" si="3"/>
        <v>233700</v>
      </c>
      <c r="F42" s="3" t="str" cm="1">
        <f t="array" ref="F42">CostScreen($C42)</f>
        <v>20K</v>
      </c>
      <c r="N42" s="2">
        <f t="shared" si="6"/>
        <v>1</v>
      </c>
      <c r="O42" s="4">
        <f t="shared" si="8"/>
        <v>4</v>
      </c>
      <c r="P42" s="4">
        <f t="shared" si="9"/>
        <v>9</v>
      </c>
      <c r="Q42" s="4">
        <v>900</v>
      </c>
      <c r="R42" s="3"/>
    </row>
    <row r="43" spans="1:26" x14ac:dyDescent="0.2">
      <c r="A43" s="2">
        <f t="shared" si="0"/>
        <v>40</v>
      </c>
      <c r="B43" s="3">
        <f t="shared" si="1"/>
        <v>41</v>
      </c>
      <c r="C43" s="4">
        <v>21000</v>
      </c>
      <c r="D43" s="4">
        <f t="shared" si="2"/>
        <v>1000</v>
      </c>
      <c r="E43" s="4">
        <f t="shared" si="3"/>
        <v>254700</v>
      </c>
      <c r="F43" s="3" t="str" cm="1">
        <f t="array" ref="F43">CostScreen($C43)</f>
        <v>21K</v>
      </c>
      <c r="N43" s="2">
        <f t="shared" si="6"/>
        <v>1</v>
      </c>
      <c r="O43" s="4">
        <f t="shared" si="8"/>
        <v>4</v>
      </c>
      <c r="P43" s="4">
        <f t="shared" si="9"/>
        <v>10</v>
      </c>
      <c r="Q43" s="4">
        <v>900</v>
      </c>
      <c r="R43" s="3"/>
    </row>
    <row r="44" spans="1:26" x14ac:dyDescent="0.2">
      <c r="A44" s="2">
        <f t="shared" si="0"/>
        <v>41</v>
      </c>
      <c r="B44" s="3">
        <f t="shared" si="1"/>
        <v>42</v>
      </c>
      <c r="C44" s="4">
        <v>22000</v>
      </c>
      <c r="D44" s="4">
        <f t="shared" si="2"/>
        <v>1000</v>
      </c>
      <c r="E44" s="4">
        <f t="shared" si="3"/>
        <v>276700</v>
      </c>
      <c r="F44" s="3" t="str" cm="1">
        <f t="array" ref="F44">CostScreen($C44)</f>
        <v>22K</v>
      </c>
      <c r="N44" s="2">
        <f t="shared" si="6"/>
        <v>2</v>
      </c>
      <c r="O44" s="4">
        <v>0</v>
      </c>
      <c r="P44" s="4"/>
      <c r="Q44" s="4">
        <v>40</v>
      </c>
      <c r="R44" s="3"/>
    </row>
    <row r="45" spans="1:26" x14ac:dyDescent="0.2">
      <c r="A45" s="2">
        <f t="shared" si="0"/>
        <v>42</v>
      </c>
      <c r="B45" s="3">
        <f t="shared" si="1"/>
        <v>43</v>
      </c>
      <c r="C45" s="4">
        <v>23000</v>
      </c>
      <c r="D45" s="4">
        <f t="shared" si="2"/>
        <v>1000</v>
      </c>
      <c r="E45" s="4">
        <f t="shared" si="3"/>
        <v>299700</v>
      </c>
      <c r="F45" s="3" t="str" cm="1">
        <f t="array" ref="F45">CostScreen($C45)</f>
        <v>23K</v>
      </c>
      <c r="N45" s="2">
        <f t="shared" si="6"/>
        <v>2</v>
      </c>
      <c r="O45" s="4">
        <f t="shared" si="8"/>
        <v>1</v>
      </c>
      <c r="P45" s="4">
        <f t="shared" si="9"/>
        <v>1</v>
      </c>
      <c r="Q45" s="4">
        <v>900</v>
      </c>
      <c r="R45" s="3"/>
    </row>
    <row r="46" spans="1:26" x14ac:dyDescent="0.2">
      <c r="A46" s="2">
        <f t="shared" si="0"/>
        <v>43</v>
      </c>
      <c r="B46" s="3">
        <f t="shared" si="1"/>
        <v>44</v>
      </c>
      <c r="C46" s="4">
        <v>24000</v>
      </c>
      <c r="D46" s="4">
        <f t="shared" si="2"/>
        <v>1000</v>
      </c>
      <c r="E46" s="4">
        <f t="shared" si="3"/>
        <v>323700</v>
      </c>
      <c r="F46" s="3" t="str" cm="1">
        <f t="array" ref="F46">CostScreen($C46)</f>
        <v>24K</v>
      </c>
      <c r="N46" s="2">
        <f t="shared" si="6"/>
        <v>2</v>
      </c>
      <c r="O46" s="4">
        <f t="shared" si="8"/>
        <v>1</v>
      </c>
      <c r="P46" s="4">
        <f t="shared" si="9"/>
        <v>2</v>
      </c>
      <c r="Q46" s="4">
        <v>900</v>
      </c>
      <c r="R46" s="3"/>
    </row>
    <row r="47" spans="1:26" x14ac:dyDescent="0.2">
      <c r="A47" s="2">
        <f t="shared" si="0"/>
        <v>44</v>
      </c>
      <c r="B47" s="3">
        <f t="shared" si="1"/>
        <v>45</v>
      </c>
      <c r="C47" s="4">
        <v>25000</v>
      </c>
      <c r="D47" s="4">
        <f t="shared" si="2"/>
        <v>1000</v>
      </c>
      <c r="E47" s="4">
        <f t="shared" si="3"/>
        <v>348700</v>
      </c>
      <c r="F47" s="3" t="str" cm="1">
        <f t="array" ref="F47">CostScreen($C47)</f>
        <v>25K</v>
      </c>
      <c r="N47" s="2">
        <f t="shared" si="6"/>
        <v>2</v>
      </c>
      <c r="O47" s="4">
        <f t="shared" si="8"/>
        <v>1</v>
      </c>
      <c r="P47" s="4">
        <f t="shared" si="9"/>
        <v>3</v>
      </c>
      <c r="Q47" s="4">
        <v>900</v>
      </c>
      <c r="R47" s="3"/>
    </row>
    <row r="48" spans="1:26" x14ac:dyDescent="0.2">
      <c r="A48" s="2">
        <f t="shared" si="0"/>
        <v>45</v>
      </c>
      <c r="B48" s="3">
        <f t="shared" si="1"/>
        <v>46</v>
      </c>
      <c r="C48" s="4">
        <v>26000</v>
      </c>
      <c r="D48" s="4">
        <f t="shared" si="2"/>
        <v>1000</v>
      </c>
      <c r="E48" s="4">
        <f t="shared" si="3"/>
        <v>374700</v>
      </c>
      <c r="F48" s="3" t="str" cm="1">
        <f t="array" ref="F48">CostScreen($C48)</f>
        <v>26K</v>
      </c>
      <c r="N48" s="2">
        <f t="shared" si="6"/>
        <v>2</v>
      </c>
      <c r="O48" s="4">
        <f t="shared" si="8"/>
        <v>1</v>
      </c>
      <c r="P48" s="4">
        <f t="shared" si="9"/>
        <v>4</v>
      </c>
      <c r="Q48" s="4">
        <v>900</v>
      </c>
      <c r="R48" s="3"/>
    </row>
    <row r="49" spans="1:18" x14ac:dyDescent="0.2">
      <c r="A49" s="2">
        <f t="shared" si="0"/>
        <v>46</v>
      </c>
      <c r="B49" s="3">
        <f t="shared" si="1"/>
        <v>47</v>
      </c>
      <c r="C49" s="4">
        <v>27000</v>
      </c>
      <c r="D49" s="4">
        <f t="shared" si="2"/>
        <v>1000</v>
      </c>
      <c r="E49" s="4">
        <f t="shared" si="3"/>
        <v>401700</v>
      </c>
      <c r="F49" s="3" t="str" cm="1">
        <f t="array" ref="F49">CostScreen($C49)</f>
        <v>27K</v>
      </c>
      <c r="N49" s="2">
        <f t="shared" si="6"/>
        <v>2</v>
      </c>
      <c r="O49" s="4">
        <f t="shared" si="8"/>
        <v>1</v>
      </c>
      <c r="P49" s="4">
        <f t="shared" si="9"/>
        <v>5</v>
      </c>
      <c r="Q49" s="4">
        <v>900</v>
      </c>
      <c r="R49" s="3"/>
    </row>
    <row r="50" spans="1:18" x14ac:dyDescent="0.2">
      <c r="A50" s="2">
        <f t="shared" si="0"/>
        <v>47</v>
      </c>
      <c r="B50" s="3">
        <f t="shared" si="1"/>
        <v>48</v>
      </c>
      <c r="C50" s="4">
        <v>28000</v>
      </c>
      <c r="D50" s="4">
        <f t="shared" si="2"/>
        <v>1000</v>
      </c>
      <c r="E50" s="4">
        <f t="shared" si="3"/>
        <v>429700</v>
      </c>
      <c r="F50" s="3" t="str" cm="1">
        <f t="array" ref="F50">CostScreen($C50)</f>
        <v>28K</v>
      </c>
      <c r="N50" s="2">
        <f t="shared" si="6"/>
        <v>2</v>
      </c>
      <c r="O50" s="4">
        <f t="shared" si="8"/>
        <v>1</v>
      </c>
      <c r="P50" s="4">
        <f t="shared" si="9"/>
        <v>6</v>
      </c>
      <c r="Q50" s="4">
        <v>900</v>
      </c>
      <c r="R50" s="3"/>
    </row>
    <row r="51" spans="1:18" x14ac:dyDescent="0.2">
      <c r="A51" s="2">
        <f t="shared" si="0"/>
        <v>48</v>
      </c>
      <c r="B51" s="3">
        <f t="shared" si="1"/>
        <v>49</v>
      </c>
      <c r="C51" s="4">
        <v>29000</v>
      </c>
      <c r="D51" s="4">
        <f t="shared" si="2"/>
        <v>1000</v>
      </c>
      <c r="E51" s="4">
        <f t="shared" si="3"/>
        <v>458700</v>
      </c>
      <c r="F51" s="3" t="str" cm="1">
        <f t="array" ref="F51">CostScreen($C51)</f>
        <v>29K</v>
      </c>
      <c r="N51" s="2">
        <f t="shared" si="6"/>
        <v>2</v>
      </c>
      <c r="O51" s="4">
        <f t="shared" si="8"/>
        <v>1</v>
      </c>
      <c r="P51" s="4">
        <f t="shared" si="9"/>
        <v>7</v>
      </c>
      <c r="Q51" s="4">
        <v>900</v>
      </c>
      <c r="R51" s="3"/>
    </row>
    <row r="52" spans="1:18" x14ac:dyDescent="0.2">
      <c r="A52" s="2">
        <f t="shared" si="0"/>
        <v>49</v>
      </c>
      <c r="B52" s="3">
        <f t="shared" si="1"/>
        <v>50</v>
      </c>
      <c r="C52" s="4">
        <v>30000</v>
      </c>
      <c r="D52" s="4">
        <f t="shared" si="2"/>
        <v>1000</v>
      </c>
      <c r="E52" s="4">
        <f t="shared" si="3"/>
        <v>488700</v>
      </c>
      <c r="F52" s="3" t="str" cm="1">
        <f t="array" ref="F52">CostScreen($C52)</f>
        <v>30K</v>
      </c>
      <c r="N52" s="2">
        <f t="shared" si="6"/>
        <v>2</v>
      </c>
      <c r="O52" s="4">
        <f t="shared" si="8"/>
        <v>1</v>
      </c>
      <c r="P52" s="4">
        <f t="shared" si="9"/>
        <v>8</v>
      </c>
      <c r="Q52" s="4">
        <v>900</v>
      </c>
      <c r="R52" s="3"/>
    </row>
    <row r="53" spans="1:18" x14ac:dyDescent="0.2">
      <c r="A53" s="2">
        <f t="shared" si="0"/>
        <v>50</v>
      </c>
      <c r="B53" s="3">
        <f t="shared" si="1"/>
        <v>51</v>
      </c>
      <c r="C53" s="4">
        <v>32000</v>
      </c>
      <c r="D53" s="4">
        <f t="shared" si="2"/>
        <v>2000</v>
      </c>
      <c r="E53" s="4">
        <f t="shared" si="3"/>
        <v>520700</v>
      </c>
      <c r="F53" s="3" t="str" cm="1">
        <f t="array" ref="F53">CostScreen($C53)</f>
        <v>32K</v>
      </c>
      <c r="N53" s="2">
        <f t="shared" si="6"/>
        <v>2</v>
      </c>
      <c r="O53" s="4">
        <f t="shared" si="8"/>
        <v>1</v>
      </c>
      <c r="P53" s="4">
        <f t="shared" si="9"/>
        <v>9</v>
      </c>
      <c r="Q53" s="4">
        <v>900</v>
      </c>
      <c r="R53" s="3"/>
    </row>
    <row r="54" spans="1:18" x14ac:dyDescent="0.2">
      <c r="A54" s="2">
        <f t="shared" si="0"/>
        <v>51</v>
      </c>
      <c r="B54" s="3">
        <f t="shared" si="1"/>
        <v>52</v>
      </c>
      <c r="C54" s="4">
        <v>34000</v>
      </c>
      <c r="D54" s="4">
        <f t="shared" si="2"/>
        <v>2000</v>
      </c>
      <c r="E54" s="4">
        <f t="shared" si="3"/>
        <v>554700</v>
      </c>
      <c r="F54" s="3" t="str" cm="1">
        <f t="array" ref="F54">CostScreen($C54)</f>
        <v>34K</v>
      </c>
      <c r="N54" s="2">
        <f t="shared" si="6"/>
        <v>2</v>
      </c>
      <c r="O54" s="4">
        <f t="shared" si="8"/>
        <v>1</v>
      </c>
      <c r="P54" s="4">
        <f t="shared" si="9"/>
        <v>10</v>
      </c>
      <c r="Q54" s="4">
        <v>900</v>
      </c>
      <c r="R54" s="3"/>
    </row>
    <row r="55" spans="1:18" x14ac:dyDescent="0.2">
      <c r="A55" s="2">
        <f t="shared" si="0"/>
        <v>52</v>
      </c>
      <c r="B55" s="3">
        <f t="shared" si="1"/>
        <v>53</v>
      </c>
      <c r="C55" s="4">
        <v>36000</v>
      </c>
      <c r="D55" s="4">
        <f t="shared" si="2"/>
        <v>2000</v>
      </c>
      <c r="E55" s="4">
        <f t="shared" si="3"/>
        <v>590700</v>
      </c>
      <c r="F55" s="3" t="str" cm="1">
        <f t="array" ref="F55">CostScreen($C55)</f>
        <v>36K</v>
      </c>
      <c r="N55" s="2">
        <f t="shared" si="6"/>
        <v>2</v>
      </c>
      <c r="O55" s="4">
        <f t="shared" si="8"/>
        <v>2</v>
      </c>
      <c r="P55" s="4">
        <f t="shared" si="9"/>
        <v>1</v>
      </c>
      <c r="Q55" s="4">
        <v>900</v>
      </c>
      <c r="R55" s="3"/>
    </row>
    <row r="56" spans="1:18" x14ac:dyDescent="0.2">
      <c r="A56" s="2">
        <f t="shared" si="0"/>
        <v>53</v>
      </c>
      <c r="B56" s="3">
        <f t="shared" si="1"/>
        <v>54</v>
      </c>
      <c r="C56" s="4">
        <v>38000</v>
      </c>
      <c r="D56" s="4">
        <f t="shared" si="2"/>
        <v>2000</v>
      </c>
      <c r="E56" s="4">
        <f t="shared" si="3"/>
        <v>628700</v>
      </c>
      <c r="F56" s="3" t="str" cm="1">
        <f t="array" ref="F56">CostScreen($C56)</f>
        <v>38K</v>
      </c>
      <c r="N56" s="2">
        <f t="shared" si="6"/>
        <v>2</v>
      </c>
      <c r="O56" s="4">
        <f t="shared" si="8"/>
        <v>2</v>
      </c>
      <c r="P56" s="4">
        <f t="shared" si="9"/>
        <v>2</v>
      </c>
      <c r="Q56" s="4">
        <v>900</v>
      </c>
      <c r="R56" s="3"/>
    </row>
    <row r="57" spans="1:18" x14ac:dyDescent="0.2">
      <c r="A57" s="2">
        <f t="shared" si="0"/>
        <v>54</v>
      </c>
      <c r="B57" s="3">
        <f t="shared" si="1"/>
        <v>55</v>
      </c>
      <c r="C57" s="4">
        <v>40000</v>
      </c>
      <c r="D57" s="4">
        <f t="shared" si="2"/>
        <v>2000</v>
      </c>
      <c r="E57" s="4">
        <f t="shared" si="3"/>
        <v>668700</v>
      </c>
      <c r="F57" s="3" t="str" cm="1">
        <f t="array" ref="F57">CostScreen($C57)</f>
        <v>40K</v>
      </c>
      <c r="N57" s="2">
        <f t="shared" si="6"/>
        <v>2</v>
      </c>
      <c r="O57" s="4">
        <f t="shared" si="8"/>
        <v>2</v>
      </c>
      <c r="P57" s="4">
        <f t="shared" si="9"/>
        <v>3</v>
      </c>
      <c r="Q57" s="4">
        <v>900</v>
      </c>
      <c r="R57" s="3"/>
    </row>
    <row r="58" spans="1:18" x14ac:dyDescent="0.2">
      <c r="A58" s="2">
        <f t="shared" si="0"/>
        <v>55</v>
      </c>
      <c r="B58" s="3">
        <f t="shared" si="1"/>
        <v>56</v>
      </c>
      <c r="C58" s="4">
        <v>42000</v>
      </c>
      <c r="D58" s="4">
        <f t="shared" si="2"/>
        <v>2000</v>
      </c>
      <c r="E58" s="4">
        <f t="shared" si="3"/>
        <v>710700</v>
      </c>
      <c r="F58" s="3" t="str" cm="1">
        <f t="array" ref="F58">CostScreen($C58)</f>
        <v>42K</v>
      </c>
      <c r="N58" s="2">
        <f t="shared" si="6"/>
        <v>2</v>
      </c>
      <c r="O58" s="4">
        <f t="shared" si="8"/>
        <v>2</v>
      </c>
      <c r="P58" s="4">
        <f t="shared" si="9"/>
        <v>4</v>
      </c>
      <c r="Q58" s="4">
        <v>900</v>
      </c>
      <c r="R58" s="3"/>
    </row>
    <row r="59" spans="1:18" x14ac:dyDescent="0.2">
      <c r="A59" s="2">
        <f t="shared" si="0"/>
        <v>56</v>
      </c>
      <c r="B59" s="3">
        <f t="shared" si="1"/>
        <v>57</v>
      </c>
      <c r="C59" s="4">
        <v>44000</v>
      </c>
      <c r="D59" s="4">
        <f t="shared" si="2"/>
        <v>2000</v>
      </c>
      <c r="E59" s="4">
        <f t="shared" si="3"/>
        <v>754700</v>
      </c>
      <c r="F59" s="3" t="str" cm="1">
        <f t="array" ref="F59">CostScreen($C59)</f>
        <v>44K</v>
      </c>
      <c r="N59" s="2">
        <f t="shared" si="6"/>
        <v>2</v>
      </c>
      <c r="O59" s="4">
        <f t="shared" si="8"/>
        <v>2</v>
      </c>
      <c r="P59" s="4">
        <f t="shared" si="9"/>
        <v>5</v>
      </c>
      <c r="Q59" s="4">
        <v>900</v>
      </c>
      <c r="R59" s="3"/>
    </row>
    <row r="60" spans="1:18" x14ac:dyDescent="0.2">
      <c r="A60" s="2">
        <f t="shared" si="0"/>
        <v>57</v>
      </c>
      <c r="B60" s="3">
        <f t="shared" si="1"/>
        <v>58</v>
      </c>
      <c r="C60" s="4">
        <v>46000</v>
      </c>
      <c r="D60" s="4">
        <f t="shared" si="2"/>
        <v>2000</v>
      </c>
      <c r="E60" s="4">
        <f t="shared" si="3"/>
        <v>800700</v>
      </c>
      <c r="F60" s="3" t="str" cm="1">
        <f t="array" ref="F60">CostScreen($C60)</f>
        <v>46K</v>
      </c>
      <c r="N60" s="2">
        <f t="shared" si="6"/>
        <v>2</v>
      </c>
      <c r="O60" s="4">
        <f t="shared" si="8"/>
        <v>2</v>
      </c>
      <c r="P60" s="4">
        <f t="shared" si="9"/>
        <v>6</v>
      </c>
      <c r="Q60" s="4">
        <v>900</v>
      </c>
      <c r="R60" s="3"/>
    </row>
    <row r="61" spans="1:18" x14ac:dyDescent="0.2">
      <c r="A61" s="2">
        <f t="shared" si="0"/>
        <v>58</v>
      </c>
      <c r="B61" s="3">
        <f t="shared" si="1"/>
        <v>59</v>
      </c>
      <c r="C61" s="4">
        <v>48000</v>
      </c>
      <c r="D61" s="4">
        <f t="shared" si="2"/>
        <v>2000</v>
      </c>
      <c r="E61" s="4">
        <f t="shared" si="3"/>
        <v>848700</v>
      </c>
      <c r="F61" s="3" t="str" cm="1">
        <f t="array" ref="F61">CostScreen($C61)</f>
        <v>48K</v>
      </c>
      <c r="N61" s="2">
        <f t="shared" si="6"/>
        <v>2</v>
      </c>
      <c r="O61" s="4">
        <f t="shared" si="8"/>
        <v>2</v>
      </c>
      <c r="P61" s="4">
        <f t="shared" si="9"/>
        <v>7</v>
      </c>
      <c r="Q61" s="4">
        <v>900</v>
      </c>
      <c r="R61" s="3"/>
    </row>
    <row r="62" spans="1:18" x14ac:dyDescent="0.2">
      <c r="A62" s="2">
        <f t="shared" si="0"/>
        <v>59</v>
      </c>
      <c r="B62" s="3">
        <f t="shared" si="1"/>
        <v>60</v>
      </c>
      <c r="C62" s="4">
        <v>50000</v>
      </c>
      <c r="D62" s="4">
        <f t="shared" si="2"/>
        <v>2000</v>
      </c>
      <c r="E62" s="4">
        <f t="shared" si="3"/>
        <v>898700</v>
      </c>
      <c r="F62" s="3" t="str" cm="1">
        <f t="array" ref="F62">CostScreen($C62)</f>
        <v>50K</v>
      </c>
      <c r="N62" s="2">
        <f t="shared" si="6"/>
        <v>2</v>
      </c>
      <c r="O62" s="4">
        <f t="shared" si="8"/>
        <v>2</v>
      </c>
      <c r="P62" s="4">
        <f t="shared" si="9"/>
        <v>8</v>
      </c>
      <c r="Q62" s="4">
        <v>900</v>
      </c>
      <c r="R62" s="3"/>
    </row>
    <row r="63" spans="1:18" x14ac:dyDescent="0.2">
      <c r="A63" s="2">
        <f t="shared" si="0"/>
        <v>60</v>
      </c>
      <c r="B63" s="3">
        <f t="shared" si="1"/>
        <v>61</v>
      </c>
      <c r="C63" s="4">
        <v>53000</v>
      </c>
      <c r="D63" s="4">
        <f t="shared" si="2"/>
        <v>3000</v>
      </c>
      <c r="E63" s="4">
        <f t="shared" si="3"/>
        <v>951700</v>
      </c>
      <c r="F63" s="3" t="str" cm="1">
        <f t="array" ref="F63">CostScreen($C63)</f>
        <v>53K</v>
      </c>
      <c r="N63" s="2">
        <f t="shared" si="6"/>
        <v>2</v>
      </c>
      <c r="O63" s="4">
        <f t="shared" si="8"/>
        <v>2</v>
      </c>
      <c r="P63" s="4">
        <f t="shared" si="9"/>
        <v>9</v>
      </c>
      <c r="Q63" s="4">
        <v>900</v>
      </c>
      <c r="R63" s="3"/>
    </row>
    <row r="64" spans="1:18" x14ac:dyDescent="0.2">
      <c r="A64" s="2">
        <f t="shared" si="0"/>
        <v>61</v>
      </c>
      <c r="B64" s="3">
        <f t="shared" si="1"/>
        <v>62</v>
      </c>
      <c r="C64" s="4">
        <v>56000</v>
      </c>
      <c r="D64" s="4">
        <f t="shared" si="2"/>
        <v>3000</v>
      </c>
      <c r="E64" s="4">
        <f t="shared" si="3"/>
        <v>1007700</v>
      </c>
      <c r="F64" s="3" t="str" cm="1">
        <f t="array" ref="F64">CostScreen($C64)</f>
        <v>56K</v>
      </c>
      <c r="N64" s="2">
        <f t="shared" si="6"/>
        <v>2</v>
      </c>
      <c r="O64" s="4">
        <f t="shared" si="8"/>
        <v>2</v>
      </c>
      <c r="P64" s="4">
        <f t="shared" si="9"/>
        <v>10</v>
      </c>
      <c r="Q64" s="4">
        <v>900</v>
      </c>
      <c r="R64" s="3"/>
    </row>
    <row r="65" spans="1:18" x14ac:dyDescent="0.2">
      <c r="A65" s="2">
        <f t="shared" si="0"/>
        <v>62</v>
      </c>
      <c r="B65" s="3">
        <f t="shared" si="1"/>
        <v>63</v>
      </c>
      <c r="C65" s="4">
        <v>59000</v>
      </c>
      <c r="D65" s="4">
        <f t="shared" si="2"/>
        <v>3000</v>
      </c>
      <c r="E65" s="4">
        <f t="shared" si="3"/>
        <v>1066700</v>
      </c>
      <c r="F65" s="3" t="str" cm="1">
        <f t="array" ref="F65">CostScreen($C65)</f>
        <v>59K</v>
      </c>
      <c r="N65" s="2">
        <f t="shared" si="6"/>
        <v>2</v>
      </c>
      <c r="O65" s="4">
        <f t="shared" si="8"/>
        <v>3</v>
      </c>
      <c r="P65" s="4">
        <f t="shared" si="9"/>
        <v>1</v>
      </c>
      <c r="Q65" s="4">
        <v>1000</v>
      </c>
      <c r="R65" s="3"/>
    </row>
    <row r="66" spans="1:18" x14ac:dyDescent="0.2">
      <c r="A66" s="2">
        <f t="shared" si="0"/>
        <v>63</v>
      </c>
      <c r="B66" s="3">
        <f t="shared" si="1"/>
        <v>64</v>
      </c>
      <c r="C66" s="4">
        <v>62000</v>
      </c>
      <c r="D66" s="4">
        <f t="shared" si="2"/>
        <v>3000</v>
      </c>
      <c r="E66" s="4">
        <f t="shared" si="3"/>
        <v>1128700</v>
      </c>
      <c r="F66" s="3" t="str" cm="1">
        <f t="array" ref="F66">CostScreen($C66)</f>
        <v>62K</v>
      </c>
      <c r="N66" s="2">
        <f t="shared" si="6"/>
        <v>2</v>
      </c>
      <c r="O66" s="4">
        <f t="shared" si="8"/>
        <v>3</v>
      </c>
      <c r="P66" s="4">
        <f t="shared" si="9"/>
        <v>2</v>
      </c>
      <c r="Q66" s="4">
        <v>1000</v>
      </c>
      <c r="R66" s="3"/>
    </row>
    <row r="67" spans="1:18" x14ac:dyDescent="0.2">
      <c r="A67" s="2">
        <f t="shared" ref="A67:A130" si="12">B67-1</f>
        <v>64</v>
      </c>
      <c r="B67" s="3">
        <f t="shared" si="1"/>
        <v>65</v>
      </c>
      <c r="C67" s="4">
        <v>65000</v>
      </c>
      <c r="D67" s="4">
        <f t="shared" si="2"/>
        <v>3000</v>
      </c>
      <c r="E67" s="4">
        <f t="shared" si="3"/>
        <v>1193700</v>
      </c>
      <c r="F67" s="3" t="str" cm="1">
        <f t="array" ref="F67">CostScreen($C67)</f>
        <v>65K</v>
      </c>
      <c r="N67" s="2">
        <f t="shared" si="6"/>
        <v>2</v>
      </c>
      <c r="O67" s="4">
        <f t="shared" si="8"/>
        <v>3</v>
      </c>
      <c r="P67" s="4">
        <f t="shared" si="9"/>
        <v>3</v>
      </c>
      <c r="Q67" s="4">
        <v>1000</v>
      </c>
      <c r="R67" s="3"/>
    </row>
    <row r="68" spans="1:18" x14ac:dyDescent="0.2">
      <c r="A68" s="2">
        <f t="shared" si="12"/>
        <v>65</v>
      </c>
      <c r="B68" s="3">
        <f t="shared" ref="B68:B131" si="13">ROW()-ROW($B$2)</f>
        <v>66</v>
      </c>
      <c r="C68" s="4">
        <v>68000</v>
      </c>
      <c r="D68" s="4">
        <f t="shared" ref="D68:D131" si="14">IF(AND(C68&gt;0,ISNUMBER(C67)),C68-C67,"")</f>
        <v>3000</v>
      </c>
      <c r="E68" s="4">
        <f t="shared" ref="E68:E131" si="15">IF(ISNUMBER(E67),E67+C68,"")</f>
        <v>1261700</v>
      </c>
      <c r="F68" s="3" t="str" cm="1">
        <f t="array" ref="F68">CostScreen($C68)</f>
        <v>68K</v>
      </c>
      <c r="N68" s="2">
        <f t="shared" ref="N68:N131" si="16">IFERROR(N67+IF(AND(O67=CHOOSE(IF(N67=1,1,2),4,6),P67=10),1,0),1)</f>
        <v>2</v>
      </c>
      <c r="O68" s="4">
        <f t="shared" si="8"/>
        <v>3</v>
      </c>
      <c r="P68" s="4">
        <f t="shared" si="9"/>
        <v>4</v>
      </c>
      <c r="Q68" s="4">
        <v>1000</v>
      </c>
      <c r="R68" s="3"/>
    </row>
    <row r="69" spans="1:18" x14ac:dyDescent="0.2">
      <c r="A69" s="2">
        <f t="shared" si="12"/>
        <v>66</v>
      </c>
      <c r="B69" s="3">
        <f t="shared" si="13"/>
        <v>67</v>
      </c>
      <c r="C69" s="4">
        <v>71000</v>
      </c>
      <c r="D69" s="4">
        <f t="shared" si="14"/>
        <v>3000</v>
      </c>
      <c r="E69" s="4">
        <f t="shared" si="15"/>
        <v>1332700</v>
      </c>
      <c r="F69" s="3" t="str" cm="1">
        <f t="array" ref="F69">CostScreen($C69)</f>
        <v>71K</v>
      </c>
      <c r="N69" s="2">
        <f t="shared" si="16"/>
        <v>2</v>
      </c>
      <c r="O69" s="4">
        <f t="shared" ref="O69:O132" si="17">IF(AND(O68=CHOOSE(IF(N68=1,1,2),4,6),P68=10),1,IF(P68=10,IF(O68=0,1,O68)+1,IF(O68=0,1,O68)))</f>
        <v>3</v>
      </c>
      <c r="P69" s="4">
        <f t="shared" ref="P69:P132" si="18">IFERROR(IF(P68=10,0,P68)+1,1)</f>
        <v>5</v>
      </c>
      <c r="Q69" s="4">
        <v>1000</v>
      </c>
      <c r="R69" s="3"/>
    </row>
    <row r="70" spans="1:18" x14ac:dyDescent="0.2">
      <c r="A70" s="2">
        <f t="shared" si="12"/>
        <v>67</v>
      </c>
      <c r="B70" s="3">
        <f t="shared" si="13"/>
        <v>68</v>
      </c>
      <c r="C70" s="4">
        <v>74000</v>
      </c>
      <c r="D70" s="4">
        <f t="shared" si="14"/>
        <v>3000</v>
      </c>
      <c r="E70" s="4">
        <f t="shared" si="15"/>
        <v>1406700</v>
      </c>
      <c r="F70" s="3" t="str" cm="1">
        <f t="array" ref="F70">CostScreen($C70)</f>
        <v>74K</v>
      </c>
      <c r="N70" s="2">
        <f t="shared" si="16"/>
        <v>2</v>
      </c>
      <c r="O70" s="4">
        <f t="shared" si="17"/>
        <v>3</v>
      </c>
      <c r="P70" s="4">
        <f t="shared" si="18"/>
        <v>6</v>
      </c>
      <c r="Q70" s="4">
        <v>1000</v>
      </c>
      <c r="R70" s="3"/>
    </row>
    <row r="71" spans="1:18" x14ac:dyDescent="0.2">
      <c r="A71" s="2">
        <f t="shared" si="12"/>
        <v>68</v>
      </c>
      <c r="B71" s="3">
        <f t="shared" si="13"/>
        <v>69</v>
      </c>
      <c r="C71" s="4">
        <v>77000</v>
      </c>
      <c r="D71" s="4">
        <f t="shared" si="14"/>
        <v>3000</v>
      </c>
      <c r="E71" s="4">
        <f t="shared" si="15"/>
        <v>1483700</v>
      </c>
      <c r="F71" s="3" t="str" cm="1">
        <f t="array" ref="F71">CostScreen($C71)</f>
        <v>77K</v>
      </c>
      <c r="N71" s="2">
        <f t="shared" si="16"/>
        <v>2</v>
      </c>
      <c r="O71" s="4">
        <f t="shared" si="17"/>
        <v>3</v>
      </c>
      <c r="P71" s="4">
        <f t="shared" si="18"/>
        <v>7</v>
      </c>
      <c r="Q71" s="4">
        <v>1000</v>
      </c>
      <c r="R71" s="3"/>
    </row>
    <row r="72" spans="1:18" x14ac:dyDescent="0.2">
      <c r="A72" s="2">
        <f t="shared" si="12"/>
        <v>69</v>
      </c>
      <c r="B72" s="3">
        <f t="shared" si="13"/>
        <v>70</v>
      </c>
      <c r="C72" s="4">
        <v>80000</v>
      </c>
      <c r="D72" s="4">
        <f t="shared" si="14"/>
        <v>3000</v>
      </c>
      <c r="E72" s="4">
        <f t="shared" si="15"/>
        <v>1563700</v>
      </c>
      <c r="F72" s="3" t="str" cm="1">
        <f t="array" ref="F72">CostScreen($C72)</f>
        <v>80K</v>
      </c>
      <c r="N72" s="2">
        <f t="shared" si="16"/>
        <v>2</v>
      </c>
      <c r="O72" s="4">
        <f t="shared" si="17"/>
        <v>3</v>
      </c>
      <c r="P72" s="4">
        <f t="shared" si="18"/>
        <v>8</v>
      </c>
      <c r="Q72" s="4">
        <v>1000</v>
      </c>
      <c r="R72" s="3"/>
    </row>
    <row r="73" spans="1:18" x14ac:dyDescent="0.2">
      <c r="A73" s="2">
        <f t="shared" si="12"/>
        <v>70</v>
      </c>
      <c r="B73" s="3">
        <f t="shared" si="13"/>
        <v>71</v>
      </c>
      <c r="C73" s="4">
        <v>84000</v>
      </c>
      <c r="D73" s="4">
        <f t="shared" si="14"/>
        <v>4000</v>
      </c>
      <c r="E73" s="4">
        <f t="shared" si="15"/>
        <v>1647700</v>
      </c>
      <c r="F73" s="3" t="str" cm="1">
        <f t="array" ref="F73">CostScreen($C73)</f>
        <v>84K</v>
      </c>
      <c r="N73" s="2">
        <f t="shared" si="16"/>
        <v>2</v>
      </c>
      <c r="O73" s="4">
        <f t="shared" si="17"/>
        <v>3</v>
      </c>
      <c r="P73" s="4">
        <f t="shared" si="18"/>
        <v>9</v>
      </c>
      <c r="Q73" s="4">
        <v>1000</v>
      </c>
      <c r="R73" s="3"/>
    </row>
    <row r="74" spans="1:18" x14ac:dyDescent="0.2">
      <c r="A74" s="2">
        <f t="shared" si="12"/>
        <v>71</v>
      </c>
      <c r="B74" s="3">
        <f t="shared" si="13"/>
        <v>72</v>
      </c>
      <c r="C74" s="4">
        <v>88000</v>
      </c>
      <c r="D74" s="4">
        <f t="shared" si="14"/>
        <v>4000</v>
      </c>
      <c r="E74" s="4">
        <f t="shared" si="15"/>
        <v>1735700</v>
      </c>
      <c r="F74" s="3" t="str" cm="1">
        <f t="array" ref="F74">CostScreen($C74)</f>
        <v>88K</v>
      </c>
      <c r="N74" s="2">
        <f t="shared" si="16"/>
        <v>2</v>
      </c>
      <c r="O74" s="4">
        <f t="shared" si="17"/>
        <v>3</v>
      </c>
      <c r="P74" s="4">
        <f t="shared" si="18"/>
        <v>10</v>
      </c>
      <c r="Q74" s="4">
        <v>1000</v>
      </c>
      <c r="R74" s="3"/>
    </row>
    <row r="75" spans="1:18" x14ac:dyDescent="0.2">
      <c r="A75" s="2">
        <f t="shared" si="12"/>
        <v>72</v>
      </c>
      <c r="B75" s="3">
        <f t="shared" si="13"/>
        <v>73</v>
      </c>
      <c r="C75" s="4">
        <v>92000</v>
      </c>
      <c r="D75" s="4">
        <f t="shared" si="14"/>
        <v>4000</v>
      </c>
      <c r="E75" s="4">
        <f t="shared" si="15"/>
        <v>1827700</v>
      </c>
      <c r="F75" s="3" t="str" cm="1">
        <f t="array" ref="F75">CostScreen($C75)</f>
        <v>92K</v>
      </c>
      <c r="N75" s="2">
        <f t="shared" si="16"/>
        <v>2</v>
      </c>
      <c r="O75" s="4">
        <f t="shared" si="17"/>
        <v>4</v>
      </c>
      <c r="P75" s="4">
        <f t="shared" si="18"/>
        <v>1</v>
      </c>
      <c r="Q75" s="4">
        <v>1000</v>
      </c>
      <c r="R75" s="3"/>
    </row>
    <row r="76" spans="1:18" x14ac:dyDescent="0.2">
      <c r="A76" s="2">
        <f t="shared" si="12"/>
        <v>73</v>
      </c>
      <c r="B76" s="3">
        <f t="shared" si="13"/>
        <v>74</v>
      </c>
      <c r="C76" s="4">
        <v>96000</v>
      </c>
      <c r="D76" s="4">
        <f t="shared" si="14"/>
        <v>4000</v>
      </c>
      <c r="E76" s="4">
        <f t="shared" si="15"/>
        <v>1923700</v>
      </c>
      <c r="F76" s="3" t="str" cm="1">
        <f t="array" ref="F76">CostScreen($C76)</f>
        <v>96K</v>
      </c>
      <c r="N76" s="2">
        <f t="shared" si="16"/>
        <v>2</v>
      </c>
      <c r="O76" s="4">
        <f t="shared" si="17"/>
        <v>4</v>
      </c>
      <c r="P76" s="4">
        <f t="shared" si="18"/>
        <v>2</v>
      </c>
      <c r="Q76" s="4">
        <v>1000</v>
      </c>
      <c r="R76" s="3"/>
    </row>
    <row r="77" spans="1:18" x14ac:dyDescent="0.2">
      <c r="A77" s="2">
        <f t="shared" si="12"/>
        <v>74</v>
      </c>
      <c r="B77" s="3">
        <f t="shared" si="13"/>
        <v>75</v>
      </c>
      <c r="C77" s="4">
        <v>100000</v>
      </c>
      <c r="D77" s="4">
        <f t="shared" si="14"/>
        <v>4000</v>
      </c>
      <c r="E77" s="4">
        <f t="shared" si="15"/>
        <v>2023700</v>
      </c>
      <c r="F77" s="3" t="str" cm="1">
        <f t="array" ref="F77">CostScreen($C77)</f>
        <v>100K</v>
      </c>
      <c r="N77" s="2">
        <f t="shared" si="16"/>
        <v>2</v>
      </c>
      <c r="O77" s="4">
        <f t="shared" si="17"/>
        <v>4</v>
      </c>
      <c r="P77" s="4">
        <f t="shared" si="18"/>
        <v>3</v>
      </c>
      <c r="Q77" s="4">
        <v>1000</v>
      </c>
      <c r="R77" s="3"/>
    </row>
    <row r="78" spans="1:18" x14ac:dyDescent="0.2">
      <c r="A78" s="2">
        <f t="shared" si="12"/>
        <v>75</v>
      </c>
      <c r="B78" s="3">
        <f t="shared" si="13"/>
        <v>76</v>
      </c>
      <c r="C78" s="4">
        <v>104000</v>
      </c>
      <c r="D78" s="4">
        <f t="shared" si="14"/>
        <v>4000</v>
      </c>
      <c r="E78" s="4">
        <f t="shared" si="15"/>
        <v>2127700</v>
      </c>
      <c r="F78" s="3" t="str" cm="1">
        <f t="array" ref="F78">CostScreen($C78)</f>
        <v>104K</v>
      </c>
      <c r="N78" s="2">
        <f t="shared" si="16"/>
        <v>2</v>
      </c>
      <c r="O78" s="4">
        <f t="shared" si="17"/>
        <v>4</v>
      </c>
      <c r="P78" s="4">
        <f t="shared" si="18"/>
        <v>4</v>
      </c>
      <c r="Q78" s="4">
        <v>1000</v>
      </c>
      <c r="R78" s="3"/>
    </row>
    <row r="79" spans="1:18" x14ac:dyDescent="0.2">
      <c r="A79" s="2">
        <f t="shared" si="12"/>
        <v>76</v>
      </c>
      <c r="B79" s="3">
        <f t="shared" si="13"/>
        <v>77</v>
      </c>
      <c r="C79" s="4">
        <v>108000</v>
      </c>
      <c r="D79" s="4">
        <f t="shared" si="14"/>
        <v>4000</v>
      </c>
      <c r="E79" s="4">
        <f t="shared" si="15"/>
        <v>2235700</v>
      </c>
      <c r="F79" s="3" t="str" cm="1">
        <f t="array" ref="F79">CostScreen($C79)</f>
        <v>108K</v>
      </c>
      <c r="N79" s="2">
        <f t="shared" si="16"/>
        <v>2</v>
      </c>
      <c r="O79" s="4">
        <f t="shared" si="17"/>
        <v>4</v>
      </c>
      <c r="P79" s="4">
        <f t="shared" si="18"/>
        <v>5</v>
      </c>
      <c r="Q79" s="4">
        <v>1000</v>
      </c>
      <c r="R79" s="3"/>
    </row>
    <row r="80" spans="1:18" x14ac:dyDescent="0.2">
      <c r="A80" s="2">
        <f t="shared" si="12"/>
        <v>77</v>
      </c>
      <c r="B80" s="3">
        <f t="shared" si="13"/>
        <v>78</v>
      </c>
      <c r="C80" s="4">
        <v>112000</v>
      </c>
      <c r="D80" s="4">
        <f t="shared" si="14"/>
        <v>4000</v>
      </c>
      <c r="E80" s="4">
        <f t="shared" si="15"/>
        <v>2347700</v>
      </c>
      <c r="F80" s="3" t="str" cm="1">
        <f t="array" ref="F80">CostScreen($C80)</f>
        <v>112K</v>
      </c>
      <c r="N80" s="2">
        <f t="shared" si="16"/>
        <v>2</v>
      </c>
      <c r="O80" s="4">
        <f t="shared" si="17"/>
        <v>4</v>
      </c>
      <c r="P80" s="4">
        <f t="shared" si="18"/>
        <v>6</v>
      </c>
      <c r="Q80" s="4">
        <v>1000</v>
      </c>
      <c r="R80" s="3"/>
    </row>
    <row r="81" spans="1:18" x14ac:dyDescent="0.2">
      <c r="A81" s="2">
        <f t="shared" si="12"/>
        <v>78</v>
      </c>
      <c r="B81" s="3">
        <f t="shared" si="13"/>
        <v>79</v>
      </c>
      <c r="C81" s="4">
        <v>116000</v>
      </c>
      <c r="D81" s="4">
        <f t="shared" si="14"/>
        <v>4000</v>
      </c>
      <c r="E81" s="4">
        <f t="shared" si="15"/>
        <v>2463700</v>
      </c>
      <c r="F81" s="3" t="str" cm="1">
        <f t="array" ref="F81">CostScreen($C81)</f>
        <v>116K</v>
      </c>
      <c r="N81" s="2">
        <f t="shared" si="16"/>
        <v>2</v>
      </c>
      <c r="O81" s="4">
        <f t="shared" si="17"/>
        <v>4</v>
      </c>
      <c r="P81" s="4">
        <f t="shared" si="18"/>
        <v>7</v>
      </c>
      <c r="Q81" s="4">
        <v>1000</v>
      </c>
      <c r="R81" s="3"/>
    </row>
    <row r="82" spans="1:18" x14ac:dyDescent="0.2">
      <c r="A82" s="2">
        <f t="shared" si="12"/>
        <v>79</v>
      </c>
      <c r="B82" s="3">
        <f t="shared" si="13"/>
        <v>80</v>
      </c>
      <c r="C82" s="4">
        <v>120000</v>
      </c>
      <c r="D82" s="4">
        <f t="shared" si="14"/>
        <v>4000</v>
      </c>
      <c r="E82" s="4">
        <f t="shared" si="15"/>
        <v>2583700</v>
      </c>
      <c r="F82" s="3" t="str" cm="1">
        <f t="array" ref="F82">CostScreen($C82)</f>
        <v>120K</v>
      </c>
      <c r="N82" s="2">
        <f t="shared" si="16"/>
        <v>2</v>
      </c>
      <c r="O82" s="4">
        <f t="shared" si="17"/>
        <v>4</v>
      </c>
      <c r="P82" s="4">
        <f t="shared" si="18"/>
        <v>8</v>
      </c>
      <c r="Q82" s="4">
        <v>1000</v>
      </c>
      <c r="R82" s="3"/>
    </row>
    <row r="83" spans="1:18" x14ac:dyDescent="0.2">
      <c r="A83" s="2">
        <f t="shared" si="12"/>
        <v>80</v>
      </c>
      <c r="B83" s="3">
        <f t="shared" si="13"/>
        <v>81</v>
      </c>
      <c r="C83" s="4">
        <v>125000</v>
      </c>
      <c r="D83" s="4">
        <f t="shared" si="14"/>
        <v>5000</v>
      </c>
      <c r="E83" s="4">
        <f t="shared" si="15"/>
        <v>2708700</v>
      </c>
      <c r="F83" s="3" t="str" cm="1">
        <f t="array" ref="F83">CostScreen($C83)</f>
        <v>125K</v>
      </c>
      <c r="N83" s="2">
        <f t="shared" si="16"/>
        <v>2</v>
      </c>
      <c r="O83" s="4">
        <f t="shared" si="17"/>
        <v>4</v>
      </c>
      <c r="P83" s="4">
        <f t="shared" si="18"/>
        <v>9</v>
      </c>
      <c r="Q83" s="4">
        <v>1000</v>
      </c>
      <c r="R83" s="3"/>
    </row>
    <row r="84" spans="1:18" x14ac:dyDescent="0.2">
      <c r="A84" s="2">
        <f t="shared" si="12"/>
        <v>81</v>
      </c>
      <c r="B84" s="3">
        <f t="shared" si="13"/>
        <v>82</v>
      </c>
      <c r="C84" s="4">
        <v>130000</v>
      </c>
      <c r="D84" s="4">
        <f t="shared" si="14"/>
        <v>5000</v>
      </c>
      <c r="E84" s="4">
        <f t="shared" si="15"/>
        <v>2838700</v>
      </c>
      <c r="F84" s="3" t="str" cm="1">
        <f t="array" ref="F84">CostScreen($C84)</f>
        <v>130K</v>
      </c>
      <c r="N84" s="2">
        <f t="shared" si="16"/>
        <v>2</v>
      </c>
      <c r="O84" s="4">
        <f t="shared" si="17"/>
        <v>4</v>
      </c>
      <c r="P84" s="4">
        <f t="shared" si="18"/>
        <v>10</v>
      </c>
      <c r="Q84" s="4">
        <v>1000</v>
      </c>
      <c r="R84" s="3"/>
    </row>
    <row r="85" spans="1:18" x14ac:dyDescent="0.2">
      <c r="A85" s="2">
        <f t="shared" si="12"/>
        <v>82</v>
      </c>
      <c r="B85" s="3">
        <f t="shared" si="13"/>
        <v>83</v>
      </c>
      <c r="C85" s="4">
        <v>135000</v>
      </c>
      <c r="D85" s="4">
        <f t="shared" si="14"/>
        <v>5000</v>
      </c>
      <c r="E85" s="4">
        <f t="shared" si="15"/>
        <v>2973700</v>
      </c>
      <c r="F85" s="3" t="str" cm="1">
        <f t="array" ref="F85">CostScreen($C85)</f>
        <v>135K</v>
      </c>
      <c r="N85" s="2">
        <f t="shared" si="16"/>
        <v>2</v>
      </c>
      <c r="O85" s="4">
        <f t="shared" si="17"/>
        <v>5</v>
      </c>
      <c r="P85" s="4">
        <f t="shared" si="18"/>
        <v>1</v>
      </c>
      <c r="Q85" s="4">
        <v>1100</v>
      </c>
      <c r="R85" s="3"/>
    </row>
    <row r="86" spans="1:18" x14ac:dyDescent="0.2">
      <c r="A86" s="2">
        <f t="shared" si="12"/>
        <v>83</v>
      </c>
      <c r="B86" s="3">
        <f t="shared" si="13"/>
        <v>84</v>
      </c>
      <c r="C86" s="4">
        <v>140000</v>
      </c>
      <c r="D86" s="4">
        <f t="shared" si="14"/>
        <v>5000</v>
      </c>
      <c r="E86" s="4">
        <f t="shared" si="15"/>
        <v>3113700</v>
      </c>
      <c r="F86" s="3" t="str" cm="1">
        <f t="array" ref="F86">CostScreen($C86)</f>
        <v>140K</v>
      </c>
      <c r="N86" s="2">
        <f t="shared" si="16"/>
        <v>2</v>
      </c>
      <c r="O86" s="4">
        <f t="shared" si="17"/>
        <v>5</v>
      </c>
      <c r="P86" s="4">
        <f t="shared" si="18"/>
        <v>2</v>
      </c>
      <c r="Q86" s="4">
        <v>1100</v>
      </c>
      <c r="R86" s="3"/>
    </row>
    <row r="87" spans="1:18" x14ac:dyDescent="0.2">
      <c r="A87" s="2">
        <f t="shared" si="12"/>
        <v>84</v>
      </c>
      <c r="B87" s="3">
        <f t="shared" si="13"/>
        <v>85</v>
      </c>
      <c r="C87" s="4">
        <v>145000</v>
      </c>
      <c r="D87" s="4">
        <f t="shared" si="14"/>
        <v>5000</v>
      </c>
      <c r="E87" s="4">
        <f t="shared" si="15"/>
        <v>3258700</v>
      </c>
      <c r="F87" s="3" t="str" cm="1">
        <f t="array" ref="F87">CostScreen($C87)</f>
        <v>145K</v>
      </c>
      <c r="N87" s="2">
        <f t="shared" si="16"/>
        <v>2</v>
      </c>
      <c r="O87" s="4">
        <f t="shared" si="17"/>
        <v>5</v>
      </c>
      <c r="P87" s="4">
        <f t="shared" si="18"/>
        <v>3</v>
      </c>
      <c r="Q87" s="4">
        <v>1100</v>
      </c>
      <c r="R87" s="3"/>
    </row>
    <row r="88" spans="1:18" x14ac:dyDescent="0.2">
      <c r="A88" s="2">
        <f t="shared" si="12"/>
        <v>85</v>
      </c>
      <c r="B88" s="3">
        <f t="shared" si="13"/>
        <v>86</v>
      </c>
      <c r="C88" s="4">
        <v>150000</v>
      </c>
      <c r="D88" s="4">
        <f t="shared" si="14"/>
        <v>5000</v>
      </c>
      <c r="E88" s="4">
        <f t="shared" si="15"/>
        <v>3408700</v>
      </c>
      <c r="F88" s="3" t="str" cm="1">
        <f t="array" ref="F88">CostScreen($C88)</f>
        <v>150K</v>
      </c>
      <c r="N88" s="2">
        <f t="shared" si="16"/>
        <v>2</v>
      </c>
      <c r="O88" s="4">
        <f t="shared" si="17"/>
        <v>5</v>
      </c>
      <c r="P88" s="4">
        <f t="shared" si="18"/>
        <v>4</v>
      </c>
      <c r="Q88" s="4">
        <v>1100</v>
      </c>
      <c r="R88" s="3"/>
    </row>
    <row r="89" spans="1:18" x14ac:dyDescent="0.2">
      <c r="A89" s="2">
        <f t="shared" si="12"/>
        <v>86</v>
      </c>
      <c r="B89" s="3">
        <f t="shared" si="13"/>
        <v>87</v>
      </c>
      <c r="C89" s="4">
        <v>155000</v>
      </c>
      <c r="D89" s="4">
        <f t="shared" si="14"/>
        <v>5000</v>
      </c>
      <c r="E89" s="4">
        <f t="shared" si="15"/>
        <v>3563700</v>
      </c>
      <c r="F89" s="3" t="str" cm="1">
        <f t="array" ref="F89">CostScreen($C89)</f>
        <v>155K</v>
      </c>
      <c r="N89" s="2">
        <f t="shared" si="16"/>
        <v>2</v>
      </c>
      <c r="O89" s="4">
        <f t="shared" si="17"/>
        <v>5</v>
      </c>
      <c r="P89" s="4">
        <f t="shared" si="18"/>
        <v>5</v>
      </c>
      <c r="Q89" s="4">
        <v>1100</v>
      </c>
      <c r="R89" s="3"/>
    </row>
    <row r="90" spans="1:18" x14ac:dyDescent="0.2">
      <c r="A90" s="2">
        <f t="shared" si="12"/>
        <v>87</v>
      </c>
      <c r="B90" s="3">
        <f t="shared" si="13"/>
        <v>88</v>
      </c>
      <c r="C90" s="4">
        <v>160000</v>
      </c>
      <c r="D90" s="4">
        <f t="shared" si="14"/>
        <v>5000</v>
      </c>
      <c r="E90" s="4">
        <f t="shared" si="15"/>
        <v>3723700</v>
      </c>
      <c r="F90" s="3" t="str" cm="1">
        <f t="array" ref="F90">CostScreen($C90)</f>
        <v>160K</v>
      </c>
      <c r="N90" s="2">
        <f t="shared" si="16"/>
        <v>2</v>
      </c>
      <c r="O90" s="4">
        <f t="shared" si="17"/>
        <v>5</v>
      </c>
      <c r="P90" s="4">
        <f t="shared" si="18"/>
        <v>6</v>
      </c>
      <c r="Q90" s="4">
        <v>1100</v>
      </c>
      <c r="R90" s="3"/>
    </row>
    <row r="91" spans="1:18" x14ac:dyDescent="0.2">
      <c r="A91" s="2">
        <f t="shared" si="12"/>
        <v>88</v>
      </c>
      <c r="B91" s="3">
        <f t="shared" si="13"/>
        <v>89</v>
      </c>
      <c r="C91" s="4">
        <v>165000</v>
      </c>
      <c r="D91" s="4">
        <f t="shared" si="14"/>
        <v>5000</v>
      </c>
      <c r="E91" s="4">
        <f t="shared" si="15"/>
        <v>3888700</v>
      </c>
      <c r="F91" s="3" t="str" cm="1">
        <f t="array" ref="F91">CostScreen($C91)</f>
        <v>165K</v>
      </c>
      <c r="N91" s="2">
        <f t="shared" si="16"/>
        <v>2</v>
      </c>
      <c r="O91" s="4">
        <f t="shared" si="17"/>
        <v>5</v>
      </c>
      <c r="P91" s="4">
        <f t="shared" si="18"/>
        <v>7</v>
      </c>
      <c r="Q91" s="4">
        <v>1100</v>
      </c>
      <c r="R91" s="3"/>
    </row>
    <row r="92" spans="1:18" x14ac:dyDescent="0.2">
      <c r="A92" s="2">
        <f t="shared" si="12"/>
        <v>89</v>
      </c>
      <c r="B92" s="3">
        <f t="shared" si="13"/>
        <v>90</v>
      </c>
      <c r="C92" s="4">
        <v>170000</v>
      </c>
      <c r="D92" s="4">
        <f t="shared" si="14"/>
        <v>5000</v>
      </c>
      <c r="E92" s="4">
        <f t="shared" si="15"/>
        <v>4058700</v>
      </c>
      <c r="F92" s="3" t="str" cm="1">
        <f t="array" ref="F92">CostScreen($C92)</f>
        <v>170K</v>
      </c>
      <c r="N92" s="2">
        <f t="shared" si="16"/>
        <v>2</v>
      </c>
      <c r="O92" s="4">
        <f t="shared" si="17"/>
        <v>5</v>
      </c>
      <c r="P92" s="4">
        <f t="shared" si="18"/>
        <v>8</v>
      </c>
      <c r="Q92" s="4">
        <v>1100</v>
      </c>
      <c r="R92" s="3"/>
    </row>
    <row r="93" spans="1:18" x14ac:dyDescent="0.2">
      <c r="A93" s="2">
        <f t="shared" si="12"/>
        <v>90</v>
      </c>
      <c r="B93" s="3">
        <f t="shared" si="13"/>
        <v>91</v>
      </c>
      <c r="C93" s="4">
        <v>175000</v>
      </c>
      <c r="D93" s="4">
        <f t="shared" si="14"/>
        <v>5000</v>
      </c>
      <c r="E93" s="4">
        <f t="shared" si="15"/>
        <v>4233700</v>
      </c>
      <c r="F93" s="3" t="str" cm="1">
        <f t="array" ref="F93">CostScreen($C93)</f>
        <v>175K</v>
      </c>
      <c r="N93" s="2">
        <f t="shared" si="16"/>
        <v>2</v>
      </c>
      <c r="O93" s="4">
        <f t="shared" si="17"/>
        <v>5</v>
      </c>
      <c r="P93" s="4">
        <f t="shared" si="18"/>
        <v>9</v>
      </c>
      <c r="Q93" s="4">
        <v>1100</v>
      </c>
      <c r="R93" s="3"/>
    </row>
    <row r="94" spans="1:18" x14ac:dyDescent="0.2">
      <c r="A94" s="2">
        <f t="shared" si="12"/>
        <v>91</v>
      </c>
      <c r="B94" s="3">
        <f t="shared" si="13"/>
        <v>92</v>
      </c>
      <c r="C94" s="4">
        <v>180000</v>
      </c>
      <c r="D94" s="4">
        <f t="shared" si="14"/>
        <v>5000</v>
      </c>
      <c r="E94" s="4">
        <f t="shared" si="15"/>
        <v>4413700</v>
      </c>
      <c r="F94" s="3" t="str" cm="1">
        <f t="array" ref="F94">CostScreen($C94)</f>
        <v>180K</v>
      </c>
      <c r="N94" s="2">
        <f t="shared" si="16"/>
        <v>2</v>
      </c>
      <c r="O94" s="4">
        <f t="shared" si="17"/>
        <v>5</v>
      </c>
      <c r="P94" s="4">
        <f t="shared" si="18"/>
        <v>10</v>
      </c>
      <c r="Q94" s="4">
        <v>1100</v>
      </c>
      <c r="R94" s="3"/>
    </row>
    <row r="95" spans="1:18" x14ac:dyDescent="0.2">
      <c r="A95" s="2">
        <f t="shared" si="12"/>
        <v>92</v>
      </c>
      <c r="B95" s="3">
        <f t="shared" si="13"/>
        <v>93</v>
      </c>
      <c r="C95" s="4">
        <v>185000</v>
      </c>
      <c r="D95" s="4">
        <f t="shared" si="14"/>
        <v>5000</v>
      </c>
      <c r="E95" s="4">
        <f t="shared" si="15"/>
        <v>4598700</v>
      </c>
      <c r="F95" s="3" t="str" cm="1">
        <f t="array" ref="F95">CostScreen($C95)</f>
        <v>185K</v>
      </c>
      <c r="N95" s="2">
        <f t="shared" si="16"/>
        <v>2</v>
      </c>
      <c r="O95" s="4">
        <f t="shared" si="17"/>
        <v>6</v>
      </c>
      <c r="P95" s="4">
        <f t="shared" si="18"/>
        <v>1</v>
      </c>
      <c r="Q95" s="4">
        <v>1100</v>
      </c>
      <c r="R95" s="3"/>
    </row>
    <row r="96" spans="1:18" x14ac:dyDescent="0.2">
      <c r="A96" s="2">
        <f t="shared" si="12"/>
        <v>93</v>
      </c>
      <c r="B96" s="3">
        <f t="shared" si="13"/>
        <v>94</v>
      </c>
      <c r="C96" s="4">
        <v>190000</v>
      </c>
      <c r="D96" s="4">
        <f t="shared" si="14"/>
        <v>5000</v>
      </c>
      <c r="E96" s="4">
        <f t="shared" si="15"/>
        <v>4788700</v>
      </c>
      <c r="F96" s="3" t="str" cm="1">
        <f t="array" ref="F96">CostScreen($C96)</f>
        <v>190K</v>
      </c>
      <c r="N96" s="2">
        <f t="shared" si="16"/>
        <v>2</v>
      </c>
      <c r="O96" s="4">
        <f t="shared" si="17"/>
        <v>6</v>
      </c>
      <c r="P96" s="4">
        <f t="shared" si="18"/>
        <v>2</v>
      </c>
      <c r="Q96" s="4">
        <v>1100</v>
      </c>
      <c r="R96" s="3"/>
    </row>
    <row r="97" spans="1:18" x14ac:dyDescent="0.2">
      <c r="A97" s="2">
        <f t="shared" si="12"/>
        <v>94</v>
      </c>
      <c r="B97" s="3">
        <f t="shared" si="13"/>
        <v>95</v>
      </c>
      <c r="C97" s="4">
        <v>195000</v>
      </c>
      <c r="D97" s="4">
        <f t="shared" si="14"/>
        <v>5000</v>
      </c>
      <c r="E97" s="4">
        <f t="shared" si="15"/>
        <v>4983700</v>
      </c>
      <c r="F97" s="3" t="str" cm="1">
        <f t="array" ref="F97">CostScreen($C97)</f>
        <v>195K</v>
      </c>
      <c r="N97" s="2">
        <f t="shared" si="16"/>
        <v>2</v>
      </c>
      <c r="O97" s="4">
        <f t="shared" si="17"/>
        <v>6</v>
      </c>
      <c r="P97" s="4">
        <f t="shared" si="18"/>
        <v>3</v>
      </c>
      <c r="Q97" s="4">
        <v>1100</v>
      </c>
      <c r="R97" s="3"/>
    </row>
    <row r="98" spans="1:18" x14ac:dyDescent="0.2">
      <c r="A98" s="2">
        <f t="shared" si="12"/>
        <v>95</v>
      </c>
      <c r="B98" s="3">
        <f t="shared" si="13"/>
        <v>96</v>
      </c>
      <c r="C98" s="4">
        <v>200000</v>
      </c>
      <c r="D98" s="4">
        <f t="shared" si="14"/>
        <v>5000</v>
      </c>
      <c r="E98" s="4">
        <f t="shared" si="15"/>
        <v>5183700</v>
      </c>
      <c r="F98" s="3" t="str" cm="1">
        <f t="array" ref="F98">CostScreen($C98)</f>
        <v>200K</v>
      </c>
      <c r="N98" s="2">
        <f t="shared" si="16"/>
        <v>2</v>
      </c>
      <c r="O98" s="4">
        <f t="shared" si="17"/>
        <v>6</v>
      </c>
      <c r="P98" s="4">
        <f t="shared" si="18"/>
        <v>4</v>
      </c>
      <c r="Q98" s="4">
        <v>1100</v>
      </c>
      <c r="R98" s="3"/>
    </row>
    <row r="99" spans="1:18" x14ac:dyDescent="0.2">
      <c r="A99" s="2">
        <f t="shared" si="12"/>
        <v>96</v>
      </c>
      <c r="B99" s="3">
        <f t="shared" si="13"/>
        <v>97</v>
      </c>
      <c r="C99" s="4">
        <v>205000</v>
      </c>
      <c r="D99" s="4">
        <f t="shared" si="14"/>
        <v>5000</v>
      </c>
      <c r="E99" s="4">
        <f t="shared" si="15"/>
        <v>5388700</v>
      </c>
      <c r="F99" s="3" t="str" cm="1">
        <f t="array" ref="F99">CostScreen($C99)</f>
        <v>205K</v>
      </c>
      <c r="N99" s="2">
        <f t="shared" si="16"/>
        <v>2</v>
      </c>
      <c r="O99" s="4">
        <f t="shared" si="17"/>
        <v>6</v>
      </c>
      <c r="P99" s="4">
        <f t="shared" si="18"/>
        <v>5</v>
      </c>
      <c r="Q99" s="4">
        <v>1100</v>
      </c>
      <c r="R99" s="3"/>
    </row>
    <row r="100" spans="1:18" x14ac:dyDescent="0.2">
      <c r="A100" s="2">
        <f t="shared" si="12"/>
        <v>97</v>
      </c>
      <c r="B100" s="3">
        <f t="shared" si="13"/>
        <v>98</v>
      </c>
      <c r="C100" s="4">
        <v>210000</v>
      </c>
      <c r="D100" s="4">
        <f t="shared" si="14"/>
        <v>5000</v>
      </c>
      <c r="E100" s="4">
        <f t="shared" si="15"/>
        <v>5598700</v>
      </c>
      <c r="F100" s="3" t="str" cm="1">
        <f t="array" ref="F100">CostScreen($C100)</f>
        <v>210K</v>
      </c>
      <c r="N100" s="2">
        <f t="shared" si="16"/>
        <v>2</v>
      </c>
      <c r="O100" s="4">
        <f t="shared" si="17"/>
        <v>6</v>
      </c>
      <c r="P100" s="4">
        <f t="shared" si="18"/>
        <v>6</v>
      </c>
      <c r="Q100" s="4">
        <v>1100</v>
      </c>
      <c r="R100" s="3"/>
    </row>
    <row r="101" spans="1:18" x14ac:dyDescent="0.2">
      <c r="A101" s="2">
        <f t="shared" si="12"/>
        <v>98</v>
      </c>
      <c r="B101" s="3">
        <f t="shared" si="13"/>
        <v>99</v>
      </c>
      <c r="C101" s="4">
        <v>215000</v>
      </c>
      <c r="D101" s="4">
        <f t="shared" si="14"/>
        <v>5000</v>
      </c>
      <c r="E101" s="4">
        <f t="shared" si="15"/>
        <v>5813700</v>
      </c>
      <c r="F101" s="3" t="str" cm="1">
        <f t="array" ref="F101">CostScreen($C101)</f>
        <v>215K</v>
      </c>
      <c r="N101" s="2">
        <f t="shared" si="16"/>
        <v>2</v>
      </c>
      <c r="O101" s="4">
        <f t="shared" si="17"/>
        <v>6</v>
      </c>
      <c r="P101" s="4">
        <f t="shared" si="18"/>
        <v>7</v>
      </c>
      <c r="Q101" s="4">
        <v>1100</v>
      </c>
      <c r="R101" s="3"/>
    </row>
    <row r="102" spans="1:18" x14ac:dyDescent="0.2">
      <c r="A102" s="2">
        <f t="shared" si="12"/>
        <v>99</v>
      </c>
      <c r="B102" s="3">
        <f t="shared" si="13"/>
        <v>100</v>
      </c>
      <c r="C102" s="4">
        <v>220000</v>
      </c>
      <c r="D102" s="4">
        <f t="shared" si="14"/>
        <v>5000</v>
      </c>
      <c r="E102" s="4">
        <f t="shared" si="15"/>
        <v>6033700</v>
      </c>
      <c r="F102" s="3" t="str" cm="1">
        <f t="array" ref="F102">CostScreen($C102)</f>
        <v>220K</v>
      </c>
      <c r="N102" s="2">
        <f t="shared" si="16"/>
        <v>2</v>
      </c>
      <c r="O102" s="4">
        <f t="shared" si="17"/>
        <v>6</v>
      </c>
      <c r="P102" s="4">
        <f t="shared" si="18"/>
        <v>8</v>
      </c>
      <c r="Q102" s="4">
        <v>1100</v>
      </c>
      <c r="R102" s="3"/>
    </row>
    <row r="103" spans="1:18" x14ac:dyDescent="0.2">
      <c r="A103" s="2">
        <f t="shared" si="12"/>
        <v>100</v>
      </c>
      <c r="B103" s="3">
        <f t="shared" si="13"/>
        <v>101</v>
      </c>
      <c r="C103" s="4">
        <v>240000</v>
      </c>
      <c r="D103" s="4">
        <f t="shared" si="14"/>
        <v>20000</v>
      </c>
      <c r="E103" s="4">
        <f t="shared" si="15"/>
        <v>6273700</v>
      </c>
      <c r="F103" s="3" t="str" cm="1">
        <f t="array" ref="F103">CostScreen($C103)</f>
        <v>240K</v>
      </c>
      <c r="N103" s="2">
        <f t="shared" si="16"/>
        <v>2</v>
      </c>
      <c r="O103" s="4">
        <f t="shared" si="17"/>
        <v>6</v>
      </c>
      <c r="P103" s="4">
        <f t="shared" si="18"/>
        <v>9</v>
      </c>
      <c r="Q103" s="4">
        <v>1100</v>
      </c>
      <c r="R103" s="3"/>
    </row>
    <row r="104" spans="1:18" x14ac:dyDescent="0.2">
      <c r="A104" s="2">
        <f t="shared" si="12"/>
        <v>101</v>
      </c>
      <c r="B104" s="3">
        <f t="shared" si="13"/>
        <v>102</v>
      </c>
      <c r="C104" s="4">
        <v>260000</v>
      </c>
      <c r="D104" s="4">
        <f t="shared" si="14"/>
        <v>20000</v>
      </c>
      <c r="E104" s="4">
        <f t="shared" si="15"/>
        <v>6533700</v>
      </c>
      <c r="F104" s="3" t="str" cm="1">
        <f t="array" ref="F104">CostScreen($C104)</f>
        <v>260K</v>
      </c>
      <c r="N104" s="2">
        <f t="shared" si="16"/>
        <v>2</v>
      </c>
      <c r="O104" s="4">
        <f t="shared" si="17"/>
        <v>6</v>
      </c>
      <c r="P104" s="4">
        <f t="shared" si="18"/>
        <v>10</v>
      </c>
      <c r="Q104" s="4">
        <v>1100</v>
      </c>
      <c r="R104" s="3"/>
    </row>
    <row r="105" spans="1:18" x14ac:dyDescent="0.2">
      <c r="A105" s="2">
        <f t="shared" si="12"/>
        <v>102</v>
      </c>
      <c r="B105" s="3">
        <f t="shared" si="13"/>
        <v>103</v>
      </c>
      <c r="C105" s="4">
        <v>280000</v>
      </c>
      <c r="D105" s="4">
        <f t="shared" si="14"/>
        <v>20000</v>
      </c>
      <c r="E105" s="4">
        <f t="shared" si="15"/>
        <v>6813700</v>
      </c>
      <c r="F105" s="3" t="str" cm="1">
        <f t="array" ref="F105">CostScreen($C105)</f>
        <v>280K</v>
      </c>
      <c r="N105" s="2">
        <f t="shared" si="16"/>
        <v>3</v>
      </c>
      <c r="O105" s="4">
        <v>0</v>
      </c>
      <c r="P105" s="4"/>
      <c r="Q105" s="4">
        <v>80</v>
      </c>
      <c r="R105" s="3"/>
    </row>
    <row r="106" spans="1:18" x14ac:dyDescent="0.2">
      <c r="A106" s="2">
        <f t="shared" si="12"/>
        <v>103</v>
      </c>
      <c r="B106" s="3">
        <f t="shared" si="13"/>
        <v>104</v>
      </c>
      <c r="C106" s="4">
        <v>300000</v>
      </c>
      <c r="D106" s="4">
        <f t="shared" si="14"/>
        <v>20000</v>
      </c>
      <c r="E106" s="4">
        <f t="shared" si="15"/>
        <v>7113700</v>
      </c>
      <c r="F106" s="3" t="str" cm="1">
        <f t="array" ref="F106">CostScreen($C106)</f>
        <v>300K</v>
      </c>
      <c r="N106" s="2">
        <f t="shared" si="16"/>
        <v>3</v>
      </c>
      <c r="O106" s="4">
        <f t="shared" si="17"/>
        <v>1</v>
      </c>
      <c r="P106" s="4">
        <f t="shared" si="18"/>
        <v>1</v>
      </c>
      <c r="Q106" s="4">
        <v>1200</v>
      </c>
      <c r="R106" s="3"/>
    </row>
    <row r="107" spans="1:18" x14ac:dyDescent="0.2">
      <c r="A107" s="2">
        <f t="shared" si="12"/>
        <v>104</v>
      </c>
      <c r="B107" s="3">
        <f t="shared" si="13"/>
        <v>105</v>
      </c>
      <c r="C107" s="4">
        <v>320000</v>
      </c>
      <c r="D107" s="4">
        <f t="shared" si="14"/>
        <v>20000</v>
      </c>
      <c r="E107" s="4">
        <f t="shared" si="15"/>
        <v>7433700</v>
      </c>
      <c r="F107" s="3" t="str" cm="1">
        <f t="array" ref="F107">CostScreen($C107)</f>
        <v>320K</v>
      </c>
      <c r="N107" s="2">
        <f t="shared" si="16"/>
        <v>3</v>
      </c>
      <c r="O107" s="4">
        <f t="shared" si="17"/>
        <v>1</v>
      </c>
      <c r="P107" s="4">
        <f t="shared" si="18"/>
        <v>2</v>
      </c>
      <c r="Q107" s="4">
        <v>1200</v>
      </c>
      <c r="R107" s="3"/>
    </row>
    <row r="108" spans="1:18" x14ac:dyDescent="0.2">
      <c r="A108" s="2">
        <f t="shared" si="12"/>
        <v>105</v>
      </c>
      <c r="B108" s="3">
        <f t="shared" si="13"/>
        <v>106</v>
      </c>
      <c r="C108" s="4">
        <v>340000</v>
      </c>
      <c r="D108" s="4">
        <f t="shared" si="14"/>
        <v>20000</v>
      </c>
      <c r="E108" s="4">
        <f t="shared" si="15"/>
        <v>7773700</v>
      </c>
      <c r="F108" s="3" t="str" cm="1">
        <f t="array" ref="F108">CostScreen($C108)</f>
        <v>340K</v>
      </c>
      <c r="N108" s="2">
        <f t="shared" si="16"/>
        <v>3</v>
      </c>
      <c r="O108" s="4">
        <f t="shared" si="17"/>
        <v>1</v>
      </c>
      <c r="P108" s="4">
        <f t="shared" si="18"/>
        <v>3</v>
      </c>
      <c r="Q108" s="4">
        <v>1200</v>
      </c>
      <c r="R108" s="3"/>
    </row>
    <row r="109" spans="1:18" x14ac:dyDescent="0.2">
      <c r="A109" s="2">
        <f t="shared" si="12"/>
        <v>106</v>
      </c>
      <c r="B109" s="3">
        <f t="shared" si="13"/>
        <v>107</v>
      </c>
      <c r="C109" s="4">
        <v>360000</v>
      </c>
      <c r="D109" s="4">
        <f t="shared" si="14"/>
        <v>20000</v>
      </c>
      <c r="E109" s="4">
        <f t="shared" si="15"/>
        <v>8133700</v>
      </c>
      <c r="F109" s="3" t="str" cm="1">
        <f t="array" ref="F109">CostScreen($C109)</f>
        <v>360K</v>
      </c>
      <c r="N109" s="2">
        <f t="shared" si="16"/>
        <v>3</v>
      </c>
      <c r="O109" s="4">
        <f t="shared" si="17"/>
        <v>1</v>
      </c>
      <c r="P109" s="4">
        <f t="shared" si="18"/>
        <v>4</v>
      </c>
      <c r="Q109" s="4">
        <v>1200</v>
      </c>
      <c r="R109" s="3"/>
    </row>
    <row r="110" spans="1:18" x14ac:dyDescent="0.2">
      <c r="A110" s="2">
        <f t="shared" si="12"/>
        <v>107</v>
      </c>
      <c r="B110" s="3">
        <f t="shared" si="13"/>
        <v>108</v>
      </c>
      <c r="C110" s="4">
        <v>380000</v>
      </c>
      <c r="D110" s="4">
        <f t="shared" si="14"/>
        <v>20000</v>
      </c>
      <c r="E110" s="4">
        <f t="shared" si="15"/>
        <v>8513700</v>
      </c>
      <c r="F110" s="3" t="str" cm="1">
        <f t="array" ref="F110">CostScreen($C110)</f>
        <v>380K</v>
      </c>
      <c r="N110" s="2">
        <f t="shared" si="16"/>
        <v>3</v>
      </c>
      <c r="O110" s="4">
        <f t="shared" si="17"/>
        <v>1</v>
      </c>
      <c r="P110" s="4">
        <f t="shared" si="18"/>
        <v>5</v>
      </c>
      <c r="Q110" s="4">
        <v>1200</v>
      </c>
      <c r="R110" s="3"/>
    </row>
    <row r="111" spans="1:18" x14ac:dyDescent="0.2">
      <c r="A111" s="2">
        <f t="shared" si="12"/>
        <v>108</v>
      </c>
      <c r="B111" s="3">
        <f t="shared" si="13"/>
        <v>109</v>
      </c>
      <c r="C111" s="4">
        <v>400000</v>
      </c>
      <c r="D111" s="4">
        <f t="shared" si="14"/>
        <v>20000</v>
      </c>
      <c r="E111" s="4">
        <f t="shared" si="15"/>
        <v>8913700</v>
      </c>
      <c r="F111" s="3" t="str" cm="1">
        <f t="array" ref="F111">CostScreen($C111)</f>
        <v>400K</v>
      </c>
      <c r="N111" s="2">
        <f t="shared" si="16"/>
        <v>3</v>
      </c>
      <c r="O111" s="4">
        <f t="shared" si="17"/>
        <v>1</v>
      </c>
      <c r="P111" s="4">
        <f t="shared" si="18"/>
        <v>6</v>
      </c>
      <c r="Q111" s="4">
        <v>1200</v>
      </c>
      <c r="R111" s="3"/>
    </row>
    <row r="112" spans="1:18" x14ac:dyDescent="0.2">
      <c r="A112" s="2">
        <f t="shared" si="12"/>
        <v>109</v>
      </c>
      <c r="B112" s="3">
        <f t="shared" si="13"/>
        <v>110</v>
      </c>
      <c r="C112" s="4">
        <v>420000</v>
      </c>
      <c r="D112" s="4">
        <f t="shared" si="14"/>
        <v>20000</v>
      </c>
      <c r="E112" s="4">
        <f t="shared" si="15"/>
        <v>9333700</v>
      </c>
      <c r="F112" s="3" t="str" cm="1">
        <f t="array" ref="F112">CostScreen($C112)</f>
        <v>420K</v>
      </c>
      <c r="N112" s="2">
        <f t="shared" si="16"/>
        <v>3</v>
      </c>
      <c r="O112" s="4">
        <f t="shared" si="17"/>
        <v>1</v>
      </c>
      <c r="P112" s="4">
        <f t="shared" si="18"/>
        <v>7</v>
      </c>
      <c r="Q112" s="4">
        <v>1200</v>
      </c>
      <c r="R112" s="3"/>
    </row>
    <row r="113" spans="1:18" x14ac:dyDescent="0.2">
      <c r="A113" s="2">
        <f t="shared" si="12"/>
        <v>110</v>
      </c>
      <c r="B113" s="3">
        <f t="shared" si="13"/>
        <v>111</v>
      </c>
      <c r="C113" s="4">
        <v>458000</v>
      </c>
      <c r="D113" s="4">
        <f t="shared" si="14"/>
        <v>38000</v>
      </c>
      <c r="E113" s="4">
        <f t="shared" si="15"/>
        <v>9791700</v>
      </c>
      <c r="F113" s="3" t="str" cm="1">
        <f t="array" ref="F113">CostScreen($C113)</f>
        <v>458K</v>
      </c>
      <c r="N113" s="2">
        <f t="shared" si="16"/>
        <v>3</v>
      </c>
      <c r="O113" s="4">
        <f t="shared" si="17"/>
        <v>1</v>
      </c>
      <c r="P113" s="4">
        <f t="shared" si="18"/>
        <v>8</v>
      </c>
      <c r="Q113" s="4">
        <v>1200</v>
      </c>
      <c r="R113" s="3"/>
    </row>
    <row r="114" spans="1:18" x14ac:dyDescent="0.2">
      <c r="A114" s="2">
        <f t="shared" si="12"/>
        <v>111</v>
      </c>
      <c r="B114" s="3">
        <f t="shared" si="13"/>
        <v>112</v>
      </c>
      <c r="C114" s="4">
        <v>496000</v>
      </c>
      <c r="D114" s="4">
        <f t="shared" si="14"/>
        <v>38000</v>
      </c>
      <c r="E114" s="4">
        <f t="shared" si="15"/>
        <v>10287700</v>
      </c>
      <c r="F114" s="3" t="str" cm="1">
        <f t="array" ref="F114">CostScreen($C114)</f>
        <v>496K</v>
      </c>
      <c r="N114" s="2">
        <f t="shared" si="16"/>
        <v>3</v>
      </c>
      <c r="O114" s="4">
        <f t="shared" si="17"/>
        <v>1</v>
      </c>
      <c r="P114" s="4">
        <f t="shared" si="18"/>
        <v>9</v>
      </c>
      <c r="Q114" s="4">
        <v>1200</v>
      </c>
      <c r="R114" s="3"/>
    </row>
    <row r="115" spans="1:18" x14ac:dyDescent="0.2">
      <c r="A115" s="2">
        <f t="shared" si="12"/>
        <v>112</v>
      </c>
      <c r="B115" s="3">
        <f t="shared" si="13"/>
        <v>113</v>
      </c>
      <c r="C115" s="4">
        <v>534000</v>
      </c>
      <c r="D115" s="4">
        <f t="shared" si="14"/>
        <v>38000</v>
      </c>
      <c r="E115" s="4">
        <f t="shared" si="15"/>
        <v>10821700</v>
      </c>
      <c r="F115" s="3" t="str" cm="1">
        <f t="array" ref="F115">CostScreen($C115)</f>
        <v>534K</v>
      </c>
      <c r="N115" s="2">
        <f t="shared" si="16"/>
        <v>3</v>
      </c>
      <c r="O115" s="4">
        <f t="shared" si="17"/>
        <v>1</v>
      </c>
      <c r="P115" s="4">
        <f t="shared" si="18"/>
        <v>10</v>
      </c>
      <c r="Q115" s="4">
        <v>1200</v>
      </c>
      <c r="R115" s="3"/>
    </row>
    <row r="116" spans="1:18" x14ac:dyDescent="0.2">
      <c r="A116" s="2">
        <f t="shared" si="12"/>
        <v>113</v>
      </c>
      <c r="B116" s="3">
        <f t="shared" si="13"/>
        <v>114</v>
      </c>
      <c r="C116" s="4">
        <v>572000</v>
      </c>
      <c r="D116" s="4">
        <f t="shared" si="14"/>
        <v>38000</v>
      </c>
      <c r="E116" s="4">
        <f t="shared" si="15"/>
        <v>11393700</v>
      </c>
      <c r="F116" s="3" t="str" cm="1">
        <f t="array" ref="F116">CostScreen($C116)</f>
        <v>572K</v>
      </c>
      <c r="N116" s="2">
        <f t="shared" si="16"/>
        <v>3</v>
      </c>
      <c r="O116" s="4">
        <f t="shared" si="17"/>
        <v>2</v>
      </c>
      <c r="P116" s="4">
        <f t="shared" si="18"/>
        <v>1</v>
      </c>
      <c r="Q116" s="4">
        <v>1300</v>
      </c>
      <c r="R116" s="3"/>
    </row>
    <row r="117" spans="1:18" x14ac:dyDescent="0.2">
      <c r="A117" s="2">
        <f t="shared" si="12"/>
        <v>114</v>
      </c>
      <c r="B117" s="3">
        <f t="shared" si="13"/>
        <v>115</v>
      </c>
      <c r="C117" s="4">
        <v>610000</v>
      </c>
      <c r="D117" s="4">
        <f t="shared" si="14"/>
        <v>38000</v>
      </c>
      <c r="E117" s="4">
        <f t="shared" si="15"/>
        <v>12003700</v>
      </c>
      <c r="F117" s="3" t="str" cm="1">
        <f t="array" ref="F117">CostScreen($C117)</f>
        <v>610K</v>
      </c>
      <c r="N117" s="2">
        <f t="shared" si="16"/>
        <v>3</v>
      </c>
      <c r="O117" s="4">
        <f t="shared" si="17"/>
        <v>2</v>
      </c>
      <c r="P117" s="4">
        <f t="shared" si="18"/>
        <v>2</v>
      </c>
      <c r="Q117" s="4">
        <v>1300</v>
      </c>
      <c r="R117" s="3"/>
    </row>
    <row r="118" spans="1:18" x14ac:dyDescent="0.2">
      <c r="A118" s="2">
        <f t="shared" si="12"/>
        <v>115</v>
      </c>
      <c r="B118" s="3">
        <f t="shared" si="13"/>
        <v>116</v>
      </c>
      <c r="C118" s="4">
        <v>648000</v>
      </c>
      <c r="D118" s="4">
        <f t="shared" si="14"/>
        <v>38000</v>
      </c>
      <c r="E118" s="4">
        <f t="shared" si="15"/>
        <v>12651700</v>
      </c>
      <c r="F118" s="3" t="str" cm="1">
        <f t="array" ref="F118">CostScreen($C118)</f>
        <v>648K</v>
      </c>
      <c r="N118" s="2">
        <f t="shared" si="16"/>
        <v>3</v>
      </c>
      <c r="O118" s="4">
        <f t="shared" si="17"/>
        <v>2</v>
      </c>
      <c r="P118" s="4">
        <f t="shared" si="18"/>
        <v>3</v>
      </c>
      <c r="Q118" s="4">
        <v>1300</v>
      </c>
      <c r="R118" s="3"/>
    </row>
    <row r="119" spans="1:18" x14ac:dyDescent="0.2">
      <c r="A119" s="2">
        <f t="shared" si="12"/>
        <v>116</v>
      </c>
      <c r="B119" s="3">
        <f t="shared" si="13"/>
        <v>117</v>
      </c>
      <c r="C119" s="4">
        <v>686000</v>
      </c>
      <c r="D119" s="4">
        <f t="shared" si="14"/>
        <v>38000</v>
      </c>
      <c r="E119" s="4">
        <f t="shared" si="15"/>
        <v>13337700</v>
      </c>
      <c r="F119" s="3" t="str" cm="1">
        <f t="array" ref="F119">CostScreen($C119)</f>
        <v>686K</v>
      </c>
      <c r="N119" s="2">
        <f t="shared" si="16"/>
        <v>3</v>
      </c>
      <c r="O119" s="4">
        <f t="shared" si="17"/>
        <v>2</v>
      </c>
      <c r="P119" s="4">
        <f t="shared" si="18"/>
        <v>4</v>
      </c>
      <c r="Q119" s="4">
        <v>1300</v>
      </c>
      <c r="R119" s="3"/>
    </row>
    <row r="120" spans="1:18" x14ac:dyDescent="0.2">
      <c r="A120" s="2">
        <f t="shared" si="12"/>
        <v>117</v>
      </c>
      <c r="B120" s="3">
        <f t="shared" si="13"/>
        <v>118</v>
      </c>
      <c r="C120" s="4">
        <v>724000</v>
      </c>
      <c r="D120" s="4">
        <f t="shared" si="14"/>
        <v>38000</v>
      </c>
      <c r="E120" s="4">
        <f t="shared" si="15"/>
        <v>14061700</v>
      </c>
      <c r="F120" s="3" t="str" cm="1">
        <f t="array" ref="F120">CostScreen($C120)</f>
        <v>724K</v>
      </c>
      <c r="N120" s="2">
        <f t="shared" si="16"/>
        <v>3</v>
      </c>
      <c r="O120" s="4">
        <f t="shared" si="17"/>
        <v>2</v>
      </c>
      <c r="P120" s="4">
        <f t="shared" si="18"/>
        <v>5</v>
      </c>
      <c r="Q120" s="4">
        <v>1300</v>
      </c>
      <c r="R120" s="3"/>
    </row>
    <row r="121" spans="1:18" x14ac:dyDescent="0.2">
      <c r="A121" s="2">
        <f t="shared" si="12"/>
        <v>118</v>
      </c>
      <c r="B121" s="3">
        <f t="shared" si="13"/>
        <v>119</v>
      </c>
      <c r="C121" s="4">
        <v>762000</v>
      </c>
      <c r="D121" s="4">
        <f t="shared" si="14"/>
        <v>38000</v>
      </c>
      <c r="E121" s="4">
        <f t="shared" si="15"/>
        <v>14823700</v>
      </c>
      <c r="F121" s="3" t="str" cm="1">
        <f t="array" ref="F121">CostScreen($C121)</f>
        <v>762K</v>
      </c>
      <c r="N121" s="2">
        <f t="shared" si="16"/>
        <v>3</v>
      </c>
      <c r="O121" s="4">
        <f t="shared" si="17"/>
        <v>2</v>
      </c>
      <c r="P121" s="4">
        <f t="shared" si="18"/>
        <v>6</v>
      </c>
      <c r="Q121" s="4">
        <v>1300</v>
      </c>
      <c r="R121" s="3"/>
    </row>
    <row r="122" spans="1:18" x14ac:dyDescent="0.2">
      <c r="A122" s="2">
        <f t="shared" si="12"/>
        <v>119</v>
      </c>
      <c r="B122" s="3">
        <f t="shared" si="13"/>
        <v>120</v>
      </c>
      <c r="C122" s="4">
        <v>800000</v>
      </c>
      <c r="D122" s="4">
        <f t="shared" si="14"/>
        <v>38000</v>
      </c>
      <c r="E122" s="4">
        <f t="shared" si="15"/>
        <v>15623700</v>
      </c>
      <c r="F122" s="3" t="str" cm="1">
        <f t="array" ref="F122">CostScreen($C122)</f>
        <v>800K</v>
      </c>
      <c r="N122" s="2">
        <f t="shared" si="16"/>
        <v>3</v>
      </c>
      <c r="O122" s="4">
        <f t="shared" si="17"/>
        <v>2</v>
      </c>
      <c r="P122" s="4">
        <f t="shared" si="18"/>
        <v>7</v>
      </c>
      <c r="Q122" s="4">
        <v>1300</v>
      </c>
      <c r="R122" s="3"/>
    </row>
    <row r="123" spans="1:18" x14ac:dyDescent="0.2">
      <c r="A123" s="2">
        <f t="shared" si="12"/>
        <v>120</v>
      </c>
      <c r="B123" s="3">
        <f t="shared" si="13"/>
        <v>121</v>
      </c>
      <c r="C123" s="4">
        <v>850000</v>
      </c>
      <c r="D123" s="4">
        <f t="shared" si="14"/>
        <v>50000</v>
      </c>
      <c r="E123" s="4">
        <f t="shared" si="15"/>
        <v>16473700</v>
      </c>
      <c r="F123" s="3" t="str" cm="1">
        <f t="array" ref="F123">CostScreen($C123)</f>
        <v>850K</v>
      </c>
      <c r="N123" s="2">
        <f t="shared" si="16"/>
        <v>3</v>
      </c>
      <c r="O123" s="4">
        <f t="shared" si="17"/>
        <v>2</v>
      </c>
      <c r="P123" s="4">
        <f t="shared" si="18"/>
        <v>8</v>
      </c>
      <c r="Q123" s="4">
        <v>1300</v>
      </c>
      <c r="R123" s="3"/>
    </row>
    <row r="124" spans="1:18" x14ac:dyDescent="0.2">
      <c r="A124" s="2">
        <f t="shared" si="12"/>
        <v>121</v>
      </c>
      <c r="B124" s="3">
        <f t="shared" si="13"/>
        <v>122</v>
      </c>
      <c r="C124" s="4">
        <v>900000</v>
      </c>
      <c r="D124" s="4">
        <f t="shared" si="14"/>
        <v>50000</v>
      </c>
      <c r="E124" s="4">
        <f t="shared" si="15"/>
        <v>17373700</v>
      </c>
      <c r="F124" s="3" t="str" cm="1">
        <f t="array" ref="F124">CostScreen($C124)</f>
        <v>900K</v>
      </c>
      <c r="N124" s="2">
        <f t="shared" si="16"/>
        <v>3</v>
      </c>
      <c r="O124" s="4">
        <f t="shared" si="17"/>
        <v>2</v>
      </c>
      <c r="P124" s="4">
        <f t="shared" si="18"/>
        <v>9</v>
      </c>
      <c r="Q124" s="4">
        <v>1300</v>
      </c>
      <c r="R124" s="3"/>
    </row>
    <row r="125" spans="1:18" x14ac:dyDescent="0.2">
      <c r="A125" s="2">
        <f t="shared" si="12"/>
        <v>122</v>
      </c>
      <c r="B125" s="3">
        <f t="shared" si="13"/>
        <v>123</v>
      </c>
      <c r="C125" s="4">
        <v>950000</v>
      </c>
      <c r="D125" s="4">
        <f t="shared" si="14"/>
        <v>50000</v>
      </c>
      <c r="E125" s="4">
        <f t="shared" si="15"/>
        <v>18323700</v>
      </c>
      <c r="F125" s="3" t="str" cm="1">
        <f t="array" ref="F125">CostScreen($C125)</f>
        <v>950K</v>
      </c>
      <c r="N125" s="2">
        <f t="shared" si="16"/>
        <v>3</v>
      </c>
      <c r="O125" s="4">
        <f t="shared" si="17"/>
        <v>2</v>
      </c>
      <c r="P125" s="4">
        <f t="shared" si="18"/>
        <v>10</v>
      </c>
      <c r="Q125" s="4">
        <v>1300</v>
      </c>
      <c r="R125" s="3"/>
    </row>
    <row r="126" spans="1:18" x14ac:dyDescent="0.2">
      <c r="A126" s="2">
        <f t="shared" si="12"/>
        <v>123</v>
      </c>
      <c r="B126" s="3">
        <f t="shared" si="13"/>
        <v>124</v>
      </c>
      <c r="C126" s="4">
        <v>1000000</v>
      </c>
      <c r="D126" s="4">
        <f t="shared" si="14"/>
        <v>50000</v>
      </c>
      <c r="E126" s="4">
        <f t="shared" si="15"/>
        <v>19323700</v>
      </c>
      <c r="F126" s="3" t="str" cm="1">
        <f t="array" ref="F126">CostScreen($C126)</f>
        <v>1M</v>
      </c>
      <c r="N126" s="2">
        <f t="shared" si="16"/>
        <v>3</v>
      </c>
      <c r="O126" s="4">
        <f t="shared" si="17"/>
        <v>3</v>
      </c>
      <c r="P126" s="4">
        <f t="shared" si="18"/>
        <v>1</v>
      </c>
      <c r="Q126" s="4">
        <v>1400</v>
      </c>
      <c r="R126" s="3"/>
    </row>
    <row r="127" spans="1:18" x14ac:dyDescent="0.2">
      <c r="A127" s="2">
        <f t="shared" si="12"/>
        <v>124</v>
      </c>
      <c r="B127" s="3">
        <f t="shared" si="13"/>
        <v>125</v>
      </c>
      <c r="C127" s="4">
        <v>1050000</v>
      </c>
      <c r="D127" s="4">
        <f t="shared" si="14"/>
        <v>50000</v>
      </c>
      <c r="E127" s="4">
        <f t="shared" si="15"/>
        <v>20373700</v>
      </c>
      <c r="F127" s="3" t="str" cm="1">
        <f t="array" ref="F127">CostScreen($C127)</f>
        <v>1,05M</v>
      </c>
      <c r="N127" s="2">
        <f t="shared" si="16"/>
        <v>3</v>
      </c>
      <c r="O127" s="4">
        <f t="shared" si="17"/>
        <v>3</v>
      </c>
      <c r="P127" s="4">
        <f t="shared" si="18"/>
        <v>2</v>
      </c>
      <c r="Q127" s="4">
        <v>1400</v>
      </c>
      <c r="R127" s="3"/>
    </row>
    <row r="128" spans="1:18" x14ac:dyDescent="0.2">
      <c r="A128" s="2">
        <f t="shared" si="12"/>
        <v>125</v>
      </c>
      <c r="B128" s="3">
        <f t="shared" si="13"/>
        <v>126</v>
      </c>
      <c r="C128" s="4">
        <v>1100000</v>
      </c>
      <c r="D128" s="4">
        <f t="shared" si="14"/>
        <v>50000</v>
      </c>
      <c r="E128" s="4">
        <f t="shared" si="15"/>
        <v>21473700</v>
      </c>
      <c r="F128" s="3" t="str" cm="1">
        <f t="array" ref="F128">CostScreen($C128)</f>
        <v>1,1M</v>
      </c>
      <c r="N128" s="2">
        <f t="shared" si="16"/>
        <v>3</v>
      </c>
      <c r="O128" s="4">
        <f t="shared" si="17"/>
        <v>3</v>
      </c>
      <c r="P128" s="4">
        <f t="shared" si="18"/>
        <v>3</v>
      </c>
      <c r="Q128" s="4">
        <v>1400</v>
      </c>
      <c r="R128" s="3"/>
    </row>
    <row r="129" spans="1:18" x14ac:dyDescent="0.2">
      <c r="A129" s="2">
        <f t="shared" si="12"/>
        <v>126</v>
      </c>
      <c r="B129" s="3">
        <f t="shared" si="13"/>
        <v>127</v>
      </c>
      <c r="C129" s="4">
        <v>1150000</v>
      </c>
      <c r="D129" s="4">
        <f t="shared" si="14"/>
        <v>50000</v>
      </c>
      <c r="E129" s="4">
        <f t="shared" si="15"/>
        <v>22623700</v>
      </c>
      <c r="F129" s="3" t="str" cm="1">
        <f t="array" ref="F129">CostScreen($C129)</f>
        <v>1,15M</v>
      </c>
      <c r="N129" s="2">
        <f t="shared" si="16"/>
        <v>3</v>
      </c>
      <c r="O129" s="4">
        <f t="shared" si="17"/>
        <v>3</v>
      </c>
      <c r="P129" s="4">
        <f t="shared" si="18"/>
        <v>4</v>
      </c>
      <c r="Q129" s="4">
        <v>1400</v>
      </c>
      <c r="R129" s="3"/>
    </row>
    <row r="130" spans="1:18" x14ac:dyDescent="0.2">
      <c r="A130" s="2">
        <f t="shared" si="12"/>
        <v>127</v>
      </c>
      <c r="B130" s="3">
        <f t="shared" si="13"/>
        <v>128</v>
      </c>
      <c r="C130" s="4">
        <v>1200000</v>
      </c>
      <c r="D130" s="4">
        <f t="shared" si="14"/>
        <v>50000</v>
      </c>
      <c r="E130" s="4">
        <f t="shared" si="15"/>
        <v>23823700</v>
      </c>
      <c r="F130" s="3" t="str" cm="1">
        <f t="array" ref="F130">CostScreen($C130)</f>
        <v>1,2M</v>
      </c>
      <c r="N130" s="2">
        <f t="shared" si="16"/>
        <v>3</v>
      </c>
      <c r="O130" s="4">
        <f t="shared" si="17"/>
        <v>3</v>
      </c>
      <c r="P130" s="4">
        <f t="shared" si="18"/>
        <v>5</v>
      </c>
      <c r="Q130" s="4">
        <v>1400</v>
      </c>
      <c r="R130" s="3"/>
    </row>
    <row r="131" spans="1:18" x14ac:dyDescent="0.2">
      <c r="A131" s="2">
        <f t="shared" ref="A131:A194" si="19">B131-1</f>
        <v>128</v>
      </c>
      <c r="B131" s="3">
        <f t="shared" si="13"/>
        <v>129</v>
      </c>
      <c r="C131" s="4">
        <v>1250000</v>
      </c>
      <c r="D131" s="4">
        <f t="shared" si="14"/>
        <v>50000</v>
      </c>
      <c r="E131" s="4">
        <f t="shared" si="15"/>
        <v>25073700</v>
      </c>
      <c r="F131" s="3" t="str" cm="1">
        <f t="array" ref="F131">CostScreen($C131)</f>
        <v>1,25M</v>
      </c>
      <c r="N131" s="2">
        <f t="shared" si="16"/>
        <v>3</v>
      </c>
      <c r="O131" s="4">
        <f t="shared" si="17"/>
        <v>3</v>
      </c>
      <c r="P131" s="4">
        <f t="shared" si="18"/>
        <v>6</v>
      </c>
      <c r="Q131" s="4">
        <v>1400</v>
      </c>
      <c r="R131" s="3"/>
    </row>
    <row r="132" spans="1:18" x14ac:dyDescent="0.2">
      <c r="A132" s="2">
        <f t="shared" si="19"/>
        <v>129</v>
      </c>
      <c r="B132" s="3">
        <f t="shared" ref="B132:B195" si="20">ROW()-ROW($B$2)</f>
        <v>130</v>
      </c>
      <c r="C132" s="4">
        <v>1300000</v>
      </c>
      <c r="D132" s="4">
        <f t="shared" ref="D132:D195" si="21">IF(AND(C132&gt;0,ISNUMBER(C131)),C132-C131,"")</f>
        <v>50000</v>
      </c>
      <c r="E132" s="4">
        <f t="shared" ref="E132:E195" si="22">IF(ISNUMBER(E131),E131+C132,"")</f>
        <v>26373700</v>
      </c>
      <c r="F132" s="3" t="str" cm="1">
        <f t="array" ref="F132">CostScreen($C132)</f>
        <v>1,3M</v>
      </c>
      <c r="N132" s="2">
        <f t="shared" ref="N132:N195" si="23">IFERROR(N131+IF(AND(O131=CHOOSE(IF(N131=1,1,2),4,6),P131=10),1,0),1)</f>
        <v>3</v>
      </c>
      <c r="O132" s="4">
        <f t="shared" si="17"/>
        <v>3</v>
      </c>
      <c r="P132" s="4">
        <f t="shared" si="18"/>
        <v>7</v>
      </c>
      <c r="Q132" s="4">
        <v>1400</v>
      </c>
      <c r="R132" s="3"/>
    </row>
    <row r="133" spans="1:18" x14ac:dyDescent="0.2">
      <c r="A133" s="2">
        <f t="shared" si="19"/>
        <v>130</v>
      </c>
      <c r="B133" s="3">
        <f t="shared" si="20"/>
        <v>131</v>
      </c>
      <c r="C133" s="4">
        <v>1400000</v>
      </c>
      <c r="D133" s="4">
        <f t="shared" si="21"/>
        <v>100000</v>
      </c>
      <c r="E133" s="4">
        <f t="shared" si="22"/>
        <v>27773700</v>
      </c>
      <c r="F133" s="3" t="str" cm="1">
        <f t="array" ref="F133">CostScreen($C133)</f>
        <v>1,4M</v>
      </c>
      <c r="N133" s="2">
        <f t="shared" si="23"/>
        <v>3</v>
      </c>
      <c r="O133" s="4">
        <f t="shared" ref="O133:O196" si="24">IF(AND(O132=CHOOSE(IF(N132=1,1,2),4,6),P132=10),1,IF(P132=10,IF(O132=0,1,O132)+1,IF(O132=0,1,O132)))</f>
        <v>3</v>
      </c>
      <c r="P133" s="4">
        <f t="shared" ref="P133:P196" si="25">IFERROR(IF(P132=10,0,P132)+1,1)</f>
        <v>8</v>
      </c>
      <c r="Q133" s="4">
        <v>1400</v>
      </c>
      <c r="R133" s="3"/>
    </row>
    <row r="134" spans="1:18" x14ac:dyDescent="0.2">
      <c r="A134" s="2">
        <f t="shared" si="19"/>
        <v>131</v>
      </c>
      <c r="B134" s="3">
        <f t="shared" si="20"/>
        <v>132</v>
      </c>
      <c r="C134" s="4">
        <v>1500000</v>
      </c>
      <c r="D134" s="4">
        <f t="shared" si="21"/>
        <v>100000</v>
      </c>
      <c r="E134" s="4">
        <f t="shared" si="22"/>
        <v>29273700</v>
      </c>
      <c r="F134" s="3" t="str" cm="1">
        <f t="array" ref="F134">CostScreen($C134)</f>
        <v>1,5M</v>
      </c>
      <c r="N134" s="2">
        <f t="shared" si="23"/>
        <v>3</v>
      </c>
      <c r="O134" s="4">
        <f t="shared" si="24"/>
        <v>3</v>
      </c>
      <c r="P134" s="4">
        <f t="shared" si="25"/>
        <v>9</v>
      </c>
      <c r="Q134" s="4">
        <v>1400</v>
      </c>
      <c r="R134" s="3"/>
    </row>
    <row r="135" spans="1:18" x14ac:dyDescent="0.2">
      <c r="A135" s="2">
        <f t="shared" si="19"/>
        <v>132</v>
      </c>
      <c r="B135" s="3">
        <f t="shared" si="20"/>
        <v>133</v>
      </c>
      <c r="C135" s="4">
        <v>1600000</v>
      </c>
      <c r="D135" s="4">
        <f t="shared" si="21"/>
        <v>100000</v>
      </c>
      <c r="E135" s="4">
        <f t="shared" si="22"/>
        <v>30873700</v>
      </c>
      <c r="F135" s="3" t="str" cm="1">
        <f t="array" ref="F135">CostScreen($C135)</f>
        <v>1,6M</v>
      </c>
      <c r="N135" s="2">
        <f t="shared" si="23"/>
        <v>3</v>
      </c>
      <c r="O135" s="4">
        <f t="shared" si="24"/>
        <v>3</v>
      </c>
      <c r="P135" s="4">
        <f t="shared" si="25"/>
        <v>10</v>
      </c>
      <c r="Q135" s="4">
        <v>1400</v>
      </c>
      <c r="R135" s="3"/>
    </row>
    <row r="136" spans="1:18" x14ac:dyDescent="0.2">
      <c r="A136" s="2">
        <f t="shared" si="19"/>
        <v>133</v>
      </c>
      <c r="B136" s="3">
        <f t="shared" si="20"/>
        <v>134</v>
      </c>
      <c r="C136" s="4">
        <v>1700000</v>
      </c>
      <c r="D136" s="4">
        <f t="shared" si="21"/>
        <v>100000</v>
      </c>
      <c r="E136" s="4">
        <f t="shared" si="22"/>
        <v>32573700</v>
      </c>
      <c r="F136" s="3" t="str" cm="1">
        <f t="array" ref="F136">CostScreen($C136)</f>
        <v>1,7M</v>
      </c>
      <c r="N136" s="2">
        <f t="shared" si="23"/>
        <v>3</v>
      </c>
      <c r="O136" s="4">
        <f t="shared" si="24"/>
        <v>4</v>
      </c>
      <c r="P136" s="4">
        <f t="shared" si="25"/>
        <v>1</v>
      </c>
      <c r="Q136" s="4">
        <v>1500</v>
      </c>
      <c r="R136" s="3"/>
    </row>
    <row r="137" spans="1:18" x14ac:dyDescent="0.2">
      <c r="A137" s="2">
        <f t="shared" si="19"/>
        <v>134</v>
      </c>
      <c r="B137" s="3">
        <f t="shared" si="20"/>
        <v>135</v>
      </c>
      <c r="C137" s="4">
        <v>1800000</v>
      </c>
      <c r="D137" s="4">
        <f t="shared" si="21"/>
        <v>100000</v>
      </c>
      <c r="E137" s="4">
        <f t="shared" si="22"/>
        <v>34373700</v>
      </c>
      <c r="F137" s="3" t="str" cm="1">
        <f t="array" ref="F137">CostScreen($C137)</f>
        <v>1,8M</v>
      </c>
      <c r="N137" s="2">
        <f t="shared" si="23"/>
        <v>3</v>
      </c>
      <c r="O137" s="4">
        <f t="shared" si="24"/>
        <v>4</v>
      </c>
      <c r="P137" s="4">
        <f t="shared" si="25"/>
        <v>2</v>
      </c>
      <c r="Q137" s="4">
        <v>1500</v>
      </c>
      <c r="R137" s="3"/>
    </row>
    <row r="138" spans="1:18" x14ac:dyDescent="0.2">
      <c r="A138" s="2">
        <f t="shared" si="19"/>
        <v>135</v>
      </c>
      <c r="B138" s="3">
        <f t="shared" si="20"/>
        <v>136</v>
      </c>
      <c r="C138" s="4">
        <v>1900000</v>
      </c>
      <c r="D138" s="4">
        <f t="shared" si="21"/>
        <v>100000</v>
      </c>
      <c r="E138" s="4">
        <f t="shared" si="22"/>
        <v>36273700</v>
      </c>
      <c r="F138" s="3" t="str" cm="1">
        <f t="array" ref="F138">CostScreen($C138)</f>
        <v>1,9M</v>
      </c>
      <c r="N138" s="2">
        <f t="shared" si="23"/>
        <v>3</v>
      </c>
      <c r="O138" s="4">
        <f t="shared" si="24"/>
        <v>4</v>
      </c>
      <c r="P138" s="4">
        <f t="shared" si="25"/>
        <v>3</v>
      </c>
      <c r="Q138" s="4">
        <v>1500</v>
      </c>
      <c r="R138" s="3"/>
    </row>
    <row r="139" spans="1:18" x14ac:dyDescent="0.2">
      <c r="A139" s="2">
        <f t="shared" si="19"/>
        <v>136</v>
      </c>
      <c r="B139" s="3">
        <f t="shared" si="20"/>
        <v>137</v>
      </c>
      <c r="C139" s="4">
        <v>2000000</v>
      </c>
      <c r="D139" s="4">
        <f t="shared" si="21"/>
        <v>100000</v>
      </c>
      <c r="E139" s="4">
        <f t="shared" si="22"/>
        <v>38273700</v>
      </c>
      <c r="F139" s="3" t="str" cm="1">
        <f t="array" ref="F139">CostScreen($C139)</f>
        <v>2M</v>
      </c>
      <c r="N139" s="2">
        <f t="shared" si="23"/>
        <v>3</v>
      </c>
      <c r="O139" s="4">
        <f t="shared" si="24"/>
        <v>4</v>
      </c>
      <c r="P139" s="4">
        <f t="shared" si="25"/>
        <v>4</v>
      </c>
      <c r="Q139" s="4">
        <v>1500</v>
      </c>
      <c r="R139" s="3"/>
    </row>
    <row r="140" spans="1:18" x14ac:dyDescent="0.2">
      <c r="A140" s="2">
        <f t="shared" si="19"/>
        <v>137</v>
      </c>
      <c r="B140" s="3">
        <f t="shared" si="20"/>
        <v>138</v>
      </c>
      <c r="C140" s="4">
        <v>2100000</v>
      </c>
      <c r="D140" s="4">
        <f t="shared" si="21"/>
        <v>100000</v>
      </c>
      <c r="E140" s="4">
        <f t="shared" si="22"/>
        <v>40373700</v>
      </c>
      <c r="F140" s="3" t="str" cm="1">
        <f t="array" ref="F140">CostScreen($C140)</f>
        <v>2,1M</v>
      </c>
      <c r="N140" s="2">
        <f t="shared" si="23"/>
        <v>3</v>
      </c>
      <c r="O140" s="4">
        <f t="shared" si="24"/>
        <v>4</v>
      </c>
      <c r="P140" s="4">
        <f t="shared" si="25"/>
        <v>5</v>
      </c>
      <c r="Q140" s="4">
        <v>1500</v>
      </c>
      <c r="R140" s="3"/>
    </row>
    <row r="141" spans="1:18" x14ac:dyDescent="0.2">
      <c r="A141" s="2">
        <f t="shared" si="19"/>
        <v>138</v>
      </c>
      <c r="B141" s="3">
        <f t="shared" si="20"/>
        <v>139</v>
      </c>
      <c r="C141" s="4">
        <v>2200000</v>
      </c>
      <c r="D141" s="4">
        <f t="shared" si="21"/>
        <v>100000</v>
      </c>
      <c r="E141" s="4">
        <f t="shared" si="22"/>
        <v>42573700</v>
      </c>
      <c r="F141" s="3" t="str" cm="1">
        <f t="array" ref="F141">CostScreen($C141)</f>
        <v>2,2M</v>
      </c>
      <c r="N141" s="2">
        <f t="shared" si="23"/>
        <v>3</v>
      </c>
      <c r="O141" s="4">
        <f t="shared" si="24"/>
        <v>4</v>
      </c>
      <c r="P141" s="4">
        <f t="shared" si="25"/>
        <v>6</v>
      </c>
      <c r="Q141" s="4">
        <v>1500</v>
      </c>
      <c r="R141" s="3"/>
    </row>
    <row r="142" spans="1:18" x14ac:dyDescent="0.2">
      <c r="A142" s="2">
        <f t="shared" si="19"/>
        <v>139</v>
      </c>
      <c r="B142" s="3">
        <f t="shared" si="20"/>
        <v>140</v>
      </c>
      <c r="C142" s="4">
        <v>2300000</v>
      </c>
      <c r="D142" s="4">
        <f t="shared" si="21"/>
        <v>100000</v>
      </c>
      <c r="E142" s="4">
        <f t="shared" si="22"/>
        <v>44873700</v>
      </c>
      <c r="F142" s="3" t="str" cm="1">
        <f t="array" ref="F142">CostScreen($C142)</f>
        <v>2,3M</v>
      </c>
      <c r="N142" s="2">
        <f t="shared" si="23"/>
        <v>3</v>
      </c>
      <c r="O142" s="4">
        <f t="shared" si="24"/>
        <v>4</v>
      </c>
      <c r="P142" s="4">
        <f t="shared" si="25"/>
        <v>7</v>
      </c>
      <c r="Q142" s="4">
        <v>1500</v>
      </c>
      <c r="R142" s="3"/>
    </row>
    <row r="143" spans="1:18" x14ac:dyDescent="0.2">
      <c r="A143" s="2">
        <f t="shared" si="19"/>
        <v>140</v>
      </c>
      <c r="B143" s="3">
        <f t="shared" si="20"/>
        <v>141</v>
      </c>
      <c r="C143" s="4">
        <v>2400000</v>
      </c>
      <c r="D143" s="4">
        <f t="shared" si="21"/>
        <v>100000</v>
      </c>
      <c r="E143" s="4">
        <f t="shared" si="22"/>
        <v>47273700</v>
      </c>
      <c r="F143" s="3" t="str" cm="1">
        <f t="array" ref="F143">CostScreen($C143)</f>
        <v>2,4M</v>
      </c>
      <c r="N143" s="2">
        <f t="shared" si="23"/>
        <v>3</v>
      </c>
      <c r="O143" s="4">
        <f t="shared" si="24"/>
        <v>4</v>
      </c>
      <c r="P143" s="4">
        <f t="shared" si="25"/>
        <v>8</v>
      </c>
      <c r="Q143" s="4">
        <v>1500</v>
      </c>
      <c r="R143" s="3"/>
    </row>
    <row r="144" spans="1:18" x14ac:dyDescent="0.2">
      <c r="A144" s="2">
        <f t="shared" si="19"/>
        <v>141</v>
      </c>
      <c r="B144" s="3">
        <f t="shared" si="20"/>
        <v>142</v>
      </c>
      <c r="C144" s="4">
        <v>2600000</v>
      </c>
      <c r="D144" s="4">
        <f t="shared" si="21"/>
        <v>200000</v>
      </c>
      <c r="E144" s="4">
        <f t="shared" si="22"/>
        <v>49873700</v>
      </c>
      <c r="F144" s="3" t="str" cm="1">
        <f t="array" ref="F144">CostScreen($C144)</f>
        <v>2,6M</v>
      </c>
      <c r="N144" s="2">
        <f t="shared" si="23"/>
        <v>3</v>
      </c>
      <c r="O144" s="4">
        <f t="shared" si="24"/>
        <v>4</v>
      </c>
      <c r="P144" s="4">
        <f t="shared" si="25"/>
        <v>9</v>
      </c>
      <c r="Q144" s="4">
        <v>1500</v>
      </c>
      <c r="R144" s="3"/>
    </row>
    <row r="145" spans="1:18" x14ac:dyDescent="0.2">
      <c r="A145" s="2">
        <f t="shared" si="19"/>
        <v>142</v>
      </c>
      <c r="B145" s="3">
        <f t="shared" si="20"/>
        <v>143</v>
      </c>
      <c r="C145" s="4">
        <v>2700000</v>
      </c>
      <c r="D145" s="4">
        <f t="shared" si="21"/>
        <v>100000</v>
      </c>
      <c r="E145" s="4">
        <f t="shared" si="22"/>
        <v>52573700</v>
      </c>
      <c r="F145" s="3" t="str" cm="1">
        <f t="array" ref="F145">CostScreen($C145)</f>
        <v>2,7M</v>
      </c>
      <c r="N145" s="2">
        <f t="shared" si="23"/>
        <v>3</v>
      </c>
      <c r="O145" s="4">
        <f t="shared" si="24"/>
        <v>4</v>
      </c>
      <c r="P145" s="4">
        <f t="shared" si="25"/>
        <v>10</v>
      </c>
      <c r="Q145" s="4">
        <v>1500</v>
      </c>
      <c r="R145" s="3"/>
    </row>
    <row r="146" spans="1:18" x14ac:dyDescent="0.2">
      <c r="A146" s="2">
        <f t="shared" si="19"/>
        <v>143</v>
      </c>
      <c r="B146" s="3">
        <f t="shared" si="20"/>
        <v>144</v>
      </c>
      <c r="C146" s="4">
        <v>2900000</v>
      </c>
      <c r="D146" s="4">
        <f t="shared" si="21"/>
        <v>200000</v>
      </c>
      <c r="E146" s="4">
        <f t="shared" si="22"/>
        <v>55473700</v>
      </c>
      <c r="F146" s="3" t="str" cm="1">
        <f t="array" ref="F146">CostScreen($C146)</f>
        <v>2,9M</v>
      </c>
      <c r="N146" s="2">
        <f t="shared" si="23"/>
        <v>3</v>
      </c>
      <c r="O146" s="4">
        <f t="shared" si="24"/>
        <v>5</v>
      </c>
      <c r="P146" s="4">
        <f t="shared" si="25"/>
        <v>1</v>
      </c>
      <c r="Q146" s="4">
        <v>1700</v>
      </c>
      <c r="R146" s="3"/>
    </row>
    <row r="147" spans="1:18" x14ac:dyDescent="0.2">
      <c r="A147" s="2">
        <f t="shared" si="19"/>
        <v>144</v>
      </c>
      <c r="B147" s="3">
        <f t="shared" si="20"/>
        <v>145</v>
      </c>
      <c r="C147" s="4">
        <v>3000000</v>
      </c>
      <c r="D147" s="4">
        <f t="shared" si="21"/>
        <v>100000</v>
      </c>
      <c r="E147" s="4">
        <f t="shared" si="22"/>
        <v>58473700</v>
      </c>
      <c r="F147" s="3" t="str" cm="1">
        <f t="array" ref="F147">CostScreen($C147)</f>
        <v>3M</v>
      </c>
      <c r="N147" s="2">
        <f t="shared" si="23"/>
        <v>3</v>
      </c>
      <c r="O147" s="4">
        <f t="shared" si="24"/>
        <v>5</v>
      </c>
      <c r="P147" s="4">
        <f t="shared" si="25"/>
        <v>2</v>
      </c>
      <c r="Q147" s="4">
        <v>1700</v>
      </c>
      <c r="R147" s="3"/>
    </row>
    <row r="148" spans="1:18" x14ac:dyDescent="0.2">
      <c r="A148" s="2">
        <f t="shared" si="19"/>
        <v>145</v>
      </c>
      <c r="B148" s="3">
        <f t="shared" si="20"/>
        <v>146</v>
      </c>
      <c r="C148" s="4">
        <v>3200000</v>
      </c>
      <c r="D148" s="4">
        <f t="shared" si="21"/>
        <v>200000</v>
      </c>
      <c r="E148" s="4">
        <f t="shared" si="22"/>
        <v>61673700</v>
      </c>
      <c r="F148" s="3" t="str" cm="1">
        <f t="array" ref="F148">CostScreen($C148)</f>
        <v>3,2M</v>
      </c>
      <c r="N148" s="2">
        <f t="shared" si="23"/>
        <v>3</v>
      </c>
      <c r="O148" s="4">
        <f t="shared" si="24"/>
        <v>5</v>
      </c>
      <c r="P148" s="4">
        <f t="shared" si="25"/>
        <v>3</v>
      </c>
      <c r="Q148" s="4">
        <v>1700</v>
      </c>
      <c r="R148" s="3"/>
    </row>
    <row r="149" spans="1:18" x14ac:dyDescent="0.2">
      <c r="A149" s="2">
        <f t="shared" si="19"/>
        <v>146</v>
      </c>
      <c r="B149" s="3">
        <f t="shared" si="20"/>
        <v>147</v>
      </c>
      <c r="C149" s="4">
        <v>3300000</v>
      </c>
      <c r="D149" s="4">
        <f t="shared" si="21"/>
        <v>100000</v>
      </c>
      <c r="E149" s="4">
        <f t="shared" si="22"/>
        <v>64973700</v>
      </c>
      <c r="F149" s="3" t="str" cm="1">
        <f t="array" ref="F149">CostScreen($C149)</f>
        <v>3,3M</v>
      </c>
      <c r="N149" s="2">
        <f t="shared" si="23"/>
        <v>3</v>
      </c>
      <c r="O149" s="4">
        <f t="shared" si="24"/>
        <v>5</v>
      </c>
      <c r="P149" s="4">
        <f t="shared" si="25"/>
        <v>4</v>
      </c>
      <c r="Q149" s="4">
        <v>1700</v>
      </c>
      <c r="R149" s="3"/>
    </row>
    <row r="150" spans="1:18" x14ac:dyDescent="0.2">
      <c r="A150" s="2">
        <f t="shared" si="19"/>
        <v>147</v>
      </c>
      <c r="B150" s="3">
        <f t="shared" si="20"/>
        <v>148</v>
      </c>
      <c r="C150" s="4">
        <v>3500000</v>
      </c>
      <c r="D150" s="4">
        <f t="shared" si="21"/>
        <v>200000</v>
      </c>
      <c r="E150" s="4">
        <f t="shared" si="22"/>
        <v>68473700</v>
      </c>
      <c r="F150" s="3" t="str" cm="1">
        <f t="array" ref="F150">CostScreen($C150)</f>
        <v>3,5M</v>
      </c>
      <c r="N150" s="2">
        <f t="shared" si="23"/>
        <v>3</v>
      </c>
      <c r="O150" s="4">
        <f t="shared" si="24"/>
        <v>5</v>
      </c>
      <c r="P150" s="4">
        <f t="shared" si="25"/>
        <v>5</v>
      </c>
      <c r="Q150" s="4">
        <v>1700</v>
      </c>
      <c r="R150" s="3"/>
    </row>
    <row r="151" spans="1:18" x14ac:dyDescent="0.2">
      <c r="A151" s="2">
        <f t="shared" si="19"/>
        <v>148</v>
      </c>
      <c r="B151" s="3">
        <f t="shared" si="20"/>
        <v>149</v>
      </c>
      <c r="C151" s="4">
        <v>3600000</v>
      </c>
      <c r="D151" s="4">
        <f t="shared" si="21"/>
        <v>100000</v>
      </c>
      <c r="E151" s="4">
        <f t="shared" si="22"/>
        <v>72073700</v>
      </c>
      <c r="F151" s="3" t="str" cm="1">
        <f t="array" ref="F151">CostScreen($C151)</f>
        <v>3,6M</v>
      </c>
      <c r="N151" s="2">
        <f t="shared" si="23"/>
        <v>3</v>
      </c>
      <c r="O151" s="4">
        <f t="shared" si="24"/>
        <v>5</v>
      </c>
      <c r="P151" s="4">
        <f t="shared" si="25"/>
        <v>6</v>
      </c>
      <c r="Q151" s="4">
        <v>1700</v>
      </c>
      <c r="R151" s="3"/>
    </row>
    <row r="152" spans="1:18" x14ac:dyDescent="0.2">
      <c r="A152" s="2">
        <f t="shared" si="19"/>
        <v>149</v>
      </c>
      <c r="B152" s="3">
        <f t="shared" si="20"/>
        <v>150</v>
      </c>
      <c r="C152" s="4">
        <v>3800000</v>
      </c>
      <c r="D152" s="4">
        <f t="shared" si="21"/>
        <v>200000</v>
      </c>
      <c r="E152" s="4">
        <f t="shared" si="22"/>
        <v>75873700</v>
      </c>
      <c r="F152" s="3" t="str" cm="1">
        <f t="array" ref="F152">CostScreen($C152)</f>
        <v>3,8M</v>
      </c>
      <c r="N152" s="2">
        <f t="shared" si="23"/>
        <v>3</v>
      </c>
      <c r="O152" s="4">
        <f t="shared" si="24"/>
        <v>5</v>
      </c>
      <c r="P152" s="4">
        <f t="shared" si="25"/>
        <v>7</v>
      </c>
      <c r="Q152" s="4">
        <v>1700</v>
      </c>
      <c r="R152" s="3"/>
    </row>
    <row r="153" spans="1:18" x14ac:dyDescent="0.2">
      <c r="A153" s="2">
        <f t="shared" si="19"/>
        <v>150</v>
      </c>
      <c r="B153" s="3">
        <f t="shared" si="20"/>
        <v>151</v>
      </c>
      <c r="C153" s="4">
        <v>4000000</v>
      </c>
      <c r="D153" s="4">
        <f t="shared" si="21"/>
        <v>200000</v>
      </c>
      <c r="E153" s="4">
        <f t="shared" si="22"/>
        <v>79873700</v>
      </c>
      <c r="F153" s="3" t="str" cm="1">
        <f t="array" ref="F153">CostScreen($C153)</f>
        <v>4M</v>
      </c>
      <c r="N153" s="2">
        <f t="shared" si="23"/>
        <v>3</v>
      </c>
      <c r="O153" s="4">
        <f t="shared" si="24"/>
        <v>5</v>
      </c>
      <c r="P153" s="4">
        <f t="shared" si="25"/>
        <v>8</v>
      </c>
      <c r="Q153" s="4">
        <v>1700</v>
      </c>
      <c r="R153" s="3"/>
    </row>
    <row r="154" spans="1:18" x14ac:dyDescent="0.2">
      <c r="A154" s="2">
        <f t="shared" si="19"/>
        <v>151</v>
      </c>
      <c r="B154" s="3">
        <f t="shared" si="20"/>
        <v>152</v>
      </c>
      <c r="C154" s="4">
        <v>4200000</v>
      </c>
      <c r="D154" s="4">
        <f t="shared" si="21"/>
        <v>200000</v>
      </c>
      <c r="E154" s="4">
        <f t="shared" si="22"/>
        <v>84073700</v>
      </c>
      <c r="F154" s="3" t="str" cm="1">
        <f t="array" ref="F154">CostScreen($C154)</f>
        <v>4,2M</v>
      </c>
      <c r="N154" s="2">
        <f t="shared" si="23"/>
        <v>3</v>
      </c>
      <c r="O154" s="4">
        <f t="shared" si="24"/>
        <v>5</v>
      </c>
      <c r="P154" s="4">
        <f t="shared" si="25"/>
        <v>9</v>
      </c>
      <c r="Q154" s="4">
        <v>1700</v>
      </c>
      <c r="R154" s="3"/>
    </row>
    <row r="155" spans="1:18" x14ac:dyDescent="0.2">
      <c r="A155" s="2">
        <f t="shared" si="19"/>
        <v>152</v>
      </c>
      <c r="B155" s="3">
        <f t="shared" si="20"/>
        <v>153</v>
      </c>
      <c r="C155" s="4">
        <v>4400000</v>
      </c>
      <c r="D155" s="4">
        <f t="shared" si="21"/>
        <v>200000</v>
      </c>
      <c r="E155" s="4">
        <f t="shared" si="22"/>
        <v>88473700</v>
      </c>
      <c r="F155" s="3" t="str" cm="1">
        <f t="array" ref="F155">CostScreen($C155)</f>
        <v>4,4M</v>
      </c>
      <c r="N155" s="2">
        <f t="shared" si="23"/>
        <v>3</v>
      </c>
      <c r="O155" s="4">
        <f t="shared" si="24"/>
        <v>5</v>
      </c>
      <c r="P155" s="4">
        <f t="shared" si="25"/>
        <v>10</v>
      </c>
      <c r="Q155" s="4">
        <v>1700</v>
      </c>
      <c r="R155" s="3"/>
    </row>
    <row r="156" spans="1:18" x14ac:dyDescent="0.2">
      <c r="A156" s="2">
        <f t="shared" si="19"/>
        <v>153</v>
      </c>
      <c r="B156" s="3">
        <f t="shared" si="20"/>
        <v>154</v>
      </c>
      <c r="C156" s="4">
        <v>4600000</v>
      </c>
      <c r="D156" s="4">
        <f t="shared" si="21"/>
        <v>200000</v>
      </c>
      <c r="E156" s="4">
        <f t="shared" si="22"/>
        <v>93073700</v>
      </c>
      <c r="F156" s="3" t="str" cm="1">
        <f t="array" ref="F156">CostScreen($C156)</f>
        <v>4,6M</v>
      </c>
      <c r="N156" s="2">
        <f t="shared" si="23"/>
        <v>3</v>
      </c>
      <c r="O156" s="4">
        <f t="shared" si="24"/>
        <v>6</v>
      </c>
      <c r="P156" s="4">
        <f t="shared" si="25"/>
        <v>1</v>
      </c>
      <c r="Q156" s="4">
        <v>1900</v>
      </c>
      <c r="R156" s="3"/>
    </row>
    <row r="157" spans="1:18" x14ac:dyDescent="0.2">
      <c r="A157" s="2">
        <f t="shared" si="19"/>
        <v>154</v>
      </c>
      <c r="B157" s="3">
        <f t="shared" si="20"/>
        <v>155</v>
      </c>
      <c r="C157" s="4">
        <v>4800000</v>
      </c>
      <c r="D157" s="4">
        <f t="shared" si="21"/>
        <v>200000</v>
      </c>
      <c r="E157" s="4">
        <f t="shared" si="22"/>
        <v>97873700</v>
      </c>
      <c r="F157" s="3" t="str" cm="1">
        <f t="array" ref="F157">CostScreen($C157)</f>
        <v>4,8M</v>
      </c>
      <c r="N157" s="2">
        <f t="shared" si="23"/>
        <v>3</v>
      </c>
      <c r="O157" s="4">
        <f t="shared" si="24"/>
        <v>6</v>
      </c>
      <c r="P157" s="4">
        <f t="shared" si="25"/>
        <v>2</v>
      </c>
      <c r="Q157" s="4">
        <v>1900</v>
      </c>
      <c r="R157" s="3"/>
    </row>
    <row r="158" spans="1:18" x14ac:dyDescent="0.2">
      <c r="A158" s="2">
        <f t="shared" si="19"/>
        <v>155</v>
      </c>
      <c r="B158" s="3">
        <f t="shared" si="20"/>
        <v>156</v>
      </c>
      <c r="C158" s="4">
        <v>5000000</v>
      </c>
      <c r="D158" s="4">
        <f t="shared" si="21"/>
        <v>200000</v>
      </c>
      <c r="E158" s="4">
        <f t="shared" si="22"/>
        <v>102873700</v>
      </c>
      <c r="F158" s="3" t="str" cm="1">
        <f t="array" ref="F158">CostScreen($C158)</f>
        <v>5M</v>
      </c>
      <c r="N158" s="2">
        <f t="shared" si="23"/>
        <v>3</v>
      </c>
      <c r="O158" s="4">
        <f t="shared" si="24"/>
        <v>6</v>
      </c>
      <c r="P158" s="4">
        <f t="shared" si="25"/>
        <v>3</v>
      </c>
      <c r="Q158" s="4">
        <v>1900</v>
      </c>
      <c r="R158" s="3"/>
    </row>
    <row r="159" spans="1:18" x14ac:dyDescent="0.2">
      <c r="A159" s="2">
        <f t="shared" si="19"/>
        <v>156</v>
      </c>
      <c r="B159" s="3">
        <f t="shared" si="20"/>
        <v>157</v>
      </c>
      <c r="C159" s="4">
        <v>5200000</v>
      </c>
      <c r="D159" s="4">
        <f t="shared" si="21"/>
        <v>200000</v>
      </c>
      <c r="E159" s="4">
        <f t="shared" si="22"/>
        <v>108073700</v>
      </c>
      <c r="F159" s="3" t="str" cm="1">
        <f t="array" ref="F159">CostScreen($C159)</f>
        <v>5,2M</v>
      </c>
      <c r="N159" s="2">
        <f t="shared" si="23"/>
        <v>3</v>
      </c>
      <c r="O159" s="4">
        <f t="shared" si="24"/>
        <v>6</v>
      </c>
      <c r="P159" s="4">
        <f t="shared" si="25"/>
        <v>4</v>
      </c>
      <c r="Q159" s="4">
        <v>1900</v>
      </c>
      <c r="R159" s="3"/>
    </row>
    <row r="160" spans="1:18" x14ac:dyDescent="0.2">
      <c r="A160" s="2">
        <f t="shared" si="19"/>
        <v>157</v>
      </c>
      <c r="B160" s="3">
        <f t="shared" si="20"/>
        <v>158</v>
      </c>
      <c r="C160" s="4">
        <v>5400000</v>
      </c>
      <c r="D160" s="4">
        <f t="shared" si="21"/>
        <v>200000</v>
      </c>
      <c r="E160" s="4">
        <f t="shared" si="22"/>
        <v>113473700</v>
      </c>
      <c r="F160" s="3" t="str" cm="1">
        <f t="array" ref="F160">CostScreen($C160)</f>
        <v>5,4M</v>
      </c>
      <c r="N160" s="2">
        <f t="shared" si="23"/>
        <v>3</v>
      </c>
      <c r="O160" s="4">
        <f t="shared" si="24"/>
        <v>6</v>
      </c>
      <c r="P160" s="4">
        <f t="shared" si="25"/>
        <v>5</v>
      </c>
      <c r="Q160" s="4">
        <v>1900</v>
      </c>
      <c r="R160" s="3"/>
    </row>
    <row r="161" spans="1:18" x14ac:dyDescent="0.2">
      <c r="A161" s="2">
        <f t="shared" si="19"/>
        <v>158</v>
      </c>
      <c r="B161" s="3">
        <f t="shared" si="20"/>
        <v>159</v>
      </c>
      <c r="C161" s="4">
        <v>5600000</v>
      </c>
      <c r="D161" s="4">
        <f t="shared" si="21"/>
        <v>200000</v>
      </c>
      <c r="E161" s="4">
        <f t="shared" si="22"/>
        <v>119073700</v>
      </c>
      <c r="F161" s="3" t="str" cm="1">
        <f t="array" ref="F161">CostScreen($C161)</f>
        <v>5,6M</v>
      </c>
      <c r="N161" s="2">
        <f t="shared" si="23"/>
        <v>3</v>
      </c>
      <c r="O161" s="4">
        <f t="shared" si="24"/>
        <v>6</v>
      </c>
      <c r="P161" s="4">
        <f t="shared" si="25"/>
        <v>6</v>
      </c>
      <c r="Q161" s="4">
        <v>1900</v>
      </c>
      <c r="R161" s="3"/>
    </row>
    <row r="162" spans="1:18" x14ac:dyDescent="0.2">
      <c r="A162" s="2">
        <f t="shared" si="19"/>
        <v>159</v>
      </c>
      <c r="B162" s="3">
        <f t="shared" si="20"/>
        <v>160</v>
      </c>
      <c r="C162" s="4">
        <v>5800000</v>
      </c>
      <c r="D162" s="4">
        <f t="shared" si="21"/>
        <v>200000</v>
      </c>
      <c r="E162" s="4">
        <f t="shared" si="22"/>
        <v>124873700</v>
      </c>
      <c r="F162" s="3" t="str" cm="1">
        <f t="array" ref="F162">CostScreen($C162)</f>
        <v>5,8M</v>
      </c>
      <c r="N162" s="2">
        <f t="shared" si="23"/>
        <v>3</v>
      </c>
      <c r="O162" s="4">
        <f t="shared" si="24"/>
        <v>6</v>
      </c>
      <c r="P162" s="4">
        <f t="shared" si="25"/>
        <v>7</v>
      </c>
      <c r="Q162" s="4">
        <v>1900</v>
      </c>
      <c r="R162" s="3"/>
    </row>
    <row r="163" spans="1:18" x14ac:dyDescent="0.2">
      <c r="A163" s="2">
        <f t="shared" si="19"/>
        <v>160</v>
      </c>
      <c r="B163" s="3">
        <f t="shared" si="20"/>
        <v>161</v>
      </c>
      <c r="C163" s="4">
        <v>6000000</v>
      </c>
      <c r="D163" s="4">
        <f t="shared" si="21"/>
        <v>200000</v>
      </c>
      <c r="E163" s="4">
        <f t="shared" si="22"/>
        <v>130873700</v>
      </c>
      <c r="F163" s="3" t="str" cm="1">
        <f t="array" ref="F163">CostScreen($C163)</f>
        <v>6M</v>
      </c>
      <c r="N163" s="2">
        <f t="shared" si="23"/>
        <v>3</v>
      </c>
      <c r="O163" s="4">
        <f t="shared" si="24"/>
        <v>6</v>
      </c>
      <c r="P163" s="4">
        <f t="shared" si="25"/>
        <v>8</v>
      </c>
      <c r="Q163" s="4">
        <v>1900</v>
      </c>
      <c r="R163" s="3"/>
    </row>
    <row r="164" spans="1:18" x14ac:dyDescent="0.2">
      <c r="A164" s="2">
        <f t="shared" si="19"/>
        <v>161</v>
      </c>
      <c r="B164" s="3">
        <f t="shared" si="20"/>
        <v>162</v>
      </c>
      <c r="C164" s="4">
        <v>6300000</v>
      </c>
      <c r="D164" s="4">
        <f t="shared" si="21"/>
        <v>300000</v>
      </c>
      <c r="E164" s="4">
        <f t="shared" si="22"/>
        <v>137173700</v>
      </c>
      <c r="F164" s="3" t="str" cm="1">
        <f t="array" ref="F164">CostScreen($C164)</f>
        <v>6,3M</v>
      </c>
      <c r="N164" s="2">
        <f t="shared" si="23"/>
        <v>3</v>
      </c>
      <c r="O164" s="4">
        <f t="shared" si="24"/>
        <v>6</v>
      </c>
      <c r="P164" s="4">
        <f t="shared" si="25"/>
        <v>9</v>
      </c>
      <c r="Q164" s="4">
        <v>1900</v>
      </c>
      <c r="R164" s="3"/>
    </row>
    <row r="165" spans="1:18" x14ac:dyDescent="0.2">
      <c r="A165" s="2">
        <f t="shared" si="19"/>
        <v>162</v>
      </c>
      <c r="B165" s="3">
        <f t="shared" si="20"/>
        <v>163</v>
      </c>
      <c r="C165" s="4">
        <v>6500000</v>
      </c>
      <c r="D165" s="4">
        <f t="shared" si="21"/>
        <v>200000</v>
      </c>
      <c r="E165" s="4">
        <f t="shared" si="22"/>
        <v>143673700</v>
      </c>
      <c r="F165" s="3" t="str" cm="1">
        <f t="array" ref="F165">CostScreen($C165)</f>
        <v>6,5M</v>
      </c>
      <c r="N165" s="2">
        <f t="shared" si="23"/>
        <v>3</v>
      </c>
      <c r="O165" s="4">
        <f t="shared" si="24"/>
        <v>6</v>
      </c>
      <c r="P165" s="4">
        <f t="shared" si="25"/>
        <v>10</v>
      </c>
      <c r="Q165" s="4">
        <v>1900</v>
      </c>
      <c r="R165" s="3"/>
    </row>
    <row r="166" spans="1:18" x14ac:dyDescent="0.2">
      <c r="A166" s="2">
        <f t="shared" si="19"/>
        <v>163</v>
      </c>
      <c r="B166" s="3">
        <f t="shared" si="20"/>
        <v>164</v>
      </c>
      <c r="C166" s="4">
        <v>6800000</v>
      </c>
      <c r="D166" s="4">
        <f t="shared" si="21"/>
        <v>300000</v>
      </c>
      <c r="E166" s="4">
        <f t="shared" si="22"/>
        <v>150473700</v>
      </c>
      <c r="F166" s="3" t="str" cm="1">
        <f t="array" ref="F166">CostScreen($C166)</f>
        <v>6,8M</v>
      </c>
      <c r="N166" s="2">
        <f t="shared" si="23"/>
        <v>4</v>
      </c>
      <c r="O166" s="4">
        <v>0</v>
      </c>
      <c r="P166" s="4"/>
      <c r="Q166" s="4">
        <v>160</v>
      </c>
      <c r="R166" s="3"/>
    </row>
    <row r="167" spans="1:18" x14ac:dyDescent="0.2">
      <c r="A167" s="2">
        <f t="shared" si="19"/>
        <v>164</v>
      </c>
      <c r="B167" s="3">
        <f t="shared" si="20"/>
        <v>165</v>
      </c>
      <c r="C167" s="4">
        <v>7000000</v>
      </c>
      <c r="D167" s="4">
        <f t="shared" si="21"/>
        <v>200000</v>
      </c>
      <c r="E167" s="4">
        <f t="shared" si="22"/>
        <v>157473700</v>
      </c>
      <c r="F167" s="3" t="str" cm="1">
        <f t="array" ref="F167">CostScreen($C167)</f>
        <v>7M</v>
      </c>
      <c r="N167" s="2">
        <f t="shared" si="23"/>
        <v>4</v>
      </c>
      <c r="O167" s="4">
        <f t="shared" si="24"/>
        <v>1</v>
      </c>
      <c r="P167" s="4">
        <f t="shared" si="25"/>
        <v>1</v>
      </c>
      <c r="Q167" s="4">
        <v>2200</v>
      </c>
      <c r="R167" s="3"/>
    </row>
    <row r="168" spans="1:18" x14ac:dyDescent="0.2">
      <c r="A168" s="2">
        <f t="shared" si="19"/>
        <v>165</v>
      </c>
      <c r="B168" s="3">
        <f t="shared" si="20"/>
        <v>166</v>
      </c>
      <c r="C168" s="4">
        <v>7300000</v>
      </c>
      <c r="D168" s="4">
        <f t="shared" si="21"/>
        <v>300000</v>
      </c>
      <c r="E168" s="4">
        <f t="shared" si="22"/>
        <v>164773700</v>
      </c>
      <c r="F168" s="3" t="str" cm="1">
        <f t="array" ref="F168">CostScreen($C168)</f>
        <v>7,3M</v>
      </c>
      <c r="N168" s="2">
        <f t="shared" si="23"/>
        <v>4</v>
      </c>
      <c r="O168" s="4">
        <f t="shared" si="24"/>
        <v>1</v>
      </c>
      <c r="P168" s="4">
        <f t="shared" si="25"/>
        <v>2</v>
      </c>
      <c r="Q168" s="4">
        <v>2200</v>
      </c>
      <c r="R168" s="3"/>
    </row>
    <row r="169" spans="1:18" x14ac:dyDescent="0.2">
      <c r="A169" s="2">
        <f t="shared" si="19"/>
        <v>166</v>
      </c>
      <c r="B169" s="3">
        <f t="shared" si="20"/>
        <v>167</v>
      </c>
      <c r="C169" s="4">
        <v>7500000</v>
      </c>
      <c r="D169" s="4">
        <f t="shared" si="21"/>
        <v>200000</v>
      </c>
      <c r="E169" s="4">
        <f t="shared" si="22"/>
        <v>172273700</v>
      </c>
      <c r="F169" s="3" t="str" cm="1">
        <f t="array" ref="F169">CostScreen($C169)</f>
        <v>7,5M</v>
      </c>
      <c r="N169" s="2">
        <f t="shared" si="23"/>
        <v>4</v>
      </c>
      <c r="O169" s="4">
        <f t="shared" si="24"/>
        <v>1</v>
      </c>
      <c r="P169" s="4">
        <f t="shared" si="25"/>
        <v>3</v>
      </c>
      <c r="Q169" s="4">
        <v>2200</v>
      </c>
      <c r="R169" s="3"/>
    </row>
    <row r="170" spans="1:18" x14ac:dyDescent="0.2">
      <c r="A170" s="2">
        <f t="shared" si="19"/>
        <v>167</v>
      </c>
      <c r="B170" s="3">
        <f t="shared" si="20"/>
        <v>168</v>
      </c>
      <c r="C170" s="4">
        <v>7800000</v>
      </c>
      <c r="D170" s="4">
        <f t="shared" si="21"/>
        <v>300000</v>
      </c>
      <c r="E170" s="4">
        <f t="shared" si="22"/>
        <v>180073700</v>
      </c>
      <c r="F170" s="3" t="str" cm="1">
        <f t="array" ref="F170">CostScreen($C170)</f>
        <v>7,8M</v>
      </c>
      <c r="N170" s="2">
        <f t="shared" si="23"/>
        <v>4</v>
      </c>
      <c r="O170" s="4">
        <f t="shared" si="24"/>
        <v>1</v>
      </c>
      <c r="P170" s="4">
        <f t="shared" si="25"/>
        <v>4</v>
      </c>
      <c r="Q170" s="4">
        <v>2200</v>
      </c>
      <c r="R170" s="3"/>
    </row>
    <row r="171" spans="1:18" x14ac:dyDescent="0.2">
      <c r="A171" s="2">
        <f t="shared" si="19"/>
        <v>168</v>
      </c>
      <c r="B171" s="3">
        <f t="shared" si="20"/>
        <v>169</v>
      </c>
      <c r="C171" s="4">
        <v>8000000</v>
      </c>
      <c r="D171" s="4">
        <f t="shared" si="21"/>
        <v>200000</v>
      </c>
      <c r="E171" s="4">
        <f t="shared" si="22"/>
        <v>188073700</v>
      </c>
      <c r="F171" s="3" t="str" cm="1">
        <f t="array" ref="F171">CostScreen($C171)</f>
        <v>8M</v>
      </c>
      <c r="N171" s="2">
        <f t="shared" si="23"/>
        <v>4</v>
      </c>
      <c r="O171" s="4">
        <f t="shared" si="24"/>
        <v>1</v>
      </c>
      <c r="P171" s="4">
        <f t="shared" si="25"/>
        <v>5</v>
      </c>
      <c r="Q171" s="4">
        <v>2200</v>
      </c>
      <c r="R171" s="3"/>
    </row>
    <row r="172" spans="1:18" x14ac:dyDescent="0.2">
      <c r="A172" s="2">
        <f t="shared" si="19"/>
        <v>169</v>
      </c>
      <c r="B172" s="3">
        <f t="shared" si="20"/>
        <v>170</v>
      </c>
      <c r="C172" s="4">
        <v>8300000</v>
      </c>
      <c r="D172" s="4">
        <f t="shared" si="21"/>
        <v>300000</v>
      </c>
      <c r="E172" s="4">
        <f t="shared" si="22"/>
        <v>196373700</v>
      </c>
      <c r="F172" s="3" t="str" cm="1">
        <f t="array" ref="F172">CostScreen($C172)</f>
        <v>8,3M</v>
      </c>
      <c r="N172" s="2">
        <f t="shared" si="23"/>
        <v>4</v>
      </c>
      <c r="O172" s="4">
        <f t="shared" si="24"/>
        <v>1</v>
      </c>
      <c r="P172" s="4">
        <f t="shared" si="25"/>
        <v>6</v>
      </c>
      <c r="Q172" s="4">
        <v>2200</v>
      </c>
      <c r="R172" s="3"/>
    </row>
    <row r="173" spans="1:18" x14ac:dyDescent="0.2">
      <c r="A173" s="2">
        <f t="shared" si="19"/>
        <v>170</v>
      </c>
      <c r="B173" s="3">
        <f t="shared" si="20"/>
        <v>171</v>
      </c>
      <c r="C173" s="4">
        <v>8600000</v>
      </c>
      <c r="D173" s="4">
        <f t="shared" si="21"/>
        <v>300000</v>
      </c>
      <c r="E173" s="4">
        <f t="shared" si="22"/>
        <v>204973700</v>
      </c>
      <c r="F173" s="3" t="str" cm="1">
        <f t="array" ref="F173">CostScreen($C173)</f>
        <v>8,6M</v>
      </c>
      <c r="N173" s="2">
        <f t="shared" si="23"/>
        <v>4</v>
      </c>
      <c r="O173" s="4">
        <f t="shared" si="24"/>
        <v>1</v>
      </c>
      <c r="P173" s="4">
        <f t="shared" si="25"/>
        <v>7</v>
      </c>
      <c r="Q173" s="4">
        <v>2200</v>
      </c>
      <c r="R173" s="3"/>
    </row>
    <row r="174" spans="1:18" x14ac:dyDescent="0.2">
      <c r="A174" s="2">
        <f t="shared" si="19"/>
        <v>171</v>
      </c>
      <c r="B174" s="3">
        <f t="shared" si="20"/>
        <v>172</v>
      </c>
      <c r="C174" s="4">
        <v>9000000</v>
      </c>
      <c r="D174" s="4">
        <f t="shared" si="21"/>
        <v>400000</v>
      </c>
      <c r="E174" s="4">
        <f t="shared" si="22"/>
        <v>213973700</v>
      </c>
      <c r="F174" s="3" t="str" cm="1">
        <f t="array" ref="F174">CostScreen($C174)</f>
        <v>9M</v>
      </c>
      <c r="N174" s="2">
        <f t="shared" si="23"/>
        <v>4</v>
      </c>
      <c r="O174" s="4">
        <f t="shared" si="24"/>
        <v>1</v>
      </c>
      <c r="P174" s="4">
        <f t="shared" si="25"/>
        <v>8</v>
      </c>
      <c r="Q174" s="4">
        <v>2200</v>
      </c>
      <c r="R174" s="3"/>
    </row>
    <row r="175" spans="1:18" x14ac:dyDescent="0.2">
      <c r="A175" s="2">
        <f t="shared" si="19"/>
        <v>172</v>
      </c>
      <c r="B175" s="3">
        <f t="shared" si="20"/>
        <v>173</v>
      </c>
      <c r="C175" s="4">
        <v>9300000</v>
      </c>
      <c r="D175" s="4">
        <f t="shared" si="21"/>
        <v>300000</v>
      </c>
      <c r="E175" s="4">
        <f t="shared" si="22"/>
        <v>223273700</v>
      </c>
      <c r="F175" s="3" t="str" cm="1">
        <f t="array" ref="F175">CostScreen($C175)</f>
        <v>9,3M</v>
      </c>
      <c r="N175" s="2">
        <f t="shared" si="23"/>
        <v>4</v>
      </c>
      <c r="O175" s="4">
        <f t="shared" si="24"/>
        <v>1</v>
      </c>
      <c r="P175" s="4">
        <f t="shared" si="25"/>
        <v>9</v>
      </c>
      <c r="Q175" s="4">
        <v>2200</v>
      </c>
      <c r="R175" s="3"/>
    </row>
    <row r="176" spans="1:18" x14ac:dyDescent="0.2">
      <c r="A176" s="2">
        <f t="shared" si="19"/>
        <v>173</v>
      </c>
      <c r="B176" s="3">
        <f t="shared" si="20"/>
        <v>174</v>
      </c>
      <c r="C176" s="4">
        <v>9700000</v>
      </c>
      <c r="D176" s="4">
        <f t="shared" si="21"/>
        <v>400000</v>
      </c>
      <c r="E176" s="4">
        <f t="shared" si="22"/>
        <v>232973700</v>
      </c>
      <c r="F176" s="3" t="str" cm="1">
        <f t="array" ref="F176">CostScreen($C176)</f>
        <v>9,7M</v>
      </c>
      <c r="N176" s="2">
        <f t="shared" si="23"/>
        <v>4</v>
      </c>
      <c r="O176" s="4">
        <f t="shared" si="24"/>
        <v>1</v>
      </c>
      <c r="P176" s="4">
        <f t="shared" si="25"/>
        <v>10</v>
      </c>
      <c r="Q176" s="4">
        <v>2200</v>
      </c>
      <c r="R176" s="3"/>
    </row>
    <row r="177" spans="1:18" x14ac:dyDescent="0.2">
      <c r="A177" s="2">
        <f t="shared" si="19"/>
        <v>174</v>
      </c>
      <c r="B177" s="3">
        <f t="shared" si="20"/>
        <v>175</v>
      </c>
      <c r="C177" s="4">
        <v>10000000</v>
      </c>
      <c r="D177" s="4">
        <f t="shared" si="21"/>
        <v>300000</v>
      </c>
      <c r="E177" s="4">
        <f t="shared" si="22"/>
        <v>242973700</v>
      </c>
      <c r="F177" s="3" t="str" cm="1">
        <f t="array" ref="F177">CostScreen($C177)</f>
        <v>10M</v>
      </c>
      <c r="N177" s="2">
        <f t="shared" si="23"/>
        <v>4</v>
      </c>
      <c r="O177" s="4">
        <f t="shared" si="24"/>
        <v>2</v>
      </c>
      <c r="P177" s="4">
        <f t="shared" si="25"/>
        <v>1</v>
      </c>
      <c r="Q177" s="4">
        <v>2600</v>
      </c>
      <c r="R177" s="3"/>
    </row>
    <row r="178" spans="1:18" x14ac:dyDescent="0.2">
      <c r="A178" s="2">
        <f t="shared" si="19"/>
        <v>175</v>
      </c>
      <c r="B178" s="3">
        <f t="shared" si="20"/>
        <v>176</v>
      </c>
      <c r="C178" s="4">
        <v>10400000</v>
      </c>
      <c r="D178" s="4">
        <f t="shared" si="21"/>
        <v>400000</v>
      </c>
      <c r="E178" s="4">
        <f t="shared" si="22"/>
        <v>253373700</v>
      </c>
      <c r="F178" s="3" t="str" cm="1">
        <f t="array" ref="F178">CostScreen($C178)</f>
        <v>10,4M</v>
      </c>
      <c r="N178" s="2">
        <f t="shared" si="23"/>
        <v>4</v>
      </c>
      <c r="O178" s="4">
        <f t="shared" si="24"/>
        <v>2</v>
      </c>
      <c r="P178" s="4">
        <f t="shared" si="25"/>
        <v>2</v>
      </c>
      <c r="Q178" s="4">
        <v>2600</v>
      </c>
      <c r="R178" s="3"/>
    </row>
    <row r="179" spans="1:18" x14ac:dyDescent="0.2">
      <c r="A179" s="2">
        <f t="shared" si="19"/>
        <v>176</v>
      </c>
      <c r="B179" s="3">
        <f t="shared" si="20"/>
        <v>177</v>
      </c>
      <c r="C179" s="4">
        <v>10700000</v>
      </c>
      <c r="D179" s="4">
        <f t="shared" si="21"/>
        <v>300000</v>
      </c>
      <c r="E179" s="4">
        <f t="shared" si="22"/>
        <v>264073700</v>
      </c>
      <c r="F179" s="3" t="str" cm="1">
        <f t="array" ref="F179">CostScreen($C179)</f>
        <v>10,7M</v>
      </c>
      <c r="N179" s="2">
        <f t="shared" si="23"/>
        <v>4</v>
      </c>
      <c r="O179" s="4">
        <f t="shared" si="24"/>
        <v>2</v>
      </c>
      <c r="P179" s="4">
        <f t="shared" si="25"/>
        <v>3</v>
      </c>
      <c r="Q179" s="4">
        <v>2600</v>
      </c>
      <c r="R179" s="3"/>
    </row>
    <row r="180" spans="1:18" x14ac:dyDescent="0.2">
      <c r="A180" s="2">
        <f t="shared" si="19"/>
        <v>177</v>
      </c>
      <c r="B180" s="3">
        <f t="shared" si="20"/>
        <v>178</v>
      </c>
      <c r="C180" s="4">
        <v>11100000</v>
      </c>
      <c r="D180" s="4">
        <f t="shared" si="21"/>
        <v>400000</v>
      </c>
      <c r="E180" s="4">
        <f t="shared" si="22"/>
        <v>275173700</v>
      </c>
      <c r="F180" s="3" t="str" cm="1">
        <f t="array" ref="F180">CostScreen($C180)</f>
        <v>11,1M</v>
      </c>
      <c r="N180" s="2">
        <f t="shared" si="23"/>
        <v>4</v>
      </c>
      <c r="O180" s="4">
        <f t="shared" si="24"/>
        <v>2</v>
      </c>
      <c r="P180" s="4">
        <f t="shared" si="25"/>
        <v>4</v>
      </c>
      <c r="Q180" s="4">
        <v>2600</v>
      </c>
      <c r="R180" s="3"/>
    </row>
    <row r="181" spans="1:18" x14ac:dyDescent="0.2">
      <c r="A181" s="2">
        <f t="shared" si="19"/>
        <v>178</v>
      </c>
      <c r="B181" s="3">
        <f t="shared" si="20"/>
        <v>179</v>
      </c>
      <c r="C181" s="4">
        <v>11400000</v>
      </c>
      <c r="D181" s="4">
        <f t="shared" si="21"/>
        <v>300000</v>
      </c>
      <c r="E181" s="4">
        <f t="shared" si="22"/>
        <v>286573700</v>
      </c>
      <c r="F181" s="3" t="str" cm="1">
        <f t="array" ref="F181">CostScreen($C181)</f>
        <v>11,4M</v>
      </c>
      <c r="N181" s="2">
        <f t="shared" si="23"/>
        <v>4</v>
      </c>
      <c r="O181" s="4">
        <f t="shared" si="24"/>
        <v>2</v>
      </c>
      <c r="P181" s="4">
        <f t="shared" si="25"/>
        <v>5</v>
      </c>
      <c r="Q181" s="4">
        <v>2600</v>
      </c>
      <c r="R181" s="3"/>
    </row>
    <row r="182" spans="1:18" x14ac:dyDescent="0.2">
      <c r="A182" s="2">
        <f t="shared" si="19"/>
        <v>179</v>
      </c>
      <c r="B182" s="3">
        <f t="shared" si="20"/>
        <v>180</v>
      </c>
      <c r="C182" s="4">
        <v>11800000</v>
      </c>
      <c r="D182" s="4">
        <f t="shared" si="21"/>
        <v>400000</v>
      </c>
      <c r="E182" s="4">
        <f t="shared" si="22"/>
        <v>298373700</v>
      </c>
      <c r="F182" s="3" t="str" cm="1">
        <f t="array" ref="F182">CostScreen($C182)</f>
        <v>11,8M</v>
      </c>
      <c r="N182" s="2">
        <f t="shared" si="23"/>
        <v>4</v>
      </c>
      <c r="O182" s="4">
        <f t="shared" si="24"/>
        <v>2</v>
      </c>
      <c r="P182" s="4">
        <f t="shared" si="25"/>
        <v>6</v>
      </c>
      <c r="Q182" s="4">
        <v>2600</v>
      </c>
      <c r="R182" s="3"/>
    </row>
    <row r="183" spans="1:18" x14ac:dyDescent="0.2">
      <c r="A183" s="2">
        <f t="shared" si="19"/>
        <v>180</v>
      </c>
      <c r="B183" s="3">
        <f t="shared" si="20"/>
        <v>181</v>
      </c>
      <c r="C183" s="4">
        <v>12100000</v>
      </c>
      <c r="D183" s="4">
        <f t="shared" si="21"/>
        <v>300000</v>
      </c>
      <c r="E183" s="4">
        <f t="shared" si="22"/>
        <v>310473700</v>
      </c>
      <c r="F183" s="3" t="str" cm="1">
        <f t="array" ref="F183">CostScreen($C183)</f>
        <v>12,1M</v>
      </c>
      <c r="N183" s="2">
        <f t="shared" si="23"/>
        <v>4</v>
      </c>
      <c r="O183" s="4">
        <f t="shared" si="24"/>
        <v>2</v>
      </c>
      <c r="P183" s="4">
        <f t="shared" si="25"/>
        <v>7</v>
      </c>
      <c r="Q183" s="4">
        <v>2600</v>
      </c>
      <c r="R183" s="3"/>
    </row>
    <row r="184" spans="1:18" x14ac:dyDescent="0.2">
      <c r="A184" s="2">
        <f t="shared" si="19"/>
        <v>181</v>
      </c>
      <c r="B184" s="3">
        <f t="shared" si="20"/>
        <v>182</v>
      </c>
      <c r="C184" s="4">
        <v>12500000</v>
      </c>
      <c r="D184" s="4">
        <f t="shared" si="21"/>
        <v>400000</v>
      </c>
      <c r="E184" s="4">
        <f t="shared" si="22"/>
        <v>322973700</v>
      </c>
      <c r="F184" s="3" t="str" cm="1">
        <f t="array" ref="F184">CostScreen($C184)</f>
        <v>12,5M</v>
      </c>
      <c r="N184" s="2">
        <f t="shared" si="23"/>
        <v>4</v>
      </c>
      <c r="O184" s="4">
        <f t="shared" si="24"/>
        <v>2</v>
      </c>
      <c r="P184" s="4">
        <f t="shared" si="25"/>
        <v>8</v>
      </c>
      <c r="Q184" s="4">
        <v>2600</v>
      </c>
      <c r="R184" s="3"/>
    </row>
    <row r="185" spans="1:18" x14ac:dyDescent="0.2">
      <c r="A185" s="2">
        <f t="shared" si="19"/>
        <v>182</v>
      </c>
      <c r="B185" s="3">
        <f t="shared" si="20"/>
        <v>183</v>
      </c>
      <c r="C185" s="4">
        <v>12900000</v>
      </c>
      <c r="D185" s="4">
        <f t="shared" si="21"/>
        <v>400000</v>
      </c>
      <c r="E185" s="4">
        <f t="shared" si="22"/>
        <v>335873700</v>
      </c>
      <c r="F185" s="3" t="str" cm="1">
        <f t="array" ref="F185">CostScreen($C185)</f>
        <v>12,9M</v>
      </c>
      <c r="N185" s="2">
        <f t="shared" si="23"/>
        <v>4</v>
      </c>
      <c r="O185" s="4">
        <f t="shared" si="24"/>
        <v>2</v>
      </c>
      <c r="P185" s="4">
        <f t="shared" si="25"/>
        <v>9</v>
      </c>
      <c r="Q185" s="4">
        <v>2600</v>
      </c>
      <c r="R185" s="3"/>
    </row>
    <row r="186" spans="1:18" x14ac:dyDescent="0.2">
      <c r="A186" s="2">
        <f t="shared" si="19"/>
        <v>183</v>
      </c>
      <c r="B186" s="3">
        <f t="shared" si="20"/>
        <v>184</v>
      </c>
      <c r="C186" s="4">
        <v>13300000</v>
      </c>
      <c r="D186" s="4">
        <f t="shared" si="21"/>
        <v>400000</v>
      </c>
      <c r="E186" s="4">
        <f t="shared" si="22"/>
        <v>349173700</v>
      </c>
      <c r="F186" s="3" t="str" cm="1">
        <f t="array" ref="F186">CostScreen($C186)</f>
        <v>13,3M</v>
      </c>
      <c r="N186" s="2">
        <f t="shared" si="23"/>
        <v>4</v>
      </c>
      <c r="O186" s="4">
        <f t="shared" si="24"/>
        <v>2</v>
      </c>
      <c r="P186" s="4">
        <f t="shared" si="25"/>
        <v>10</v>
      </c>
      <c r="Q186" s="4">
        <v>2600</v>
      </c>
      <c r="R186" s="3"/>
    </row>
    <row r="187" spans="1:18" x14ac:dyDescent="0.2">
      <c r="A187" s="2">
        <f t="shared" si="19"/>
        <v>184</v>
      </c>
      <c r="B187" s="3">
        <f t="shared" si="20"/>
        <v>185</v>
      </c>
      <c r="C187" s="4">
        <v>13700000</v>
      </c>
      <c r="D187" s="4">
        <f t="shared" si="21"/>
        <v>400000</v>
      </c>
      <c r="E187" s="4">
        <f t="shared" si="22"/>
        <v>362873700</v>
      </c>
      <c r="F187" s="3" t="str" cm="1">
        <f t="array" ref="F187">CostScreen($C187)</f>
        <v>13,7M</v>
      </c>
      <c r="N187" s="2">
        <f t="shared" si="23"/>
        <v>4</v>
      </c>
      <c r="O187" s="4">
        <f t="shared" si="24"/>
        <v>3</v>
      </c>
      <c r="P187" s="4">
        <f t="shared" si="25"/>
        <v>1</v>
      </c>
      <c r="Q187" s="4">
        <v>3000</v>
      </c>
      <c r="R187" s="3"/>
    </row>
    <row r="188" spans="1:18" x14ac:dyDescent="0.2">
      <c r="A188" s="2">
        <f t="shared" si="19"/>
        <v>185</v>
      </c>
      <c r="B188" s="3">
        <f t="shared" si="20"/>
        <v>186</v>
      </c>
      <c r="C188" s="4">
        <v>14200000</v>
      </c>
      <c r="D188" s="4">
        <f t="shared" si="21"/>
        <v>500000</v>
      </c>
      <c r="E188" s="4">
        <f t="shared" si="22"/>
        <v>377073700</v>
      </c>
      <c r="F188" s="3" t="str" cm="1">
        <f t="array" ref="F188">CostScreen($C188)</f>
        <v>14,2M</v>
      </c>
      <c r="N188" s="2">
        <f t="shared" si="23"/>
        <v>4</v>
      </c>
      <c r="O188" s="4">
        <f t="shared" si="24"/>
        <v>3</v>
      </c>
      <c r="P188" s="4">
        <f t="shared" si="25"/>
        <v>2</v>
      </c>
      <c r="Q188" s="4">
        <v>3000</v>
      </c>
      <c r="R188" s="3"/>
    </row>
    <row r="189" spans="1:18" x14ac:dyDescent="0.2">
      <c r="A189" s="2">
        <f t="shared" si="19"/>
        <v>186</v>
      </c>
      <c r="B189" s="3">
        <f t="shared" si="20"/>
        <v>187</v>
      </c>
      <c r="C189" s="4">
        <v>14600000</v>
      </c>
      <c r="D189" s="4">
        <f t="shared" si="21"/>
        <v>400000</v>
      </c>
      <c r="E189" s="4">
        <f t="shared" si="22"/>
        <v>391673700</v>
      </c>
      <c r="F189" s="3" t="str" cm="1">
        <f t="array" ref="F189">CostScreen($C189)</f>
        <v>14,6M</v>
      </c>
      <c r="N189" s="2">
        <f t="shared" si="23"/>
        <v>4</v>
      </c>
      <c r="O189" s="4">
        <f t="shared" si="24"/>
        <v>3</v>
      </c>
      <c r="P189" s="4">
        <f t="shared" si="25"/>
        <v>3</v>
      </c>
      <c r="Q189" s="4">
        <v>3000</v>
      </c>
      <c r="R189" s="3"/>
    </row>
    <row r="190" spans="1:18" x14ac:dyDescent="0.2">
      <c r="A190" s="2">
        <f t="shared" si="19"/>
        <v>187</v>
      </c>
      <c r="B190" s="3">
        <f t="shared" si="20"/>
        <v>188</v>
      </c>
      <c r="C190" s="4">
        <v>15100000</v>
      </c>
      <c r="D190" s="4">
        <f t="shared" si="21"/>
        <v>500000</v>
      </c>
      <c r="E190" s="4">
        <f t="shared" si="22"/>
        <v>406773700</v>
      </c>
      <c r="F190" s="3" t="str" cm="1">
        <f t="array" ref="F190">CostScreen($C190)</f>
        <v>15,1M</v>
      </c>
      <c r="N190" s="2">
        <f t="shared" si="23"/>
        <v>4</v>
      </c>
      <c r="O190" s="4">
        <f t="shared" si="24"/>
        <v>3</v>
      </c>
      <c r="P190" s="4">
        <f t="shared" si="25"/>
        <v>4</v>
      </c>
      <c r="Q190" s="4">
        <v>3000</v>
      </c>
      <c r="R190" s="3"/>
    </row>
    <row r="191" spans="1:18" x14ac:dyDescent="0.2">
      <c r="A191" s="2">
        <f t="shared" si="19"/>
        <v>188</v>
      </c>
      <c r="B191" s="3">
        <f t="shared" si="20"/>
        <v>189</v>
      </c>
      <c r="C191" s="4">
        <v>15600000</v>
      </c>
      <c r="D191" s="4">
        <f t="shared" si="21"/>
        <v>500000</v>
      </c>
      <c r="E191" s="4">
        <f t="shared" si="22"/>
        <v>422373700</v>
      </c>
      <c r="F191" s="3" t="str" cm="1">
        <f t="array" ref="F191">CostScreen($C191)</f>
        <v>15,6M</v>
      </c>
      <c r="N191" s="2">
        <f t="shared" si="23"/>
        <v>4</v>
      </c>
      <c r="O191" s="4">
        <f t="shared" si="24"/>
        <v>3</v>
      </c>
      <c r="P191" s="4">
        <f t="shared" si="25"/>
        <v>5</v>
      </c>
      <c r="Q191" s="4">
        <v>3000</v>
      </c>
      <c r="R191" s="3"/>
    </row>
    <row r="192" spans="1:18" x14ac:dyDescent="0.2">
      <c r="A192" s="2">
        <f t="shared" si="19"/>
        <v>189</v>
      </c>
      <c r="B192" s="3">
        <f t="shared" si="20"/>
        <v>190</v>
      </c>
      <c r="C192" s="4">
        <v>16000000</v>
      </c>
      <c r="D192" s="4">
        <f t="shared" si="21"/>
        <v>400000</v>
      </c>
      <c r="E192" s="4">
        <f t="shared" si="22"/>
        <v>438373700</v>
      </c>
      <c r="F192" s="3" t="str" cm="1">
        <f t="array" ref="F192">CostScreen($C192)</f>
        <v>16M</v>
      </c>
      <c r="N192" s="2">
        <f t="shared" si="23"/>
        <v>4</v>
      </c>
      <c r="O192" s="4">
        <f t="shared" si="24"/>
        <v>3</v>
      </c>
      <c r="P192" s="4">
        <f t="shared" si="25"/>
        <v>6</v>
      </c>
      <c r="Q192" s="4">
        <v>3000</v>
      </c>
      <c r="R192" s="3"/>
    </row>
    <row r="193" spans="1:18" x14ac:dyDescent="0.2">
      <c r="A193" s="2">
        <f t="shared" si="19"/>
        <v>190</v>
      </c>
      <c r="B193" s="3">
        <f t="shared" si="20"/>
        <v>191</v>
      </c>
      <c r="C193" s="4">
        <v>16500000</v>
      </c>
      <c r="D193" s="4">
        <f t="shared" si="21"/>
        <v>500000</v>
      </c>
      <c r="E193" s="4">
        <f t="shared" si="22"/>
        <v>454873700</v>
      </c>
      <c r="F193" s="3" t="str" cm="1">
        <f t="array" ref="F193">CostScreen($C193)</f>
        <v>16,5M</v>
      </c>
      <c r="N193" s="2">
        <f t="shared" si="23"/>
        <v>4</v>
      </c>
      <c r="O193" s="4">
        <f t="shared" si="24"/>
        <v>3</v>
      </c>
      <c r="P193" s="4">
        <f t="shared" si="25"/>
        <v>7</v>
      </c>
      <c r="Q193" s="4">
        <v>3000</v>
      </c>
      <c r="R193" s="3"/>
    </row>
    <row r="194" spans="1:18" x14ac:dyDescent="0.2">
      <c r="A194" s="2">
        <f t="shared" si="19"/>
        <v>191</v>
      </c>
      <c r="B194" s="3">
        <f t="shared" si="20"/>
        <v>192</v>
      </c>
      <c r="C194" s="4">
        <v>17100000</v>
      </c>
      <c r="D194" s="4">
        <f t="shared" si="21"/>
        <v>600000</v>
      </c>
      <c r="E194" s="4">
        <f t="shared" si="22"/>
        <v>471973700</v>
      </c>
      <c r="F194" s="3" t="str" cm="1">
        <f t="array" ref="F194">CostScreen($C194)</f>
        <v>17,1M</v>
      </c>
      <c r="N194" s="2">
        <f t="shared" si="23"/>
        <v>4</v>
      </c>
      <c r="O194" s="4">
        <f t="shared" si="24"/>
        <v>3</v>
      </c>
      <c r="P194" s="4">
        <f t="shared" si="25"/>
        <v>8</v>
      </c>
      <c r="Q194" s="4">
        <v>3000</v>
      </c>
      <c r="R194" s="3"/>
    </row>
    <row r="195" spans="1:18" x14ac:dyDescent="0.2">
      <c r="A195" s="2">
        <f t="shared" ref="A195:A258" si="26">B195-1</f>
        <v>192</v>
      </c>
      <c r="B195" s="3">
        <f t="shared" si="20"/>
        <v>193</v>
      </c>
      <c r="C195" s="4">
        <v>17600000</v>
      </c>
      <c r="D195" s="4">
        <f t="shared" si="21"/>
        <v>500000</v>
      </c>
      <c r="E195" s="4">
        <f t="shared" si="22"/>
        <v>489573700</v>
      </c>
      <c r="F195" s="3" t="str" cm="1">
        <f t="array" ref="F195">CostScreen($C195)</f>
        <v>17,6M</v>
      </c>
      <c r="N195" s="2">
        <f t="shared" si="23"/>
        <v>4</v>
      </c>
      <c r="O195" s="4">
        <f t="shared" si="24"/>
        <v>3</v>
      </c>
      <c r="P195" s="4">
        <f t="shared" si="25"/>
        <v>9</v>
      </c>
      <c r="Q195" s="4">
        <v>3000</v>
      </c>
      <c r="R195" s="3"/>
    </row>
    <row r="196" spans="1:18" x14ac:dyDescent="0.2">
      <c r="A196" s="2">
        <f t="shared" si="26"/>
        <v>193</v>
      </c>
      <c r="B196" s="3">
        <f t="shared" ref="B196:B259" si="27">ROW()-ROW($B$2)</f>
        <v>194</v>
      </c>
      <c r="C196" s="4">
        <v>18100000</v>
      </c>
      <c r="D196" s="4">
        <f t="shared" ref="D196:D259" si="28">IF(AND(C196&gt;0,ISNUMBER(C195)),C196-C195,"")</f>
        <v>500000</v>
      </c>
      <c r="E196" s="4">
        <f t="shared" ref="E196:E259" si="29">IF(ISNUMBER(E195),E195+C196,"")</f>
        <v>507673700</v>
      </c>
      <c r="F196" s="3" t="str" cm="1">
        <f t="array" ref="F196">CostScreen($C196)</f>
        <v>18,1M</v>
      </c>
      <c r="N196" s="2">
        <f t="shared" ref="N196:N226" si="30">IFERROR(N195+IF(AND(O195=CHOOSE(IF(N195=1,1,2),4,6),P195=10),1,0),1)</f>
        <v>4</v>
      </c>
      <c r="O196" s="4">
        <f t="shared" si="24"/>
        <v>3</v>
      </c>
      <c r="P196" s="4">
        <f t="shared" si="25"/>
        <v>10</v>
      </c>
      <c r="Q196" s="4">
        <v>3000</v>
      </c>
      <c r="R196" s="3"/>
    </row>
    <row r="197" spans="1:18" x14ac:dyDescent="0.2">
      <c r="A197" s="2">
        <f t="shared" si="26"/>
        <v>194</v>
      </c>
      <c r="B197" s="3">
        <f t="shared" si="27"/>
        <v>195</v>
      </c>
      <c r="C197" s="4">
        <v>18700000</v>
      </c>
      <c r="D197" s="4">
        <f t="shared" si="28"/>
        <v>600000</v>
      </c>
      <c r="E197" s="4">
        <f t="shared" si="29"/>
        <v>526373700</v>
      </c>
      <c r="F197" s="3" t="str" cm="1">
        <f t="array" ref="F197">CostScreen($C197)</f>
        <v>18,7M</v>
      </c>
      <c r="N197" s="2">
        <f t="shared" si="30"/>
        <v>4</v>
      </c>
      <c r="O197" s="4">
        <f t="shared" ref="O197:O226" si="31">IF(AND(O196=CHOOSE(IF(N196=1,1,2),4,6),P196=10),1,IF(P196=10,IF(O196=0,1,O196)+1,IF(O196=0,1,O196)))</f>
        <v>4</v>
      </c>
      <c r="P197" s="4">
        <f t="shared" ref="P197:P226" si="32">IFERROR(IF(P196=10,0,P196)+1,1)</f>
        <v>1</v>
      </c>
      <c r="Q197" s="4">
        <v>3800</v>
      </c>
      <c r="R197" s="3"/>
    </row>
    <row r="198" spans="1:18" x14ac:dyDescent="0.2">
      <c r="A198" s="2">
        <f t="shared" si="26"/>
        <v>195</v>
      </c>
      <c r="B198" s="3">
        <f t="shared" si="27"/>
        <v>196</v>
      </c>
      <c r="C198" s="4">
        <v>19200000</v>
      </c>
      <c r="D198" s="4">
        <f t="shared" si="28"/>
        <v>500000</v>
      </c>
      <c r="E198" s="4">
        <f t="shared" si="29"/>
        <v>545573700</v>
      </c>
      <c r="F198" s="3" t="str" cm="1">
        <f t="array" ref="F198">CostScreen($C198)</f>
        <v>19,2M</v>
      </c>
      <c r="N198" s="2">
        <f t="shared" si="30"/>
        <v>4</v>
      </c>
      <c r="O198" s="4">
        <f t="shared" si="31"/>
        <v>4</v>
      </c>
      <c r="P198" s="4">
        <f t="shared" si="32"/>
        <v>2</v>
      </c>
      <c r="Q198" s="4">
        <v>3800</v>
      </c>
      <c r="R198" s="3"/>
    </row>
    <row r="199" spans="1:18" x14ac:dyDescent="0.2">
      <c r="A199" s="2">
        <f t="shared" si="26"/>
        <v>196</v>
      </c>
      <c r="B199" s="3">
        <f t="shared" si="27"/>
        <v>197</v>
      </c>
      <c r="C199" s="4">
        <v>19800000</v>
      </c>
      <c r="D199" s="4">
        <f t="shared" si="28"/>
        <v>600000</v>
      </c>
      <c r="E199" s="4">
        <f t="shared" si="29"/>
        <v>565373700</v>
      </c>
      <c r="F199" s="3" t="str" cm="1">
        <f t="array" ref="F199">CostScreen($C199)</f>
        <v>19,8M</v>
      </c>
      <c r="N199" s="2">
        <f t="shared" si="30"/>
        <v>4</v>
      </c>
      <c r="O199" s="4">
        <f t="shared" si="31"/>
        <v>4</v>
      </c>
      <c r="P199" s="4">
        <f t="shared" si="32"/>
        <v>3</v>
      </c>
      <c r="Q199" s="4">
        <v>3800</v>
      </c>
      <c r="R199" s="3"/>
    </row>
    <row r="200" spans="1:18" x14ac:dyDescent="0.2">
      <c r="A200" s="2">
        <f t="shared" si="26"/>
        <v>197</v>
      </c>
      <c r="B200" s="3">
        <f t="shared" si="27"/>
        <v>198</v>
      </c>
      <c r="C200" s="4">
        <v>20400000</v>
      </c>
      <c r="D200" s="4">
        <f t="shared" si="28"/>
        <v>600000</v>
      </c>
      <c r="E200" s="4">
        <f t="shared" si="29"/>
        <v>585773700</v>
      </c>
      <c r="F200" s="3" t="str" cm="1">
        <f t="array" ref="F200">CostScreen($C200)</f>
        <v>20,4M</v>
      </c>
      <c r="N200" s="2">
        <f t="shared" si="30"/>
        <v>4</v>
      </c>
      <c r="O200" s="4">
        <f t="shared" si="31"/>
        <v>4</v>
      </c>
      <c r="P200" s="4">
        <f t="shared" si="32"/>
        <v>4</v>
      </c>
      <c r="Q200" s="4">
        <v>3800</v>
      </c>
      <c r="R200" s="3"/>
    </row>
    <row r="201" spans="1:18" x14ac:dyDescent="0.2">
      <c r="A201" s="2">
        <f t="shared" si="26"/>
        <v>198</v>
      </c>
      <c r="B201" s="3">
        <f t="shared" si="27"/>
        <v>199</v>
      </c>
      <c r="C201" s="4">
        <v>21000000</v>
      </c>
      <c r="D201" s="4">
        <f t="shared" si="28"/>
        <v>600000</v>
      </c>
      <c r="E201" s="4">
        <f t="shared" si="29"/>
        <v>606773700</v>
      </c>
      <c r="F201" s="3" t="str" cm="1">
        <f t="array" ref="F201">CostScreen($C201)</f>
        <v>21M</v>
      </c>
      <c r="N201" s="2">
        <f t="shared" si="30"/>
        <v>4</v>
      </c>
      <c r="O201" s="4">
        <f t="shared" si="31"/>
        <v>4</v>
      </c>
      <c r="P201" s="4">
        <f t="shared" si="32"/>
        <v>5</v>
      </c>
      <c r="Q201" s="4">
        <v>3800</v>
      </c>
      <c r="R201" s="3"/>
    </row>
    <row r="202" spans="1:18" x14ac:dyDescent="0.2">
      <c r="A202" s="2">
        <f t="shared" si="26"/>
        <v>199</v>
      </c>
      <c r="B202" s="3">
        <f t="shared" si="27"/>
        <v>200</v>
      </c>
      <c r="C202" s="4">
        <v>21600000</v>
      </c>
      <c r="D202" s="4">
        <f t="shared" si="28"/>
        <v>600000</v>
      </c>
      <c r="E202" s="4">
        <f t="shared" si="29"/>
        <v>628373700</v>
      </c>
      <c r="F202" s="3" t="str" cm="1">
        <f t="array" ref="F202">CostScreen($C202)</f>
        <v>21,6M</v>
      </c>
      <c r="N202" s="2">
        <f t="shared" si="30"/>
        <v>4</v>
      </c>
      <c r="O202" s="4">
        <f t="shared" si="31"/>
        <v>4</v>
      </c>
      <c r="P202" s="4">
        <f t="shared" si="32"/>
        <v>6</v>
      </c>
      <c r="Q202" s="4">
        <v>3800</v>
      </c>
      <c r="R202" s="3"/>
    </row>
    <row r="203" spans="1:18" x14ac:dyDescent="0.2">
      <c r="A203" s="2">
        <f t="shared" si="26"/>
        <v>200</v>
      </c>
      <c r="B203" s="3">
        <f t="shared" si="27"/>
        <v>201</v>
      </c>
      <c r="C203" s="4">
        <v>22300000</v>
      </c>
      <c r="D203" s="4">
        <f t="shared" si="28"/>
        <v>700000</v>
      </c>
      <c r="E203" s="4">
        <f t="shared" si="29"/>
        <v>650673700</v>
      </c>
      <c r="F203" s="3" t="str" cm="1">
        <f t="array" ref="F203">CostScreen($C203)</f>
        <v>22,3M</v>
      </c>
      <c r="N203" s="2">
        <f t="shared" si="30"/>
        <v>4</v>
      </c>
      <c r="O203" s="4">
        <f t="shared" si="31"/>
        <v>4</v>
      </c>
      <c r="P203" s="4">
        <f t="shared" si="32"/>
        <v>7</v>
      </c>
      <c r="Q203" s="4">
        <v>3800</v>
      </c>
      <c r="R203" s="3"/>
    </row>
    <row r="204" spans="1:18" x14ac:dyDescent="0.2">
      <c r="A204" s="2">
        <f t="shared" si="26"/>
        <v>201</v>
      </c>
      <c r="B204" s="3">
        <f t="shared" si="27"/>
        <v>202</v>
      </c>
      <c r="C204" s="4">
        <v>22900000</v>
      </c>
      <c r="D204" s="4">
        <f t="shared" si="28"/>
        <v>600000</v>
      </c>
      <c r="E204" s="4">
        <f t="shared" si="29"/>
        <v>673573700</v>
      </c>
      <c r="F204" s="3" t="str" cm="1">
        <f t="array" ref="F204">CostScreen($C204)</f>
        <v>22,9M</v>
      </c>
      <c r="N204" s="2">
        <f t="shared" si="30"/>
        <v>4</v>
      </c>
      <c r="O204" s="4">
        <f t="shared" si="31"/>
        <v>4</v>
      </c>
      <c r="P204" s="4">
        <f t="shared" si="32"/>
        <v>8</v>
      </c>
      <c r="Q204" s="4">
        <v>3800</v>
      </c>
      <c r="R204" s="3"/>
    </row>
    <row r="205" spans="1:18" x14ac:dyDescent="0.2">
      <c r="A205" s="2">
        <f t="shared" si="26"/>
        <v>202</v>
      </c>
      <c r="B205" s="3">
        <f t="shared" si="27"/>
        <v>203</v>
      </c>
      <c r="C205" s="4">
        <v>23600000</v>
      </c>
      <c r="D205" s="4">
        <f t="shared" si="28"/>
        <v>700000</v>
      </c>
      <c r="E205" s="4">
        <f t="shared" si="29"/>
        <v>697173700</v>
      </c>
      <c r="F205" s="3" t="str" cm="1">
        <f t="array" ref="F205">CostScreen($C205)</f>
        <v>23,6M</v>
      </c>
      <c r="N205" s="2">
        <f t="shared" si="30"/>
        <v>4</v>
      </c>
      <c r="O205" s="4">
        <f t="shared" si="31"/>
        <v>4</v>
      </c>
      <c r="P205" s="4">
        <f t="shared" si="32"/>
        <v>9</v>
      </c>
      <c r="Q205" s="4">
        <v>3800</v>
      </c>
      <c r="R205" s="3"/>
    </row>
    <row r="206" spans="1:18" x14ac:dyDescent="0.2">
      <c r="A206" s="2">
        <f t="shared" si="26"/>
        <v>203</v>
      </c>
      <c r="B206" s="3">
        <f t="shared" si="27"/>
        <v>204</v>
      </c>
      <c r="C206" s="4">
        <v>24300000</v>
      </c>
      <c r="D206" s="4">
        <f t="shared" si="28"/>
        <v>700000</v>
      </c>
      <c r="E206" s="4">
        <f t="shared" si="29"/>
        <v>721473700</v>
      </c>
      <c r="F206" s="3" t="str" cm="1">
        <f t="array" ref="F206">CostScreen($C206)</f>
        <v>24,3M</v>
      </c>
      <c r="N206" s="2">
        <f t="shared" si="30"/>
        <v>4</v>
      </c>
      <c r="O206" s="4">
        <f t="shared" si="31"/>
        <v>4</v>
      </c>
      <c r="P206" s="4">
        <f t="shared" si="32"/>
        <v>10</v>
      </c>
      <c r="Q206" s="4">
        <v>3800</v>
      </c>
      <c r="R206" s="3"/>
    </row>
    <row r="207" spans="1:18" x14ac:dyDescent="0.2">
      <c r="A207" s="2">
        <f t="shared" si="26"/>
        <v>204</v>
      </c>
      <c r="B207" s="3">
        <f t="shared" si="27"/>
        <v>205</v>
      </c>
      <c r="C207" s="4">
        <v>25000000</v>
      </c>
      <c r="D207" s="4">
        <f t="shared" si="28"/>
        <v>700000</v>
      </c>
      <c r="E207" s="4">
        <f t="shared" si="29"/>
        <v>746473700</v>
      </c>
      <c r="F207" s="3" t="str" cm="1">
        <f t="array" ref="F207">CostScreen($C207)</f>
        <v>25M</v>
      </c>
      <c r="N207" s="2">
        <f t="shared" si="30"/>
        <v>4</v>
      </c>
      <c r="O207" s="4">
        <f t="shared" si="31"/>
        <v>5</v>
      </c>
      <c r="P207" s="4">
        <f t="shared" si="32"/>
        <v>1</v>
      </c>
      <c r="Q207" s="4">
        <v>4600</v>
      </c>
      <c r="R207" s="3"/>
    </row>
    <row r="208" spans="1:18" x14ac:dyDescent="0.2">
      <c r="A208" s="2">
        <f t="shared" si="26"/>
        <v>205</v>
      </c>
      <c r="B208" s="3">
        <f t="shared" si="27"/>
        <v>206</v>
      </c>
      <c r="C208" s="4">
        <v>25700000</v>
      </c>
      <c r="D208" s="4">
        <f t="shared" si="28"/>
        <v>700000</v>
      </c>
      <c r="E208" s="4">
        <f t="shared" si="29"/>
        <v>772173700</v>
      </c>
      <c r="F208" s="3" t="str" cm="1">
        <f t="array" ref="F208">CostScreen($C208)</f>
        <v>25,7M</v>
      </c>
      <c r="N208" s="2">
        <f t="shared" si="30"/>
        <v>4</v>
      </c>
      <c r="O208" s="4">
        <f t="shared" si="31"/>
        <v>5</v>
      </c>
      <c r="P208" s="4">
        <f t="shared" si="32"/>
        <v>2</v>
      </c>
      <c r="Q208" s="4">
        <v>4600</v>
      </c>
      <c r="R208" s="3"/>
    </row>
    <row r="209" spans="1:18" x14ac:dyDescent="0.2">
      <c r="A209" s="2">
        <f t="shared" si="26"/>
        <v>206</v>
      </c>
      <c r="B209" s="3">
        <f t="shared" si="27"/>
        <v>207</v>
      </c>
      <c r="C209" s="4">
        <v>26500000</v>
      </c>
      <c r="D209" s="4">
        <f t="shared" si="28"/>
        <v>800000</v>
      </c>
      <c r="E209" s="4">
        <f t="shared" si="29"/>
        <v>798673700</v>
      </c>
      <c r="F209" s="3" t="str" cm="1">
        <f t="array" ref="F209">CostScreen($C209)</f>
        <v>26,5M</v>
      </c>
      <c r="N209" s="2">
        <f t="shared" si="30"/>
        <v>4</v>
      </c>
      <c r="O209" s="4">
        <f t="shared" si="31"/>
        <v>5</v>
      </c>
      <c r="P209" s="4">
        <f t="shared" si="32"/>
        <v>3</v>
      </c>
      <c r="Q209" s="4">
        <v>4600</v>
      </c>
      <c r="R209" s="3"/>
    </row>
    <row r="210" spans="1:18" x14ac:dyDescent="0.2">
      <c r="A210" s="2">
        <f t="shared" si="26"/>
        <v>207</v>
      </c>
      <c r="B210" s="3">
        <f t="shared" si="27"/>
        <v>208</v>
      </c>
      <c r="C210" s="4">
        <v>27200000</v>
      </c>
      <c r="D210" s="4">
        <f t="shared" si="28"/>
        <v>700000</v>
      </c>
      <c r="E210" s="4">
        <f t="shared" si="29"/>
        <v>825873700</v>
      </c>
      <c r="F210" s="3" t="str" cm="1">
        <f t="array" ref="F210">CostScreen($C210)</f>
        <v>27,2M</v>
      </c>
      <c r="N210" s="2">
        <f t="shared" si="30"/>
        <v>4</v>
      </c>
      <c r="O210" s="4">
        <f t="shared" si="31"/>
        <v>5</v>
      </c>
      <c r="P210" s="4">
        <f t="shared" si="32"/>
        <v>4</v>
      </c>
      <c r="Q210" s="4">
        <v>4600</v>
      </c>
      <c r="R210" s="3"/>
    </row>
    <row r="211" spans="1:18" x14ac:dyDescent="0.2">
      <c r="A211" s="2">
        <f t="shared" si="26"/>
        <v>208</v>
      </c>
      <c r="B211" s="3">
        <f t="shared" si="27"/>
        <v>209</v>
      </c>
      <c r="C211" s="4">
        <v>28000000</v>
      </c>
      <c r="D211" s="4">
        <f t="shared" si="28"/>
        <v>800000</v>
      </c>
      <c r="E211" s="4">
        <f t="shared" si="29"/>
        <v>853873700</v>
      </c>
      <c r="F211" s="3" t="str" cm="1">
        <f t="array" ref="F211">CostScreen($C211)</f>
        <v>28M</v>
      </c>
      <c r="N211" s="2">
        <f t="shared" si="30"/>
        <v>4</v>
      </c>
      <c r="O211" s="4">
        <f t="shared" si="31"/>
        <v>5</v>
      </c>
      <c r="P211" s="4">
        <f t="shared" si="32"/>
        <v>5</v>
      </c>
      <c r="Q211" s="4">
        <v>4600</v>
      </c>
      <c r="R211" s="3"/>
    </row>
    <row r="212" spans="1:18" x14ac:dyDescent="0.2">
      <c r="A212" s="2">
        <f t="shared" si="26"/>
        <v>209</v>
      </c>
      <c r="B212" s="3">
        <f t="shared" si="27"/>
        <v>210</v>
      </c>
      <c r="C212" s="4">
        <v>28800000</v>
      </c>
      <c r="D212" s="4">
        <f t="shared" si="28"/>
        <v>800000</v>
      </c>
      <c r="E212" s="4">
        <f t="shared" si="29"/>
        <v>882673700</v>
      </c>
      <c r="F212" s="3" t="str" cm="1">
        <f t="array" ref="F212">CostScreen($C212)</f>
        <v>28,8M</v>
      </c>
      <c r="N212" s="2">
        <f t="shared" si="30"/>
        <v>4</v>
      </c>
      <c r="O212" s="4">
        <f t="shared" si="31"/>
        <v>5</v>
      </c>
      <c r="P212" s="4">
        <f t="shared" si="32"/>
        <v>6</v>
      </c>
      <c r="Q212" s="4">
        <v>4600</v>
      </c>
      <c r="R212" s="3"/>
    </row>
    <row r="213" spans="1:18" x14ac:dyDescent="0.2">
      <c r="A213" s="2">
        <f t="shared" si="26"/>
        <v>210</v>
      </c>
      <c r="B213" s="3">
        <f t="shared" si="27"/>
        <v>211</v>
      </c>
      <c r="C213" s="4">
        <v>29600000</v>
      </c>
      <c r="D213" s="4">
        <f t="shared" si="28"/>
        <v>800000</v>
      </c>
      <c r="E213" s="4">
        <f t="shared" si="29"/>
        <v>912273700</v>
      </c>
      <c r="F213" s="3" t="str" cm="1">
        <f t="array" ref="F213">CostScreen($C213)</f>
        <v>29,6M</v>
      </c>
      <c r="N213" s="2">
        <f t="shared" si="30"/>
        <v>4</v>
      </c>
      <c r="O213" s="4">
        <f t="shared" si="31"/>
        <v>5</v>
      </c>
      <c r="P213" s="4">
        <f t="shared" si="32"/>
        <v>7</v>
      </c>
      <c r="Q213" s="4">
        <v>4600</v>
      </c>
      <c r="R213" s="3"/>
    </row>
    <row r="214" spans="1:18" x14ac:dyDescent="0.2">
      <c r="A214" s="2">
        <f t="shared" si="26"/>
        <v>211</v>
      </c>
      <c r="B214" s="3">
        <f t="shared" si="27"/>
        <v>212</v>
      </c>
      <c r="C214" s="4">
        <v>30400000</v>
      </c>
      <c r="D214" s="4">
        <f t="shared" si="28"/>
        <v>800000</v>
      </c>
      <c r="E214" s="4">
        <f t="shared" si="29"/>
        <v>942673700</v>
      </c>
      <c r="F214" s="3" t="str" cm="1">
        <f t="array" ref="F214">CostScreen($C214)</f>
        <v>30,4M</v>
      </c>
      <c r="N214" s="2">
        <f t="shared" si="30"/>
        <v>4</v>
      </c>
      <c r="O214" s="4">
        <f t="shared" si="31"/>
        <v>5</v>
      </c>
      <c r="P214" s="4">
        <f t="shared" si="32"/>
        <v>8</v>
      </c>
      <c r="Q214" s="4">
        <v>4600</v>
      </c>
      <c r="R214" s="3"/>
    </row>
    <row r="215" spans="1:18" x14ac:dyDescent="0.2">
      <c r="A215" s="2">
        <f t="shared" si="26"/>
        <v>212</v>
      </c>
      <c r="B215" s="3">
        <f t="shared" si="27"/>
        <v>213</v>
      </c>
      <c r="C215" s="4">
        <v>31200000</v>
      </c>
      <c r="D215" s="4">
        <f t="shared" si="28"/>
        <v>800000</v>
      </c>
      <c r="E215" s="4">
        <f t="shared" si="29"/>
        <v>973873700</v>
      </c>
      <c r="F215" s="3" t="str" cm="1">
        <f t="array" ref="F215">CostScreen($C215)</f>
        <v>31,2M</v>
      </c>
      <c r="N215" s="2">
        <f t="shared" si="30"/>
        <v>4</v>
      </c>
      <c r="O215" s="4">
        <f t="shared" si="31"/>
        <v>5</v>
      </c>
      <c r="P215" s="4">
        <f t="shared" si="32"/>
        <v>9</v>
      </c>
      <c r="Q215" s="4">
        <v>4600</v>
      </c>
      <c r="R215" s="3"/>
    </row>
    <row r="216" spans="1:18" x14ac:dyDescent="0.2">
      <c r="A216" s="2">
        <f t="shared" si="26"/>
        <v>213</v>
      </c>
      <c r="B216" s="3">
        <f t="shared" si="27"/>
        <v>214</v>
      </c>
      <c r="C216" s="4">
        <v>32100000</v>
      </c>
      <c r="D216" s="4">
        <f t="shared" si="28"/>
        <v>900000</v>
      </c>
      <c r="E216" s="4">
        <f t="shared" si="29"/>
        <v>1005973700</v>
      </c>
      <c r="F216" s="3" t="str" cm="1">
        <f t="array" ref="F216">CostScreen($C216)</f>
        <v>32,1M</v>
      </c>
      <c r="N216" s="2">
        <f t="shared" si="30"/>
        <v>4</v>
      </c>
      <c r="O216" s="4">
        <f t="shared" si="31"/>
        <v>5</v>
      </c>
      <c r="P216" s="4">
        <f t="shared" si="32"/>
        <v>10</v>
      </c>
      <c r="Q216" s="4">
        <v>4600</v>
      </c>
      <c r="R216" s="3"/>
    </row>
    <row r="217" spans="1:18" x14ac:dyDescent="0.2">
      <c r="A217" s="2">
        <f t="shared" si="26"/>
        <v>214</v>
      </c>
      <c r="B217" s="3">
        <f t="shared" si="27"/>
        <v>215</v>
      </c>
      <c r="C217" s="4">
        <v>33000000</v>
      </c>
      <c r="D217" s="4">
        <f t="shared" si="28"/>
        <v>900000</v>
      </c>
      <c r="E217" s="4">
        <f t="shared" si="29"/>
        <v>1038973700</v>
      </c>
      <c r="F217" s="3" t="str" cm="1">
        <f t="array" ref="F217">CostScreen($C217)</f>
        <v>33M</v>
      </c>
      <c r="N217" s="2">
        <f t="shared" si="30"/>
        <v>4</v>
      </c>
      <c r="O217" s="4">
        <f t="shared" si="31"/>
        <v>6</v>
      </c>
      <c r="P217" s="4">
        <f t="shared" si="32"/>
        <v>1</v>
      </c>
      <c r="Q217" s="4">
        <v>5800</v>
      </c>
      <c r="R217" s="3"/>
    </row>
    <row r="218" spans="1:18" x14ac:dyDescent="0.2">
      <c r="A218" s="2">
        <f t="shared" si="26"/>
        <v>215</v>
      </c>
      <c r="B218" s="3">
        <f t="shared" si="27"/>
        <v>216</v>
      </c>
      <c r="C218" s="4">
        <v>33900000</v>
      </c>
      <c r="D218" s="4">
        <f t="shared" si="28"/>
        <v>900000</v>
      </c>
      <c r="E218" s="4">
        <f t="shared" si="29"/>
        <v>1072873700</v>
      </c>
      <c r="F218" s="3" t="str" cm="1">
        <f t="array" ref="F218">CostScreen($C218)</f>
        <v>33,9M</v>
      </c>
      <c r="N218" s="2">
        <f t="shared" si="30"/>
        <v>4</v>
      </c>
      <c r="O218" s="4">
        <f t="shared" si="31"/>
        <v>6</v>
      </c>
      <c r="P218" s="4">
        <f t="shared" si="32"/>
        <v>2</v>
      </c>
      <c r="Q218" s="4">
        <v>5800</v>
      </c>
      <c r="R218" s="3"/>
    </row>
    <row r="219" spans="1:18" x14ac:dyDescent="0.2">
      <c r="A219" s="2">
        <f t="shared" si="26"/>
        <v>216</v>
      </c>
      <c r="B219" s="3">
        <f t="shared" si="27"/>
        <v>217</v>
      </c>
      <c r="C219" s="4">
        <v>34800000</v>
      </c>
      <c r="D219" s="4">
        <f t="shared" si="28"/>
        <v>900000</v>
      </c>
      <c r="E219" s="4">
        <f t="shared" si="29"/>
        <v>1107673700</v>
      </c>
      <c r="F219" s="3" t="str" cm="1">
        <f t="array" ref="F219">CostScreen($C219)</f>
        <v>34,8M</v>
      </c>
      <c r="N219" s="2">
        <f t="shared" si="30"/>
        <v>4</v>
      </c>
      <c r="O219" s="4">
        <f t="shared" si="31"/>
        <v>6</v>
      </c>
      <c r="P219" s="4">
        <f t="shared" si="32"/>
        <v>3</v>
      </c>
      <c r="Q219" s="4">
        <v>5800</v>
      </c>
      <c r="R219" s="3"/>
    </row>
    <row r="220" spans="1:18" x14ac:dyDescent="0.2">
      <c r="A220" s="2">
        <f t="shared" si="26"/>
        <v>217</v>
      </c>
      <c r="B220" s="3">
        <f t="shared" si="27"/>
        <v>218</v>
      </c>
      <c r="C220" s="4">
        <v>35800000</v>
      </c>
      <c r="D220" s="4">
        <f t="shared" si="28"/>
        <v>1000000</v>
      </c>
      <c r="E220" s="4">
        <f t="shared" si="29"/>
        <v>1143473700</v>
      </c>
      <c r="F220" s="3" t="str" cm="1">
        <f t="array" ref="F220">CostScreen($C220)</f>
        <v>35,8M</v>
      </c>
      <c r="N220" s="2">
        <f t="shared" si="30"/>
        <v>4</v>
      </c>
      <c r="O220" s="4">
        <f t="shared" si="31"/>
        <v>6</v>
      </c>
      <c r="P220" s="4">
        <f t="shared" si="32"/>
        <v>4</v>
      </c>
      <c r="Q220" s="4">
        <v>5800</v>
      </c>
      <c r="R220" s="3"/>
    </row>
    <row r="221" spans="1:18" x14ac:dyDescent="0.2">
      <c r="A221" s="2">
        <f t="shared" si="26"/>
        <v>218</v>
      </c>
      <c r="B221" s="3">
        <f t="shared" si="27"/>
        <v>219</v>
      </c>
      <c r="C221" s="4">
        <v>36700000</v>
      </c>
      <c r="D221" s="4">
        <f t="shared" si="28"/>
        <v>900000</v>
      </c>
      <c r="E221" s="4">
        <f t="shared" si="29"/>
        <v>1180173700</v>
      </c>
      <c r="F221" s="3" t="str" cm="1">
        <f t="array" ref="F221">CostScreen($C221)</f>
        <v>36,7M</v>
      </c>
      <c r="N221" s="2">
        <f t="shared" si="30"/>
        <v>4</v>
      </c>
      <c r="O221" s="4">
        <f t="shared" si="31"/>
        <v>6</v>
      </c>
      <c r="P221" s="4">
        <f t="shared" si="32"/>
        <v>5</v>
      </c>
      <c r="Q221" s="4">
        <v>5800</v>
      </c>
      <c r="R221" s="3"/>
    </row>
    <row r="222" spans="1:18" x14ac:dyDescent="0.2">
      <c r="A222" s="2">
        <f t="shared" si="26"/>
        <v>219</v>
      </c>
      <c r="B222" s="3">
        <f t="shared" si="27"/>
        <v>220</v>
      </c>
      <c r="C222" s="4">
        <v>37700000</v>
      </c>
      <c r="D222" s="4">
        <f t="shared" si="28"/>
        <v>1000000</v>
      </c>
      <c r="E222" s="4">
        <f t="shared" si="29"/>
        <v>1217873700</v>
      </c>
      <c r="F222" s="3" t="str" cm="1">
        <f t="array" ref="F222">CostScreen($C222)</f>
        <v>37,7M</v>
      </c>
      <c r="N222" s="2">
        <f t="shared" si="30"/>
        <v>4</v>
      </c>
      <c r="O222" s="4">
        <f t="shared" si="31"/>
        <v>6</v>
      </c>
      <c r="P222" s="4">
        <f t="shared" si="32"/>
        <v>6</v>
      </c>
      <c r="Q222" s="4">
        <v>5800</v>
      </c>
      <c r="R222" s="3"/>
    </row>
    <row r="223" spans="1:18" x14ac:dyDescent="0.2">
      <c r="A223" s="2">
        <f t="shared" si="26"/>
        <v>220</v>
      </c>
      <c r="B223" s="3">
        <f t="shared" si="27"/>
        <v>221</v>
      </c>
      <c r="C223" s="4">
        <v>38700000</v>
      </c>
      <c r="D223" s="4">
        <f t="shared" si="28"/>
        <v>1000000</v>
      </c>
      <c r="E223" s="4">
        <f t="shared" si="29"/>
        <v>1256573700</v>
      </c>
      <c r="F223" s="3" t="str" cm="1">
        <f t="array" ref="F223">CostScreen($C223)</f>
        <v>38,7M</v>
      </c>
      <c r="N223" s="2">
        <f t="shared" si="30"/>
        <v>4</v>
      </c>
      <c r="O223" s="4">
        <f t="shared" si="31"/>
        <v>6</v>
      </c>
      <c r="P223" s="4">
        <f t="shared" si="32"/>
        <v>7</v>
      </c>
      <c r="Q223" s="4">
        <v>5800</v>
      </c>
      <c r="R223" s="3"/>
    </row>
    <row r="224" spans="1:18" x14ac:dyDescent="0.2">
      <c r="A224" s="2">
        <f t="shared" si="26"/>
        <v>221</v>
      </c>
      <c r="B224" s="3">
        <f t="shared" si="27"/>
        <v>222</v>
      </c>
      <c r="C224" s="4">
        <v>39700000</v>
      </c>
      <c r="D224" s="4">
        <f t="shared" si="28"/>
        <v>1000000</v>
      </c>
      <c r="E224" s="4">
        <f t="shared" si="29"/>
        <v>1296273700</v>
      </c>
      <c r="F224" s="3" t="str" cm="1">
        <f t="array" ref="F224">CostScreen($C224)</f>
        <v>39,7M</v>
      </c>
      <c r="N224" s="2">
        <f t="shared" si="30"/>
        <v>4</v>
      </c>
      <c r="O224" s="4">
        <f t="shared" si="31"/>
        <v>6</v>
      </c>
      <c r="P224" s="4">
        <f t="shared" si="32"/>
        <v>8</v>
      </c>
      <c r="Q224" s="4">
        <v>5800</v>
      </c>
      <c r="R224" s="3"/>
    </row>
    <row r="225" spans="1:18" x14ac:dyDescent="0.2">
      <c r="A225" s="2">
        <f t="shared" si="26"/>
        <v>222</v>
      </c>
      <c r="B225" s="3">
        <f t="shared" si="27"/>
        <v>223</v>
      </c>
      <c r="C225" s="4">
        <v>40800000</v>
      </c>
      <c r="D225" s="4">
        <f t="shared" si="28"/>
        <v>1100000</v>
      </c>
      <c r="E225" s="4">
        <f t="shared" si="29"/>
        <v>1337073700</v>
      </c>
      <c r="F225" s="3" t="str" cm="1">
        <f t="array" ref="F225">CostScreen($C225)</f>
        <v>40,8M</v>
      </c>
      <c r="N225" s="2">
        <f t="shared" si="30"/>
        <v>4</v>
      </c>
      <c r="O225" s="4">
        <f t="shared" si="31"/>
        <v>6</v>
      </c>
      <c r="P225" s="4">
        <f t="shared" si="32"/>
        <v>9</v>
      </c>
      <c r="Q225" s="4">
        <v>5800</v>
      </c>
      <c r="R225" s="3"/>
    </row>
    <row r="226" spans="1:18" x14ac:dyDescent="0.2">
      <c r="A226" s="2">
        <f t="shared" si="26"/>
        <v>223</v>
      </c>
      <c r="B226" s="3">
        <f t="shared" si="27"/>
        <v>224</v>
      </c>
      <c r="C226" s="4">
        <v>41800000</v>
      </c>
      <c r="D226" s="4">
        <f t="shared" si="28"/>
        <v>1000000</v>
      </c>
      <c r="E226" s="4">
        <f t="shared" si="29"/>
        <v>1378873700</v>
      </c>
      <c r="F226" s="3" t="str" cm="1">
        <f t="array" ref="F226">CostScreen($C226)</f>
        <v>41,8M</v>
      </c>
      <c r="N226" s="2">
        <f t="shared" si="30"/>
        <v>4</v>
      </c>
      <c r="O226" s="4">
        <f t="shared" si="31"/>
        <v>6</v>
      </c>
      <c r="P226" s="4">
        <f t="shared" si="32"/>
        <v>10</v>
      </c>
      <c r="Q226" s="4">
        <v>5800</v>
      </c>
      <c r="R226" s="3"/>
    </row>
    <row r="227" spans="1:18" x14ac:dyDescent="0.2">
      <c r="A227" s="2">
        <f t="shared" si="26"/>
        <v>224</v>
      </c>
      <c r="B227" s="3">
        <f t="shared" si="27"/>
        <v>225</v>
      </c>
      <c r="C227" s="4">
        <v>42900000</v>
      </c>
      <c r="D227" s="4">
        <f t="shared" si="28"/>
        <v>1100000</v>
      </c>
      <c r="E227" s="4">
        <f t="shared" si="29"/>
        <v>1421773700</v>
      </c>
      <c r="F227" s="3" t="str" cm="1">
        <f t="array" ref="F227">CostScreen($C227)</f>
        <v>42,9M</v>
      </c>
    </row>
    <row r="228" spans="1:18" x14ac:dyDescent="0.2">
      <c r="A228" s="2">
        <f t="shared" si="26"/>
        <v>225</v>
      </c>
      <c r="B228" s="3">
        <f t="shared" si="27"/>
        <v>226</v>
      </c>
      <c r="C228" s="4">
        <v>44000000</v>
      </c>
      <c r="D228" s="4">
        <f t="shared" si="28"/>
        <v>1100000</v>
      </c>
      <c r="E228" s="4">
        <f t="shared" si="29"/>
        <v>1465773700</v>
      </c>
      <c r="F228" s="3" t="str" cm="1">
        <f t="array" ref="F228">CostScreen($C228)</f>
        <v>44M</v>
      </c>
    </row>
    <row r="229" spans="1:18" x14ac:dyDescent="0.2">
      <c r="A229" s="2">
        <f t="shared" si="26"/>
        <v>226</v>
      </c>
      <c r="B229" s="3">
        <f t="shared" si="27"/>
        <v>227</v>
      </c>
      <c r="C229" s="4">
        <v>45200000</v>
      </c>
      <c r="D229" s="4">
        <f t="shared" si="28"/>
        <v>1200000</v>
      </c>
      <c r="E229" s="4">
        <f t="shared" si="29"/>
        <v>1510973700</v>
      </c>
      <c r="F229" s="3" t="str" cm="1">
        <f t="array" ref="F229">CostScreen($C229)</f>
        <v>45,2M</v>
      </c>
    </row>
    <row r="230" spans="1:18" x14ac:dyDescent="0.2">
      <c r="A230" s="2">
        <f t="shared" si="26"/>
        <v>227</v>
      </c>
      <c r="B230" s="3">
        <f t="shared" si="27"/>
        <v>228</v>
      </c>
      <c r="C230" s="4">
        <v>46300000</v>
      </c>
      <c r="D230" s="4">
        <f t="shared" si="28"/>
        <v>1100000</v>
      </c>
      <c r="E230" s="4">
        <f t="shared" si="29"/>
        <v>1557273700</v>
      </c>
      <c r="F230" s="3" t="str" cm="1">
        <f t="array" ref="F230">CostScreen($C230)</f>
        <v>46,3M</v>
      </c>
    </row>
    <row r="231" spans="1:18" x14ac:dyDescent="0.2">
      <c r="A231" s="2">
        <f t="shared" si="26"/>
        <v>228</v>
      </c>
      <c r="B231" s="3">
        <f t="shared" si="27"/>
        <v>229</v>
      </c>
      <c r="C231" s="4">
        <v>47500000</v>
      </c>
      <c r="D231" s="4">
        <f t="shared" si="28"/>
        <v>1200000</v>
      </c>
      <c r="E231" s="4">
        <f t="shared" si="29"/>
        <v>1604773700</v>
      </c>
      <c r="F231" s="3" t="str" cm="1">
        <f t="array" ref="F231">CostScreen($C231)</f>
        <v>47,5M</v>
      </c>
    </row>
    <row r="232" spans="1:18" x14ac:dyDescent="0.2">
      <c r="A232" s="2">
        <f t="shared" si="26"/>
        <v>229</v>
      </c>
      <c r="B232" s="3">
        <f t="shared" si="27"/>
        <v>230</v>
      </c>
      <c r="C232" s="4">
        <v>48700000</v>
      </c>
      <c r="D232" s="4">
        <f t="shared" si="28"/>
        <v>1200000</v>
      </c>
      <c r="E232" s="4">
        <f t="shared" si="29"/>
        <v>1653473700</v>
      </c>
      <c r="F232" s="3" t="str" cm="1">
        <f t="array" ref="F232">CostScreen($C232)</f>
        <v>48,7M</v>
      </c>
    </row>
    <row r="233" spans="1:18" x14ac:dyDescent="0.2">
      <c r="A233" s="2">
        <f t="shared" si="26"/>
        <v>230</v>
      </c>
      <c r="B233" s="3">
        <f t="shared" si="27"/>
        <v>231</v>
      </c>
      <c r="C233" s="4">
        <v>50000000</v>
      </c>
      <c r="D233" s="4">
        <f t="shared" si="28"/>
        <v>1300000</v>
      </c>
      <c r="E233" s="4">
        <f t="shared" si="29"/>
        <v>1703473700</v>
      </c>
      <c r="F233" s="3" t="str" cm="1">
        <f t="array" ref="F233">CostScreen($C233)</f>
        <v>50M</v>
      </c>
    </row>
    <row r="234" spans="1:18" x14ac:dyDescent="0.2">
      <c r="A234" s="2">
        <f t="shared" si="26"/>
        <v>231</v>
      </c>
      <c r="B234" s="3">
        <f t="shared" si="27"/>
        <v>232</v>
      </c>
      <c r="C234" s="4">
        <v>51200000</v>
      </c>
      <c r="D234" s="4">
        <f t="shared" si="28"/>
        <v>1200000</v>
      </c>
      <c r="E234" s="4">
        <f t="shared" si="29"/>
        <v>1754673700</v>
      </c>
      <c r="F234" s="3" t="str" cm="1">
        <f t="array" ref="F234">CostScreen($C234)</f>
        <v>51,2M</v>
      </c>
    </row>
    <row r="235" spans="1:18" x14ac:dyDescent="0.2">
      <c r="A235" s="2">
        <f t="shared" si="26"/>
        <v>232</v>
      </c>
      <c r="B235" s="3">
        <f t="shared" si="27"/>
        <v>233</v>
      </c>
      <c r="C235" s="4">
        <v>52500000</v>
      </c>
      <c r="D235" s="4">
        <f t="shared" si="28"/>
        <v>1300000</v>
      </c>
      <c r="E235" s="4">
        <f t="shared" si="29"/>
        <v>1807173700</v>
      </c>
      <c r="F235" s="3" t="str" cm="1">
        <f t="array" ref="F235">CostScreen($C235)</f>
        <v>52,5M</v>
      </c>
    </row>
    <row r="236" spans="1:18" x14ac:dyDescent="0.2">
      <c r="A236" s="2">
        <f t="shared" si="26"/>
        <v>233</v>
      </c>
      <c r="B236" s="3">
        <f t="shared" si="27"/>
        <v>234</v>
      </c>
      <c r="C236" s="4">
        <v>53800000</v>
      </c>
      <c r="D236" s="4">
        <f t="shared" si="28"/>
        <v>1300000</v>
      </c>
      <c r="E236" s="4">
        <f t="shared" si="29"/>
        <v>1860973700</v>
      </c>
      <c r="F236" s="3" t="str" cm="1">
        <f t="array" ref="F236">CostScreen($C236)</f>
        <v>53,8M</v>
      </c>
    </row>
    <row r="237" spans="1:18" x14ac:dyDescent="0.2">
      <c r="A237" s="2">
        <f t="shared" si="26"/>
        <v>234</v>
      </c>
      <c r="B237" s="3">
        <f t="shared" si="27"/>
        <v>235</v>
      </c>
      <c r="C237" s="4">
        <v>55100000</v>
      </c>
      <c r="D237" s="4">
        <f t="shared" si="28"/>
        <v>1300000</v>
      </c>
      <c r="E237" s="4">
        <f t="shared" si="29"/>
        <v>1916073700</v>
      </c>
      <c r="F237" s="3" t="str" cm="1">
        <f t="array" ref="F237">CostScreen($C237)</f>
        <v>55,1M</v>
      </c>
    </row>
    <row r="238" spans="1:18" x14ac:dyDescent="0.2">
      <c r="A238" s="2">
        <f t="shared" si="26"/>
        <v>235</v>
      </c>
      <c r="B238" s="3">
        <f t="shared" si="27"/>
        <v>236</v>
      </c>
      <c r="C238" s="4">
        <v>56500000</v>
      </c>
      <c r="D238" s="4">
        <f t="shared" si="28"/>
        <v>1400000</v>
      </c>
      <c r="E238" s="4">
        <f t="shared" si="29"/>
        <v>1972573700</v>
      </c>
      <c r="F238" s="3" t="str" cm="1">
        <f t="array" ref="F238">CostScreen($C238)</f>
        <v>56,5M</v>
      </c>
    </row>
    <row r="239" spans="1:18" x14ac:dyDescent="0.2">
      <c r="A239" s="2">
        <f t="shared" si="26"/>
        <v>236</v>
      </c>
      <c r="B239" s="3">
        <f t="shared" si="27"/>
        <v>237</v>
      </c>
      <c r="C239" s="4">
        <v>57900000</v>
      </c>
      <c r="D239" s="4">
        <f t="shared" si="28"/>
        <v>1400000</v>
      </c>
      <c r="E239" s="4">
        <f t="shared" si="29"/>
        <v>2030473700</v>
      </c>
      <c r="F239" s="3" t="str" cm="1">
        <f t="array" ref="F239">CostScreen($C239)</f>
        <v>57,9M</v>
      </c>
    </row>
    <row r="240" spans="1:18" x14ac:dyDescent="0.2">
      <c r="A240" s="2">
        <f t="shared" si="26"/>
        <v>237</v>
      </c>
      <c r="B240" s="3">
        <f t="shared" si="27"/>
        <v>238</v>
      </c>
      <c r="C240" s="4">
        <v>59300000</v>
      </c>
      <c r="D240" s="4">
        <f t="shared" si="28"/>
        <v>1400000</v>
      </c>
      <c r="E240" s="4">
        <f t="shared" si="29"/>
        <v>2089773700</v>
      </c>
      <c r="F240" s="3" t="str" cm="1">
        <f t="array" ref="F240">CostScreen($C240)</f>
        <v>59,3M</v>
      </c>
    </row>
    <row r="241" spans="1:9" x14ac:dyDescent="0.2">
      <c r="A241" s="2">
        <f t="shared" si="26"/>
        <v>238</v>
      </c>
      <c r="B241" s="3">
        <f t="shared" si="27"/>
        <v>239</v>
      </c>
      <c r="C241" s="4">
        <v>60700000</v>
      </c>
      <c r="D241" s="4">
        <f t="shared" si="28"/>
        <v>1400000</v>
      </c>
      <c r="E241" s="4">
        <f t="shared" si="29"/>
        <v>2150473700</v>
      </c>
      <c r="F241" s="3" t="str" cm="1">
        <f t="array" ref="F241">CostScreen($C241)</f>
        <v>60,7M</v>
      </c>
    </row>
    <row r="242" spans="1:9" x14ac:dyDescent="0.2">
      <c r="A242" s="2">
        <f t="shared" si="26"/>
        <v>239</v>
      </c>
      <c r="B242" s="3">
        <f t="shared" si="27"/>
        <v>240</v>
      </c>
      <c r="C242" s="4">
        <v>62200000</v>
      </c>
      <c r="D242" s="4">
        <f t="shared" si="28"/>
        <v>1500000</v>
      </c>
      <c r="E242" s="4">
        <f t="shared" si="29"/>
        <v>2212673700</v>
      </c>
      <c r="F242" s="3" t="str" cm="1">
        <f t="array" ref="F242">CostScreen($C242)</f>
        <v>62,2M</v>
      </c>
    </row>
    <row r="243" spans="1:9" x14ac:dyDescent="0.2">
      <c r="A243" s="2">
        <f t="shared" si="26"/>
        <v>240</v>
      </c>
      <c r="B243" s="3">
        <f t="shared" si="27"/>
        <v>241</v>
      </c>
      <c r="C243" s="4">
        <v>63700000</v>
      </c>
      <c r="D243" s="4">
        <f t="shared" si="28"/>
        <v>1500000</v>
      </c>
      <c r="E243" s="4">
        <f t="shared" si="29"/>
        <v>2276373700</v>
      </c>
      <c r="F243" s="3" t="str" cm="1">
        <f t="array" ref="F243">CostScreen($C243)</f>
        <v>63,7M</v>
      </c>
    </row>
    <row r="244" spans="1:9" x14ac:dyDescent="0.2">
      <c r="A244" s="2">
        <f t="shared" si="26"/>
        <v>241</v>
      </c>
      <c r="B244" s="3">
        <f t="shared" si="27"/>
        <v>242</v>
      </c>
      <c r="C244" s="4">
        <v>65200000</v>
      </c>
      <c r="D244" s="4">
        <f t="shared" si="28"/>
        <v>1500000</v>
      </c>
      <c r="E244" s="4">
        <f t="shared" si="29"/>
        <v>2341573700</v>
      </c>
      <c r="F244" s="3" t="str" cm="1">
        <f t="array" ref="F244">CostScreen($C244)</f>
        <v>65,2M</v>
      </c>
    </row>
    <row r="245" spans="1:9" x14ac:dyDescent="0.2">
      <c r="A245" s="2">
        <f t="shared" si="26"/>
        <v>242</v>
      </c>
      <c r="B245" s="3">
        <f t="shared" si="27"/>
        <v>243</v>
      </c>
      <c r="C245" s="4">
        <v>66700000</v>
      </c>
      <c r="D245" s="4">
        <f t="shared" si="28"/>
        <v>1500000</v>
      </c>
      <c r="E245" s="4">
        <f t="shared" si="29"/>
        <v>2408273700</v>
      </c>
      <c r="F245" s="3" t="str" cm="1">
        <f t="array" ref="F245">CostScreen($C245)</f>
        <v>66,7M</v>
      </c>
    </row>
    <row r="246" spans="1:9" x14ac:dyDescent="0.2">
      <c r="A246" s="2">
        <f t="shared" si="26"/>
        <v>243</v>
      </c>
      <c r="B246" s="3">
        <f t="shared" si="27"/>
        <v>244</v>
      </c>
      <c r="C246" s="4">
        <v>68300000</v>
      </c>
      <c r="D246" s="4">
        <f t="shared" si="28"/>
        <v>1600000</v>
      </c>
      <c r="E246" s="4">
        <f t="shared" si="29"/>
        <v>2476573700</v>
      </c>
      <c r="F246" s="3" t="str" cm="1">
        <f t="array" ref="F246">CostScreen($C246)</f>
        <v>68,3M</v>
      </c>
    </row>
    <row r="247" spans="1:9" x14ac:dyDescent="0.2">
      <c r="A247" s="2">
        <f t="shared" si="26"/>
        <v>244</v>
      </c>
      <c r="B247" s="3">
        <f t="shared" si="27"/>
        <v>245</v>
      </c>
      <c r="C247" s="4">
        <v>69900000</v>
      </c>
      <c r="D247" s="4">
        <f t="shared" si="28"/>
        <v>1600000</v>
      </c>
      <c r="E247" s="4">
        <f t="shared" si="29"/>
        <v>2546473700</v>
      </c>
      <c r="F247" s="3" t="str" cm="1">
        <f t="array" ref="F247">CostScreen($C247)</f>
        <v>69,9M</v>
      </c>
    </row>
    <row r="248" spans="1:9" x14ac:dyDescent="0.2">
      <c r="A248" s="2">
        <f t="shared" si="26"/>
        <v>245</v>
      </c>
      <c r="B248" s="3">
        <f t="shared" si="27"/>
        <v>246</v>
      </c>
      <c r="C248" s="4">
        <v>71500000</v>
      </c>
      <c r="D248" s="4">
        <f t="shared" si="28"/>
        <v>1600000</v>
      </c>
      <c r="E248" s="4">
        <f t="shared" si="29"/>
        <v>2617973700</v>
      </c>
      <c r="F248" s="3" t="str" cm="1">
        <f t="array" ref="F248">CostScreen($C248)</f>
        <v>71,5M</v>
      </c>
    </row>
    <row r="249" spans="1:9" x14ac:dyDescent="0.2">
      <c r="A249" s="2">
        <f t="shared" si="26"/>
        <v>246</v>
      </c>
      <c r="B249" s="3">
        <f t="shared" si="27"/>
        <v>247</v>
      </c>
      <c r="C249" s="4">
        <v>73200000</v>
      </c>
      <c r="D249" s="4">
        <f t="shared" si="28"/>
        <v>1700000</v>
      </c>
      <c r="E249" s="4">
        <f t="shared" si="29"/>
        <v>2691173700</v>
      </c>
      <c r="F249" s="3" t="str" cm="1">
        <f t="array" ref="F249">CostScreen($C249)</f>
        <v>73,2M</v>
      </c>
    </row>
    <row r="250" spans="1:9" x14ac:dyDescent="0.2">
      <c r="A250" s="2">
        <f t="shared" si="26"/>
        <v>247</v>
      </c>
      <c r="B250" s="3">
        <f t="shared" si="27"/>
        <v>248</v>
      </c>
      <c r="C250" s="4">
        <v>74900000</v>
      </c>
      <c r="D250" s="4">
        <f t="shared" si="28"/>
        <v>1700000</v>
      </c>
      <c r="E250" s="4">
        <f t="shared" si="29"/>
        <v>2766073700</v>
      </c>
      <c r="F250" s="3" t="str" cm="1">
        <f t="array" ref="F250">CostScreen($C250)</f>
        <v>74,9M</v>
      </c>
    </row>
    <row r="251" spans="1:9" x14ac:dyDescent="0.2">
      <c r="A251" s="2">
        <f t="shared" si="26"/>
        <v>248</v>
      </c>
      <c r="B251" s="3">
        <f t="shared" si="27"/>
        <v>249</v>
      </c>
      <c r="C251" s="4">
        <v>76600000</v>
      </c>
      <c r="D251" s="4">
        <f t="shared" si="28"/>
        <v>1700000</v>
      </c>
      <c r="E251" s="4">
        <f t="shared" si="29"/>
        <v>2842673700</v>
      </c>
      <c r="F251" s="3" t="str" cm="1">
        <f t="array" ref="F251">CostScreen($C251)</f>
        <v>76,6M</v>
      </c>
    </row>
    <row r="252" spans="1:9" x14ac:dyDescent="0.2">
      <c r="A252" s="2">
        <f t="shared" si="26"/>
        <v>249</v>
      </c>
      <c r="B252" s="3">
        <f t="shared" si="27"/>
        <v>250</v>
      </c>
      <c r="C252" s="4">
        <v>78400000</v>
      </c>
      <c r="D252" s="4">
        <f t="shared" si="28"/>
        <v>1800000</v>
      </c>
      <c r="E252" s="4">
        <f t="shared" si="29"/>
        <v>2921073700</v>
      </c>
      <c r="F252" s="3" t="str" cm="1">
        <f t="array" ref="F252">CostScreen($C252)</f>
        <v>78,4M</v>
      </c>
    </row>
    <row r="253" spans="1:9" x14ac:dyDescent="0.2">
      <c r="A253" s="2">
        <f t="shared" si="26"/>
        <v>250</v>
      </c>
      <c r="B253" s="3">
        <f t="shared" si="27"/>
        <v>251</v>
      </c>
      <c r="C253" s="4">
        <v>80200000</v>
      </c>
      <c r="D253" s="4">
        <f t="shared" si="28"/>
        <v>1800000</v>
      </c>
      <c r="E253" s="4">
        <f t="shared" si="29"/>
        <v>3001273700</v>
      </c>
      <c r="F253" s="3" t="str" cm="1">
        <f t="array" ref="F253">CostScreen($C253)</f>
        <v>80,2M</v>
      </c>
    </row>
    <row r="254" spans="1:9" x14ac:dyDescent="0.2">
      <c r="A254" s="2">
        <f t="shared" si="26"/>
        <v>251</v>
      </c>
      <c r="B254" s="3">
        <f t="shared" si="27"/>
        <v>252</v>
      </c>
      <c r="C254" s="4">
        <v>82000000</v>
      </c>
      <c r="D254" s="4">
        <f t="shared" si="28"/>
        <v>1800000</v>
      </c>
      <c r="E254" s="4">
        <f t="shared" si="29"/>
        <v>3083273700</v>
      </c>
      <c r="F254" s="3" t="str" cm="1">
        <f t="array" ref="F254">CostScreen($C254)</f>
        <v>82M</v>
      </c>
    </row>
    <row r="255" spans="1:9" x14ac:dyDescent="0.2">
      <c r="A255" s="2">
        <f t="shared" si="26"/>
        <v>252</v>
      </c>
      <c r="B255" s="3">
        <f t="shared" si="27"/>
        <v>253</v>
      </c>
      <c r="C255" s="4">
        <v>83800000</v>
      </c>
      <c r="D255" s="4">
        <f t="shared" si="28"/>
        <v>1800000</v>
      </c>
      <c r="E255" s="4">
        <f t="shared" si="29"/>
        <v>3167073700</v>
      </c>
      <c r="F255" s="3" t="str" cm="1">
        <f t="array" ref="F255">CostScreen($C255)</f>
        <v>83,8M</v>
      </c>
      <c r="H255" s="1">
        <v>83.8</v>
      </c>
      <c r="I255" s="1">
        <f>H255*1000000</f>
        <v>83800000</v>
      </c>
    </row>
    <row r="256" spans="1:9" x14ac:dyDescent="0.2">
      <c r="A256" s="2">
        <f t="shared" si="26"/>
        <v>253</v>
      </c>
      <c r="B256" s="3">
        <f t="shared" si="27"/>
        <v>254</v>
      </c>
      <c r="C256" s="4">
        <v>85700000</v>
      </c>
      <c r="D256" s="4">
        <f t="shared" si="28"/>
        <v>1900000</v>
      </c>
      <c r="E256" s="4">
        <f t="shared" si="29"/>
        <v>3252773700</v>
      </c>
      <c r="F256" s="3" t="str" cm="1">
        <f t="array" ref="F256">CostScreen($C256)</f>
        <v>85,7M</v>
      </c>
      <c r="H256" s="1">
        <v>85.7</v>
      </c>
      <c r="I256" s="1">
        <f t="shared" ref="I256:I282" si="33">H256*1000000</f>
        <v>85700000</v>
      </c>
    </row>
    <row r="257" spans="1:11" x14ac:dyDescent="0.2">
      <c r="A257" s="2">
        <f t="shared" si="26"/>
        <v>254</v>
      </c>
      <c r="B257" s="3">
        <f t="shared" si="27"/>
        <v>255</v>
      </c>
      <c r="C257" s="4">
        <v>87600000</v>
      </c>
      <c r="D257" s="4">
        <f t="shared" si="28"/>
        <v>1900000</v>
      </c>
      <c r="E257" s="4">
        <f t="shared" si="29"/>
        <v>3340373700</v>
      </c>
      <c r="F257" s="3" t="str" cm="1">
        <f t="array" ref="F257">CostScreen($C257)</f>
        <v>87,6M</v>
      </c>
      <c r="H257" s="1">
        <v>87.6</v>
      </c>
      <c r="I257" s="1">
        <f t="shared" si="33"/>
        <v>87600000</v>
      </c>
    </row>
    <row r="258" spans="1:11" x14ac:dyDescent="0.2">
      <c r="A258" s="2">
        <f t="shared" si="26"/>
        <v>255</v>
      </c>
      <c r="B258" s="3">
        <f t="shared" si="27"/>
        <v>256</v>
      </c>
      <c r="C258" s="4">
        <v>89600000</v>
      </c>
      <c r="D258" s="4">
        <f t="shared" si="28"/>
        <v>2000000</v>
      </c>
      <c r="E258" s="4">
        <f t="shared" si="29"/>
        <v>3429973700</v>
      </c>
      <c r="F258" s="3" t="str" cm="1">
        <f t="array" ref="F258">CostScreen($C258)</f>
        <v>89,6M</v>
      </c>
      <c r="H258" s="1">
        <v>89.6</v>
      </c>
      <c r="I258" s="1">
        <f t="shared" si="33"/>
        <v>89600000</v>
      </c>
    </row>
    <row r="259" spans="1:11" x14ac:dyDescent="0.2">
      <c r="A259" s="2">
        <f t="shared" ref="A259:A302" si="34">B259-1</f>
        <v>256</v>
      </c>
      <c r="B259" s="3">
        <f t="shared" si="27"/>
        <v>257</v>
      </c>
      <c r="C259" s="4">
        <v>91600000</v>
      </c>
      <c r="D259" s="4">
        <f t="shared" si="28"/>
        <v>2000000</v>
      </c>
      <c r="E259" s="4">
        <f t="shared" si="29"/>
        <v>3521573700</v>
      </c>
      <c r="F259" s="3" t="str" cm="1">
        <f t="array" ref="F259">CostScreen($C259)</f>
        <v>91,6M</v>
      </c>
      <c r="H259" s="1">
        <v>91.6</v>
      </c>
      <c r="I259" s="1">
        <f t="shared" si="33"/>
        <v>91600000</v>
      </c>
    </row>
    <row r="260" spans="1:11" x14ac:dyDescent="0.2">
      <c r="A260" s="2">
        <f t="shared" si="34"/>
        <v>257</v>
      </c>
      <c r="B260" s="3">
        <f t="shared" ref="B260:B302" si="35">ROW()-ROW($B$2)</f>
        <v>258</v>
      </c>
      <c r="C260" s="4">
        <v>93600000</v>
      </c>
      <c r="D260" s="4">
        <f t="shared" ref="D260:D302" si="36">IF(AND(C260&gt;0,ISNUMBER(C259)),C260-C259,"")</f>
        <v>2000000</v>
      </c>
      <c r="E260" s="4">
        <f t="shared" ref="E260:E302" si="37">IF(ISNUMBER(E259),E259+C260,"")</f>
        <v>3615173700</v>
      </c>
      <c r="F260" s="3" t="str" cm="1">
        <f t="array" ref="F260">CostScreen($C260)</f>
        <v>93,6M</v>
      </c>
      <c r="H260" s="1">
        <v>93.6</v>
      </c>
      <c r="I260" s="1">
        <f t="shared" si="33"/>
        <v>93600000</v>
      </c>
    </row>
    <row r="261" spans="1:11" x14ac:dyDescent="0.2">
      <c r="A261" s="2">
        <f t="shared" si="34"/>
        <v>258</v>
      </c>
      <c r="B261" s="3">
        <f t="shared" si="35"/>
        <v>259</v>
      </c>
      <c r="C261" s="4">
        <v>95700000</v>
      </c>
      <c r="D261" s="4">
        <f t="shared" si="36"/>
        <v>2100000</v>
      </c>
      <c r="E261" s="4">
        <f t="shared" si="37"/>
        <v>3710873700</v>
      </c>
      <c r="F261" s="3" t="str" cm="1">
        <f t="array" ref="F261">CostScreen($C261)</f>
        <v>95,7M</v>
      </c>
      <c r="H261" s="1">
        <v>95.7</v>
      </c>
      <c r="I261" s="1">
        <f t="shared" si="33"/>
        <v>95700000</v>
      </c>
    </row>
    <row r="262" spans="1:11" x14ac:dyDescent="0.2">
      <c r="A262" s="2">
        <f t="shared" si="34"/>
        <v>259</v>
      </c>
      <c r="B262" s="3">
        <f t="shared" si="35"/>
        <v>260</v>
      </c>
      <c r="C262" s="4">
        <v>97700000</v>
      </c>
      <c r="D262" s="4">
        <f t="shared" si="36"/>
        <v>2000000</v>
      </c>
      <c r="E262" s="4">
        <f t="shared" si="37"/>
        <v>3808573700</v>
      </c>
      <c r="F262" s="3" t="str" cm="1">
        <f t="array" ref="F262">CostScreen($C262)</f>
        <v>97,7M</v>
      </c>
      <c r="H262" s="1">
        <v>97.7</v>
      </c>
      <c r="I262" s="1">
        <f t="shared" si="33"/>
        <v>97700000</v>
      </c>
    </row>
    <row r="263" spans="1:11" x14ac:dyDescent="0.2">
      <c r="A263" s="2">
        <f t="shared" si="34"/>
        <v>260</v>
      </c>
      <c r="B263" s="3">
        <f t="shared" si="35"/>
        <v>261</v>
      </c>
      <c r="C263" s="4">
        <v>99900000</v>
      </c>
      <c r="D263" s="4">
        <f t="shared" si="36"/>
        <v>2200000</v>
      </c>
      <c r="E263" s="4">
        <f t="shared" si="37"/>
        <v>3908473700</v>
      </c>
      <c r="F263" s="3" t="str" cm="1">
        <f t="array" ref="F263">CostScreen($C263)</f>
        <v>99,9M</v>
      </c>
      <c r="H263" s="1">
        <v>99.9</v>
      </c>
      <c r="I263" s="1">
        <f t="shared" si="33"/>
        <v>99900000</v>
      </c>
    </row>
    <row r="264" spans="1:11" x14ac:dyDescent="0.2">
      <c r="A264" s="2">
        <f t="shared" si="34"/>
        <v>261</v>
      </c>
      <c r="B264" s="3">
        <f t="shared" si="35"/>
        <v>262</v>
      </c>
      <c r="C264" s="4">
        <v>102000000</v>
      </c>
      <c r="D264" s="4">
        <f t="shared" si="36"/>
        <v>2100000</v>
      </c>
      <c r="E264" s="4">
        <f t="shared" si="37"/>
        <v>4010473700</v>
      </c>
      <c r="F264" s="3" t="str" cm="1">
        <f t="array" ref="F264">CostScreen($C264)</f>
        <v>102M</v>
      </c>
      <c r="H264" s="1">
        <v>102</v>
      </c>
      <c r="I264" s="1">
        <f t="shared" si="33"/>
        <v>102000000</v>
      </c>
    </row>
    <row r="265" spans="1:11" x14ac:dyDescent="0.2">
      <c r="A265" s="2">
        <f t="shared" si="34"/>
        <v>262</v>
      </c>
      <c r="B265" s="3">
        <f t="shared" si="35"/>
        <v>263</v>
      </c>
      <c r="C265" s="4">
        <v>104200000</v>
      </c>
      <c r="D265" s="4">
        <f t="shared" si="36"/>
        <v>2200000</v>
      </c>
      <c r="E265" s="4">
        <f t="shared" si="37"/>
        <v>4114673700</v>
      </c>
      <c r="F265" s="3" t="str" cm="1">
        <f t="array" ref="F265">CostScreen($C265)</f>
        <v>104,2M</v>
      </c>
      <c r="H265" s="1">
        <v>104.2</v>
      </c>
      <c r="I265" s="1">
        <f t="shared" si="33"/>
        <v>104200000</v>
      </c>
    </row>
    <row r="266" spans="1:11" x14ac:dyDescent="0.2">
      <c r="A266" s="2">
        <f t="shared" si="34"/>
        <v>263</v>
      </c>
      <c r="B266" s="3">
        <f t="shared" si="35"/>
        <v>264</v>
      </c>
      <c r="C266" s="4">
        <v>106500000</v>
      </c>
      <c r="D266" s="4">
        <f t="shared" si="36"/>
        <v>2300000</v>
      </c>
      <c r="E266" s="4">
        <f t="shared" si="37"/>
        <v>4221173700</v>
      </c>
      <c r="F266" s="3" t="str" cm="1">
        <f t="array" ref="F266">CostScreen($C266)</f>
        <v>106,5M</v>
      </c>
      <c r="H266" s="1">
        <v>106.5</v>
      </c>
      <c r="I266" s="1">
        <f t="shared" si="33"/>
        <v>106500000</v>
      </c>
    </row>
    <row r="267" spans="1:11" x14ac:dyDescent="0.2">
      <c r="A267" s="2">
        <f t="shared" si="34"/>
        <v>264</v>
      </c>
      <c r="B267" s="3">
        <f t="shared" si="35"/>
        <v>265</v>
      </c>
      <c r="C267" s="4">
        <v>108700000</v>
      </c>
      <c r="D267" s="4">
        <f t="shared" si="36"/>
        <v>2200000</v>
      </c>
      <c r="E267" s="4">
        <f t="shared" si="37"/>
        <v>4329873700</v>
      </c>
      <c r="F267" s="3" t="str" cm="1">
        <f t="array" ref="F267">CostScreen($C267)</f>
        <v>108,7M</v>
      </c>
      <c r="H267" s="1">
        <v>108.7</v>
      </c>
      <c r="I267" s="1">
        <f t="shared" si="33"/>
        <v>108700000</v>
      </c>
    </row>
    <row r="268" spans="1:11" x14ac:dyDescent="0.2">
      <c r="A268" s="2">
        <f t="shared" si="34"/>
        <v>265</v>
      </c>
      <c r="B268" s="3">
        <f t="shared" si="35"/>
        <v>266</v>
      </c>
      <c r="C268" s="4">
        <v>111000000</v>
      </c>
      <c r="D268" s="4">
        <f t="shared" si="36"/>
        <v>2300000</v>
      </c>
      <c r="E268" s="4">
        <f t="shared" si="37"/>
        <v>4440873700</v>
      </c>
      <c r="F268" s="3" t="str" cm="1">
        <f t="array" ref="F268">CostScreen($C268)</f>
        <v>111M</v>
      </c>
      <c r="H268" s="1">
        <v>111</v>
      </c>
      <c r="I268" s="1">
        <f t="shared" si="33"/>
        <v>111000000</v>
      </c>
    </row>
    <row r="269" spans="1:11" x14ac:dyDescent="0.2">
      <c r="A269" s="2">
        <f t="shared" si="34"/>
        <v>266</v>
      </c>
      <c r="B269" s="3">
        <f t="shared" si="35"/>
        <v>267</v>
      </c>
      <c r="C269" s="4">
        <v>113400000</v>
      </c>
      <c r="D269" s="4">
        <f t="shared" si="36"/>
        <v>2400000</v>
      </c>
      <c r="E269" s="4">
        <f t="shared" si="37"/>
        <v>4554273700</v>
      </c>
      <c r="F269" s="3" t="str" cm="1">
        <f t="array" ref="F269">CostScreen($C269)</f>
        <v>113,4M</v>
      </c>
      <c r="H269" s="1">
        <v>113.4</v>
      </c>
      <c r="I269" s="1">
        <f t="shared" si="33"/>
        <v>113400000</v>
      </c>
      <c r="K269" s="1" t="s">
        <v>260</v>
      </c>
    </row>
    <row r="270" spans="1:11" x14ac:dyDescent="0.2">
      <c r="A270" s="2">
        <f t="shared" si="34"/>
        <v>267</v>
      </c>
      <c r="B270" s="3">
        <f t="shared" si="35"/>
        <v>268</v>
      </c>
      <c r="C270" s="4">
        <v>115800000</v>
      </c>
      <c r="D270" s="4">
        <f t="shared" si="36"/>
        <v>2400000</v>
      </c>
      <c r="E270" s="4">
        <f t="shared" si="37"/>
        <v>4670073700</v>
      </c>
      <c r="F270" s="3" t="str" cm="1">
        <f t="array" ref="F270">CostScreen($C270)</f>
        <v>115,8M</v>
      </c>
      <c r="H270" s="1">
        <v>115.8</v>
      </c>
      <c r="I270" s="1">
        <f t="shared" si="33"/>
        <v>115800000</v>
      </c>
      <c r="K270" s="1" t="s">
        <v>259</v>
      </c>
    </row>
    <row r="271" spans="1:11" x14ac:dyDescent="0.2">
      <c r="A271" s="2">
        <f t="shared" si="34"/>
        <v>268</v>
      </c>
      <c r="B271" s="3">
        <f t="shared" si="35"/>
        <v>269</v>
      </c>
      <c r="C271" s="4">
        <v>118200000</v>
      </c>
      <c r="D271" s="4">
        <f t="shared" si="36"/>
        <v>2400000</v>
      </c>
      <c r="E271" s="4">
        <f t="shared" si="37"/>
        <v>4788273700</v>
      </c>
      <c r="F271" s="3" t="str" cm="1">
        <f t="array" ref="F271">CostScreen($C271)</f>
        <v>118,2M</v>
      </c>
      <c r="H271" s="1">
        <v>118.2</v>
      </c>
      <c r="I271" s="1">
        <f t="shared" si="33"/>
        <v>118200000</v>
      </c>
    </row>
    <row r="272" spans="1:11" x14ac:dyDescent="0.2">
      <c r="A272" s="2">
        <f t="shared" si="34"/>
        <v>269</v>
      </c>
      <c r="B272" s="3">
        <f t="shared" si="35"/>
        <v>270</v>
      </c>
      <c r="C272" s="4">
        <v>120700000</v>
      </c>
      <c r="D272" s="4">
        <f t="shared" si="36"/>
        <v>2500000</v>
      </c>
      <c r="E272" s="4">
        <f t="shared" si="37"/>
        <v>4908973700</v>
      </c>
      <c r="F272" s="3" t="str" cm="1">
        <f t="array" ref="F272">CostScreen($C272)</f>
        <v>120,7M</v>
      </c>
      <c r="H272" s="1">
        <v>120.7</v>
      </c>
      <c r="I272" s="1">
        <f t="shared" si="33"/>
        <v>120700000</v>
      </c>
      <c r="J272" s="1">
        <f>K272/10</f>
        <v>110040000</v>
      </c>
      <c r="K272" s="143">
        <v>1100400000</v>
      </c>
    </row>
    <row r="273" spans="1:11" x14ac:dyDescent="0.2">
      <c r="A273" s="2">
        <f t="shared" si="34"/>
        <v>270</v>
      </c>
      <c r="B273" s="3">
        <f t="shared" si="35"/>
        <v>271</v>
      </c>
      <c r="C273" s="4">
        <v>123200000</v>
      </c>
      <c r="D273" s="4">
        <f t="shared" si="36"/>
        <v>2500000</v>
      </c>
      <c r="E273" s="4">
        <f t="shared" si="37"/>
        <v>5032173700</v>
      </c>
      <c r="F273" s="3" t="str" cm="1">
        <f t="array" ref="F273">CostScreen($C273)</f>
        <v>123,2M</v>
      </c>
      <c r="H273" s="1">
        <v>123.2</v>
      </c>
      <c r="I273" s="1">
        <f t="shared" si="33"/>
        <v>123200000</v>
      </c>
    </row>
    <row r="274" spans="1:11" x14ac:dyDescent="0.2">
      <c r="A274" s="2">
        <f t="shared" si="34"/>
        <v>271</v>
      </c>
      <c r="B274" s="3">
        <f t="shared" si="35"/>
        <v>272</v>
      </c>
      <c r="C274" s="4">
        <v>125700000</v>
      </c>
      <c r="D274" s="4">
        <f t="shared" si="36"/>
        <v>2500000</v>
      </c>
      <c r="E274" s="4">
        <f t="shared" si="37"/>
        <v>5157873700</v>
      </c>
      <c r="F274" s="3" t="str" cm="1">
        <f t="array" ref="F274">CostScreen($C274)</f>
        <v>125,7M</v>
      </c>
      <c r="H274" s="1">
        <v>125.7</v>
      </c>
      <c r="I274" s="1">
        <f t="shared" si="33"/>
        <v>125700000</v>
      </c>
    </row>
    <row r="275" spans="1:11" x14ac:dyDescent="0.2">
      <c r="A275" s="2">
        <f t="shared" si="34"/>
        <v>272</v>
      </c>
      <c r="B275" s="3">
        <f t="shared" si="35"/>
        <v>273</v>
      </c>
      <c r="C275" s="4">
        <v>128300000.00000001</v>
      </c>
      <c r="D275" s="4">
        <f t="shared" si="36"/>
        <v>2600000.0000000149</v>
      </c>
      <c r="E275" s="4">
        <f t="shared" si="37"/>
        <v>5286173700</v>
      </c>
      <c r="F275" s="3" t="str" cm="1">
        <f t="array" ref="F275">CostScreen($C275)</f>
        <v>128,3M</v>
      </c>
      <c r="H275" s="1">
        <v>128.30000000000001</v>
      </c>
      <c r="I275" s="1">
        <f t="shared" si="33"/>
        <v>128300000.00000001</v>
      </c>
    </row>
    <row r="276" spans="1:11" x14ac:dyDescent="0.2">
      <c r="A276" s="2">
        <f t="shared" si="34"/>
        <v>273</v>
      </c>
      <c r="B276" s="3">
        <f t="shared" si="35"/>
        <v>274</v>
      </c>
      <c r="C276" s="4">
        <v>130900000</v>
      </c>
      <c r="D276" s="4">
        <f t="shared" si="36"/>
        <v>2599999.9999999851</v>
      </c>
      <c r="E276" s="4">
        <f t="shared" si="37"/>
        <v>5417073700</v>
      </c>
      <c r="F276" s="3" t="str" cm="1">
        <f t="array" ref="F276">CostScreen($C276)</f>
        <v>130,9M</v>
      </c>
      <c r="H276" s="1">
        <v>130.9</v>
      </c>
      <c r="I276" s="1">
        <f t="shared" si="33"/>
        <v>130900000</v>
      </c>
    </row>
    <row r="277" spans="1:11" x14ac:dyDescent="0.2">
      <c r="A277" s="2">
        <f t="shared" si="34"/>
        <v>274</v>
      </c>
      <c r="B277" s="3">
        <f t="shared" si="35"/>
        <v>275</v>
      </c>
      <c r="C277" s="4">
        <v>133600000</v>
      </c>
      <c r="D277" s="4">
        <f t="shared" si="36"/>
        <v>2700000</v>
      </c>
      <c r="E277" s="4">
        <f t="shared" si="37"/>
        <v>5550673700</v>
      </c>
      <c r="F277" s="3" t="str" cm="1">
        <f t="array" ref="F277">CostScreen($C277)</f>
        <v>133,6M</v>
      </c>
      <c r="H277" s="1">
        <v>133.6</v>
      </c>
      <c r="I277" s="1">
        <f t="shared" si="33"/>
        <v>133600000</v>
      </c>
    </row>
    <row r="278" spans="1:11" x14ac:dyDescent="0.2">
      <c r="A278" s="2">
        <f t="shared" si="34"/>
        <v>275</v>
      </c>
      <c r="B278" s="3">
        <f t="shared" si="35"/>
        <v>276</v>
      </c>
      <c r="C278" s="4">
        <v>136300000</v>
      </c>
      <c r="D278" s="4">
        <f t="shared" si="36"/>
        <v>2700000</v>
      </c>
      <c r="E278" s="4">
        <f t="shared" si="37"/>
        <v>5686973700</v>
      </c>
      <c r="F278" s="3" t="str" cm="1">
        <f t="array" ref="F278">CostScreen($C278)</f>
        <v>136,3M</v>
      </c>
      <c r="H278" s="1">
        <v>136.30000000000001</v>
      </c>
      <c r="I278" s="1">
        <f t="shared" si="33"/>
        <v>136300000</v>
      </c>
    </row>
    <row r="279" spans="1:11" x14ac:dyDescent="0.2">
      <c r="A279" s="2">
        <f t="shared" si="34"/>
        <v>276</v>
      </c>
      <c r="B279" s="3">
        <f t="shared" si="35"/>
        <v>277</v>
      </c>
      <c r="C279" s="4">
        <v>139100000</v>
      </c>
      <c r="D279" s="4">
        <f t="shared" si="36"/>
        <v>2800000</v>
      </c>
      <c r="E279" s="4">
        <f t="shared" si="37"/>
        <v>5826073700</v>
      </c>
      <c r="F279" s="3" t="str" cm="1">
        <f t="array" ref="F279">CostScreen($C279)</f>
        <v>139,1M</v>
      </c>
      <c r="H279" s="1">
        <v>139.1</v>
      </c>
      <c r="I279" s="1">
        <f t="shared" si="33"/>
        <v>139100000</v>
      </c>
    </row>
    <row r="280" spans="1:11" x14ac:dyDescent="0.2">
      <c r="A280" s="2">
        <f t="shared" si="34"/>
        <v>277</v>
      </c>
      <c r="B280" s="3">
        <f t="shared" si="35"/>
        <v>278</v>
      </c>
      <c r="C280" s="4">
        <v>141800000</v>
      </c>
      <c r="D280" s="4">
        <f t="shared" si="36"/>
        <v>2700000</v>
      </c>
      <c r="E280" s="4">
        <f t="shared" si="37"/>
        <v>5967873700</v>
      </c>
      <c r="F280" s="3" t="str" cm="1">
        <f t="array" ref="F280">CostScreen($C280)</f>
        <v>141,8M</v>
      </c>
      <c r="H280" s="1">
        <v>141.80000000000001</v>
      </c>
      <c r="I280" s="1">
        <f t="shared" si="33"/>
        <v>141800000</v>
      </c>
    </row>
    <row r="281" spans="1:11" x14ac:dyDescent="0.2">
      <c r="A281" s="2">
        <f t="shared" si="34"/>
        <v>278</v>
      </c>
      <c r="B281" s="3">
        <f t="shared" si="35"/>
        <v>279</v>
      </c>
      <c r="C281" s="4">
        <v>144700000</v>
      </c>
      <c r="D281" s="4">
        <f t="shared" si="36"/>
        <v>2900000</v>
      </c>
      <c r="E281" s="4">
        <f t="shared" si="37"/>
        <v>6112573700</v>
      </c>
      <c r="F281" s="3" t="str" cm="1">
        <f t="array" ref="F281">CostScreen($C281)</f>
        <v>144,7M</v>
      </c>
      <c r="H281" s="1">
        <v>144.69999999999999</v>
      </c>
      <c r="I281" s="1">
        <f t="shared" si="33"/>
        <v>144700000</v>
      </c>
    </row>
    <row r="282" spans="1:11" x14ac:dyDescent="0.2">
      <c r="A282" s="2">
        <f t="shared" si="34"/>
        <v>279</v>
      </c>
      <c r="B282" s="3">
        <f t="shared" si="35"/>
        <v>280</v>
      </c>
      <c r="C282" s="4">
        <v>147600000</v>
      </c>
      <c r="D282" s="4">
        <f t="shared" si="36"/>
        <v>2900000</v>
      </c>
      <c r="E282" s="4">
        <f t="shared" si="37"/>
        <v>6260173700</v>
      </c>
      <c r="F282" s="3" t="str" cm="1">
        <f t="array" ref="F282">CostScreen($C282)</f>
        <v>147,6M</v>
      </c>
      <c r="H282" s="1">
        <v>147.6</v>
      </c>
      <c r="I282" s="1">
        <f t="shared" si="33"/>
        <v>147600000</v>
      </c>
      <c r="J282" s="1">
        <f>K282/10</f>
        <v>135120000</v>
      </c>
      <c r="K282" s="143">
        <v>1351200000</v>
      </c>
    </row>
    <row r="283" spans="1:11" x14ac:dyDescent="0.2">
      <c r="A283" s="2">
        <f t="shared" si="34"/>
        <v>280</v>
      </c>
      <c r="B283" s="3">
        <f t="shared" si="35"/>
        <v>281</v>
      </c>
      <c r="C283" s="4">
        <v>164440000</v>
      </c>
      <c r="D283" s="4">
        <f t="shared" si="36"/>
        <v>16840000</v>
      </c>
      <c r="E283" s="4">
        <f t="shared" si="37"/>
        <v>6424613700</v>
      </c>
      <c r="F283" s="3" t="str" cm="1">
        <f t="array" ref="F283">CostScreen($C283)</f>
        <v>164,44M</v>
      </c>
    </row>
    <row r="284" spans="1:11" x14ac:dyDescent="0.2">
      <c r="A284" s="2">
        <f t="shared" si="34"/>
        <v>281</v>
      </c>
      <c r="B284" s="3">
        <f t="shared" si="35"/>
        <v>282</v>
      </c>
      <c r="C284" s="4">
        <v>164440000</v>
      </c>
      <c r="D284" s="4">
        <f t="shared" si="36"/>
        <v>0</v>
      </c>
      <c r="E284" s="4">
        <f t="shared" si="37"/>
        <v>6589053700</v>
      </c>
      <c r="F284" s="3" t="str" cm="1">
        <f t="array" ref="F284">CostScreen($C284)</f>
        <v>164,44M</v>
      </c>
    </row>
    <row r="285" spans="1:11" x14ac:dyDescent="0.2">
      <c r="A285" s="2">
        <f t="shared" si="34"/>
        <v>282</v>
      </c>
      <c r="B285" s="3">
        <f t="shared" si="35"/>
        <v>283</v>
      </c>
      <c r="C285" s="4">
        <v>164440000</v>
      </c>
      <c r="D285" s="4">
        <f t="shared" si="36"/>
        <v>0</v>
      </c>
      <c r="E285" s="4">
        <f t="shared" si="37"/>
        <v>6753493700</v>
      </c>
      <c r="F285" s="3" t="str" cm="1">
        <f t="array" ref="F285">CostScreen($C285)</f>
        <v>164,44M</v>
      </c>
    </row>
    <row r="286" spans="1:11" x14ac:dyDescent="0.2">
      <c r="A286" s="2">
        <f t="shared" si="34"/>
        <v>283</v>
      </c>
      <c r="B286" s="3">
        <f t="shared" si="35"/>
        <v>284</v>
      </c>
      <c r="C286" s="4">
        <v>164440000</v>
      </c>
      <c r="D286" s="4">
        <f t="shared" si="36"/>
        <v>0</v>
      </c>
      <c r="E286" s="4">
        <f t="shared" si="37"/>
        <v>6917933700</v>
      </c>
      <c r="F286" s="3" t="str" cm="1">
        <f t="array" ref="F286">CostScreen($C286)</f>
        <v>164,44M</v>
      </c>
    </row>
    <row r="287" spans="1:11" x14ac:dyDescent="0.2">
      <c r="A287" s="2">
        <f t="shared" si="34"/>
        <v>284</v>
      </c>
      <c r="B287" s="3">
        <f t="shared" si="35"/>
        <v>285</v>
      </c>
      <c r="C287" s="4">
        <v>164440000</v>
      </c>
      <c r="D287" s="4">
        <f t="shared" si="36"/>
        <v>0</v>
      </c>
      <c r="E287" s="4">
        <f t="shared" si="37"/>
        <v>7082373700</v>
      </c>
      <c r="F287" s="3" t="str" cm="1">
        <f t="array" ref="F287">CostScreen($C287)</f>
        <v>164,44M</v>
      </c>
    </row>
    <row r="288" spans="1:11" x14ac:dyDescent="0.2">
      <c r="A288" s="2">
        <f t="shared" si="34"/>
        <v>285</v>
      </c>
      <c r="B288" s="3">
        <f t="shared" si="35"/>
        <v>286</v>
      </c>
      <c r="C288" s="4">
        <v>164440000</v>
      </c>
      <c r="D288" s="4">
        <f t="shared" si="36"/>
        <v>0</v>
      </c>
      <c r="E288" s="4">
        <f t="shared" si="37"/>
        <v>7246813700</v>
      </c>
      <c r="F288" s="3" t="str" cm="1">
        <f t="array" ref="F288">CostScreen($C288)</f>
        <v>164,44M</v>
      </c>
    </row>
    <row r="289" spans="1:11" x14ac:dyDescent="0.2">
      <c r="A289" s="2">
        <f t="shared" si="34"/>
        <v>286</v>
      </c>
      <c r="B289" s="3">
        <f t="shared" si="35"/>
        <v>287</v>
      </c>
      <c r="C289" s="4">
        <v>164440000</v>
      </c>
      <c r="D289" s="4">
        <f t="shared" si="36"/>
        <v>0</v>
      </c>
      <c r="E289" s="4">
        <f t="shared" si="37"/>
        <v>7411253700</v>
      </c>
      <c r="F289" s="3" t="str" cm="1">
        <f t="array" ref="F289">CostScreen($C289)</f>
        <v>164,44M</v>
      </c>
    </row>
    <row r="290" spans="1:11" x14ac:dyDescent="0.2">
      <c r="A290" s="2">
        <f t="shared" si="34"/>
        <v>287</v>
      </c>
      <c r="B290" s="3">
        <f t="shared" si="35"/>
        <v>288</v>
      </c>
      <c r="C290" s="4">
        <v>164440000</v>
      </c>
      <c r="D290" s="4">
        <f t="shared" si="36"/>
        <v>0</v>
      </c>
      <c r="E290" s="4">
        <f t="shared" si="37"/>
        <v>7575693700</v>
      </c>
      <c r="F290" s="3" t="str" cm="1">
        <f t="array" ref="F290">CostScreen($C290)</f>
        <v>164,44M</v>
      </c>
    </row>
    <row r="291" spans="1:11" x14ac:dyDescent="0.2">
      <c r="A291" s="2">
        <f t="shared" si="34"/>
        <v>288</v>
      </c>
      <c r="B291" s="3">
        <f t="shared" si="35"/>
        <v>289</v>
      </c>
      <c r="C291" s="4">
        <v>164440000</v>
      </c>
      <c r="D291" s="4">
        <f t="shared" si="36"/>
        <v>0</v>
      </c>
      <c r="E291" s="4">
        <f t="shared" si="37"/>
        <v>7740133700</v>
      </c>
      <c r="F291" s="3" t="str" cm="1">
        <f t="array" ref="F291">CostScreen($C291)</f>
        <v>164,44M</v>
      </c>
    </row>
    <row r="292" spans="1:11" x14ac:dyDescent="0.2">
      <c r="A292" s="2">
        <f t="shared" si="34"/>
        <v>289</v>
      </c>
      <c r="B292" s="3">
        <f t="shared" si="35"/>
        <v>290</v>
      </c>
      <c r="C292" s="4">
        <v>164440000</v>
      </c>
      <c r="D292" s="4">
        <f t="shared" si="36"/>
        <v>0</v>
      </c>
      <c r="E292" s="4">
        <f t="shared" si="37"/>
        <v>7904573700</v>
      </c>
      <c r="F292" s="3" t="str" cm="1">
        <f t="array" ref="F292">CostScreen($C292)</f>
        <v>164,44M</v>
      </c>
      <c r="J292" s="1">
        <f>K292/10</f>
        <v>164440000</v>
      </c>
      <c r="K292" s="143">
        <v>1644400000</v>
      </c>
    </row>
    <row r="293" spans="1:11" x14ac:dyDescent="0.2">
      <c r="A293" s="2">
        <f t="shared" si="34"/>
        <v>290</v>
      </c>
      <c r="B293" s="3">
        <f t="shared" si="35"/>
        <v>291</v>
      </c>
      <c r="C293" s="4">
        <v>198470000</v>
      </c>
      <c r="D293" s="4">
        <f t="shared" si="36"/>
        <v>34030000</v>
      </c>
      <c r="E293" s="4">
        <f t="shared" si="37"/>
        <v>8103043700</v>
      </c>
      <c r="F293" s="3" t="str" cm="1">
        <f t="array" ref="F293">CostScreen($C293)</f>
        <v>198,47M</v>
      </c>
    </row>
    <row r="294" spans="1:11" x14ac:dyDescent="0.2">
      <c r="A294" s="2">
        <f t="shared" si="34"/>
        <v>291</v>
      </c>
      <c r="B294" s="3">
        <f t="shared" si="35"/>
        <v>292</v>
      </c>
      <c r="C294" s="4">
        <v>198470000</v>
      </c>
      <c r="D294" s="4">
        <f t="shared" si="36"/>
        <v>0</v>
      </c>
      <c r="E294" s="4">
        <f t="shared" si="37"/>
        <v>8301513700</v>
      </c>
      <c r="F294" s="3" t="str" cm="1">
        <f t="array" ref="F294">CostScreen($C294)</f>
        <v>198,47M</v>
      </c>
    </row>
    <row r="295" spans="1:11" x14ac:dyDescent="0.2">
      <c r="A295" s="2">
        <f t="shared" si="34"/>
        <v>292</v>
      </c>
      <c r="B295" s="3">
        <f t="shared" si="35"/>
        <v>293</v>
      </c>
      <c r="C295" s="4">
        <v>198470000</v>
      </c>
      <c r="D295" s="4">
        <f t="shared" si="36"/>
        <v>0</v>
      </c>
      <c r="E295" s="4">
        <f t="shared" si="37"/>
        <v>8499983700</v>
      </c>
      <c r="F295" s="3" t="str" cm="1">
        <f t="array" ref="F295">CostScreen($C295)</f>
        <v>198,47M</v>
      </c>
    </row>
    <row r="296" spans="1:11" x14ac:dyDescent="0.2">
      <c r="A296" s="2">
        <f t="shared" si="34"/>
        <v>293</v>
      </c>
      <c r="B296" s="3">
        <f t="shared" si="35"/>
        <v>294</v>
      </c>
      <c r="C296" s="4">
        <v>198470000</v>
      </c>
      <c r="D296" s="4">
        <f t="shared" si="36"/>
        <v>0</v>
      </c>
      <c r="E296" s="4">
        <f t="shared" si="37"/>
        <v>8698453700</v>
      </c>
      <c r="F296" s="3" t="str" cm="1">
        <f t="array" ref="F296">CostScreen($C296)</f>
        <v>198,47M</v>
      </c>
    </row>
    <row r="297" spans="1:11" x14ac:dyDescent="0.2">
      <c r="A297" s="2">
        <f t="shared" si="34"/>
        <v>294</v>
      </c>
      <c r="B297" s="3">
        <f t="shared" si="35"/>
        <v>295</v>
      </c>
      <c r="C297" s="4">
        <v>198470000</v>
      </c>
      <c r="D297" s="4">
        <f t="shared" si="36"/>
        <v>0</v>
      </c>
      <c r="E297" s="4">
        <f t="shared" si="37"/>
        <v>8896923700</v>
      </c>
      <c r="F297" s="3" t="str" cm="1">
        <f t="array" ref="F297">CostScreen($C297)</f>
        <v>198,47M</v>
      </c>
    </row>
    <row r="298" spans="1:11" x14ac:dyDescent="0.2">
      <c r="A298" s="2">
        <f t="shared" si="34"/>
        <v>295</v>
      </c>
      <c r="B298" s="3">
        <f t="shared" si="35"/>
        <v>296</v>
      </c>
      <c r="C298" s="4">
        <v>198470000</v>
      </c>
      <c r="D298" s="4">
        <f t="shared" si="36"/>
        <v>0</v>
      </c>
      <c r="E298" s="4">
        <f t="shared" si="37"/>
        <v>9095393700</v>
      </c>
      <c r="F298" s="3" t="str" cm="1">
        <f t="array" ref="F298">CostScreen($C298)</f>
        <v>198,47M</v>
      </c>
    </row>
    <row r="299" spans="1:11" x14ac:dyDescent="0.2">
      <c r="A299" s="2">
        <f t="shared" si="34"/>
        <v>296</v>
      </c>
      <c r="B299" s="3">
        <f t="shared" si="35"/>
        <v>297</v>
      </c>
      <c r="C299" s="4">
        <v>198470000</v>
      </c>
      <c r="D299" s="4">
        <f t="shared" si="36"/>
        <v>0</v>
      </c>
      <c r="E299" s="4">
        <f t="shared" si="37"/>
        <v>9293863700</v>
      </c>
      <c r="F299" s="3" t="str" cm="1">
        <f t="array" ref="F299">CostScreen($C299)</f>
        <v>198,47M</v>
      </c>
    </row>
    <row r="300" spans="1:11" x14ac:dyDescent="0.2">
      <c r="A300" s="2">
        <f t="shared" si="34"/>
        <v>297</v>
      </c>
      <c r="B300" s="3">
        <f t="shared" si="35"/>
        <v>298</v>
      </c>
      <c r="C300" s="4">
        <v>198470000</v>
      </c>
      <c r="D300" s="4">
        <f t="shared" si="36"/>
        <v>0</v>
      </c>
      <c r="E300" s="4">
        <f t="shared" si="37"/>
        <v>9492333700</v>
      </c>
      <c r="F300" s="3" t="str" cm="1">
        <f t="array" ref="F300">CostScreen($C300)</f>
        <v>198,47M</v>
      </c>
    </row>
    <row r="301" spans="1:11" x14ac:dyDescent="0.2">
      <c r="A301" s="2">
        <f t="shared" si="34"/>
        <v>298</v>
      </c>
      <c r="B301" s="3">
        <f t="shared" si="35"/>
        <v>299</v>
      </c>
      <c r="C301" s="4">
        <v>198470000</v>
      </c>
      <c r="D301" s="4">
        <f t="shared" si="36"/>
        <v>0</v>
      </c>
      <c r="E301" s="4">
        <f t="shared" si="37"/>
        <v>9690803700</v>
      </c>
      <c r="F301" s="3" t="str" cm="1">
        <f t="array" ref="F301">CostScreen($C301)</f>
        <v>198,47M</v>
      </c>
    </row>
    <row r="302" spans="1:11" x14ac:dyDescent="0.2">
      <c r="A302" s="2">
        <f t="shared" si="34"/>
        <v>299</v>
      </c>
      <c r="B302" s="3">
        <f t="shared" si="35"/>
        <v>300</v>
      </c>
      <c r="C302" s="4">
        <v>198470000</v>
      </c>
      <c r="D302" s="4">
        <f t="shared" si="36"/>
        <v>0</v>
      </c>
      <c r="E302" s="4">
        <f t="shared" si="37"/>
        <v>9889273700</v>
      </c>
      <c r="F302" s="3" t="str" cm="1">
        <f t="array" ref="F302">CostScreen($C302)</f>
        <v>198,47M</v>
      </c>
      <c r="J302" s="1">
        <f>K302/10</f>
        <v>198470000</v>
      </c>
      <c r="K302" s="143">
        <v>1984700000</v>
      </c>
    </row>
  </sheetData>
  <mergeCells count="5">
    <mergeCell ref="AE10:AF10"/>
    <mergeCell ref="A1:F1"/>
    <mergeCell ref="H1:L1"/>
    <mergeCell ref="N1:R1"/>
    <mergeCell ref="Z8:AD8"/>
  </mergeCells>
  <conditionalFormatting sqref="U3:U41">
    <cfRule type="expression" dxfId="37" priority="5">
      <formula>AND($U4="",$U3&lt;&gt;"")</formula>
    </cfRule>
    <cfRule type="cellIs" dxfId="36" priority="6" operator="notEqual">
      <formula>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08F7-EA56-45FF-9245-DD8052CA9BFA}">
  <dimension ref="A1:AD12"/>
  <sheetViews>
    <sheetView workbookViewId="0">
      <selection activeCell="W1" sqref="W1"/>
    </sheetView>
  </sheetViews>
  <sheetFormatPr baseColWidth="10" defaultRowHeight="15" x14ac:dyDescent="0.25"/>
  <cols>
    <col min="10" max="16" width="6.5703125" customWidth="1"/>
  </cols>
  <sheetData>
    <row r="1" spans="1:30" ht="15.75" thickBot="1" x14ac:dyDescent="0.3">
      <c r="A1" s="257" t="s">
        <v>203</v>
      </c>
      <c r="B1" s="258"/>
      <c r="D1" s="296" t="s">
        <v>240</v>
      </c>
      <c r="E1" s="297"/>
      <c r="F1" s="297"/>
      <c r="H1" s="296" t="s">
        <v>240</v>
      </c>
      <c r="I1" s="297"/>
      <c r="J1" s="297"/>
      <c r="K1" s="297"/>
      <c r="L1" s="297"/>
      <c r="M1" s="297"/>
      <c r="N1" s="297"/>
      <c r="O1" s="297"/>
      <c r="P1" s="297"/>
      <c r="Q1" s="297"/>
      <c r="Z1" s="257" t="s">
        <v>257</v>
      </c>
      <c r="AA1" s="258"/>
      <c r="AC1" s="257" t="s">
        <v>262</v>
      </c>
      <c r="AD1" s="258"/>
    </row>
    <row r="2" spans="1:30" x14ac:dyDescent="0.25">
      <c r="A2" s="240" t="s">
        <v>196</v>
      </c>
      <c r="B2" s="60">
        <v>400000</v>
      </c>
      <c r="D2" s="223" t="s">
        <v>17</v>
      </c>
      <c r="E2" s="222" t="s">
        <v>20</v>
      </c>
      <c r="F2" s="222" t="s">
        <v>238</v>
      </c>
      <c r="H2" s="223" t="s">
        <v>78</v>
      </c>
      <c r="I2" s="247" t="s">
        <v>31</v>
      </c>
      <c r="J2" s="222" t="s">
        <v>79</v>
      </c>
      <c r="K2" s="222" t="s">
        <v>17</v>
      </c>
      <c r="L2" s="222" t="s">
        <v>241</v>
      </c>
      <c r="M2" s="222" t="s">
        <v>242</v>
      </c>
      <c r="N2" s="222" t="s">
        <v>243</v>
      </c>
      <c r="O2" s="222" t="s">
        <v>244</v>
      </c>
      <c r="P2" s="222" t="s">
        <v>245</v>
      </c>
      <c r="Q2" s="222" t="s">
        <v>144</v>
      </c>
      <c r="S2" s="223" t="s">
        <v>256</v>
      </c>
      <c r="T2" s="222" t="s">
        <v>241</v>
      </c>
      <c r="U2" s="222" t="s">
        <v>242</v>
      </c>
      <c r="V2" s="222" t="s">
        <v>243</v>
      </c>
      <c r="W2" s="222" t="s">
        <v>244</v>
      </c>
      <c r="X2" s="222" t="s">
        <v>245</v>
      </c>
      <c r="Z2" s="223" t="s">
        <v>79</v>
      </c>
      <c r="AA2" s="222" t="s">
        <v>258</v>
      </c>
      <c r="AC2" s="223" t="s">
        <v>79</v>
      </c>
      <c r="AD2" s="222" t="s">
        <v>12</v>
      </c>
    </row>
    <row r="3" spans="1:30" x14ac:dyDescent="0.25">
      <c r="A3" s="204" t="s">
        <v>197</v>
      </c>
      <c r="B3" s="13">
        <v>300</v>
      </c>
      <c r="D3" s="225">
        <v>1</v>
      </c>
      <c r="E3" s="4">
        <v>200</v>
      </c>
      <c r="F3" s="4">
        <f>E3*5</f>
        <v>1000</v>
      </c>
      <c r="H3" s="245" t="s">
        <v>246</v>
      </c>
      <c r="I3" s="248" t="s">
        <v>248</v>
      </c>
      <c r="J3" s="4">
        <v>1</v>
      </c>
      <c r="K3" s="246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237" t="s">
        <v>252</v>
      </c>
      <c r="S3" s="225">
        <v>1</v>
      </c>
      <c r="U3">
        <v>30</v>
      </c>
      <c r="Z3" s="225">
        <v>1</v>
      </c>
      <c r="AA3" s="4">
        <v>10</v>
      </c>
      <c r="AC3" s="225">
        <v>1</v>
      </c>
      <c r="AD3" s="4">
        <v>10</v>
      </c>
    </row>
    <row r="4" spans="1:30" x14ac:dyDescent="0.25">
      <c r="A4" s="204" t="s">
        <v>198</v>
      </c>
      <c r="B4" s="13">
        <v>975</v>
      </c>
      <c r="D4" s="225">
        <v>2</v>
      </c>
      <c r="E4" s="4">
        <v>400</v>
      </c>
      <c r="F4" s="4">
        <f t="shared" ref="F4:F7" si="0">E4*5</f>
        <v>2000</v>
      </c>
      <c r="H4" s="245" t="s">
        <v>247</v>
      </c>
      <c r="I4" s="248" t="s">
        <v>50</v>
      </c>
      <c r="J4" s="4">
        <v>50</v>
      </c>
      <c r="K4" s="246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237" t="s">
        <v>254</v>
      </c>
      <c r="S4" s="225">
        <v>2</v>
      </c>
      <c r="U4">
        <v>40</v>
      </c>
      <c r="Z4" s="225">
        <v>2</v>
      </c>
      <c r="AA4" s="4">
        <v>20</v>
      </c>
      <c r="AC4" s="225">
        <v>2</v>
      </c>
      <c r="AD4" s="4">
        <v>20</v>
      </c>
    </row>
    <row r="5" spans="1:30" ht="15.75" thickBot="1" x14ac:dyDescent="0.3">
      <c r="A5" s="241" t="s">
        <v>235</v>
      </c>
      <c r="B5" s="22">
        <v>9985660300</v>
      </c>
      <c r="D5" s="225">
        <v>3</v>
      </c>
      <c r="E5" s="4">
        <v>800</v>
      </c>
      <c r="F5" s="4">
        <f t="shared" si="0"/>
        <v>4000</v>
      </c>
      <c r="H5" s="245" t="s">
        <v>249</v>
      </c>
      <c r="I5" s="248" t="s">
        <v>61</v>
      </c>
      <c r="J5" s="4">
        <v>50</v>
      </c>
      <c r="K5" s="246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237" t="s">
        <v>261</v>
      </c>
      <c r="S5" s="225">
        <v>3</v>
      </c>
      <c r="U5">
        <v>50</v>
      </c>
      <c r="Z5" s="225">
        <v>3</v>
      </c>
      <c r="AA5" s="4">
        <v>30</v>
      </c>
      <c r="AC5" s="225">
        <v>3</v>
      </c>
      <c r="AD5" s="4">
        <v>30</v>
      </c>
    </row>
    <row r="6" spans="1:30" x14ac:dyDescent="0.25">
      <c r="D6" s="225">
        <v>4</v>
      </c>
      <c r="E6" s="4">
        <v>2500</v>
      </c>
      <c r="F6" s="4">
        <f t="shared" si="0"/>
        <v>12500</v>
      </c>
      <c r="H6" s="245" t="s">
        <v>250</v>
      </c>
      <c r="I6" s="248" t="s">
        <v>53</v>
      </c>
      <c r="J6" s="4">
        <v>150</v>
      </c>
      <c r="K6" s="246">
        <v>3</v>
      </c>
      <c r="L6" s="4">
        <v>5</v>
      </c>
      <c r="M6" s="4">
        <v>5</v>
      </c>
      <c r="N6" s="4">
        <v>2</v>
      </c>
      <c r="O6" s="4">
        <v>0</v>
      </c>
      <c r="P6" s="4">
        <v>0</v>
      </c>
      <c r="Q6" s="237" t="s">
        <v>253</v>
      </c>
      <c r="S6" s="225">
        <v>4</v>
      </c>
      <c r="Z6" s="225">
        <v>4</v>
      </c>
      <c r="AA6" s="4">
        <v>40</v>
      </c>
      <c r="AC6" s="225">
        <v>4</v>
      </c>
      <c r="AD6" s="4">
        <v>40</v>
      </c>
    </row>
    <row r="7" spans="1:30" x14ac:dyDescent="0.25">
      <c r="D7" s="225">
        <v>5</v>
      </c>
      <c r="E7" s="4">
        <v>5000</v>
      </c>
      <c r="F7" s="4">
        <f t="shared" si="0"/>
        <v>25000</v>
      </c>
      <c r="H7" s="245" t="s">
        <v>251</v>
      </c>
      <c r="I7" s="248" t="s">
        <v>55</v>
      </c>
      <c r="J7" s="4">
        <v>50</v>
      </c>
      <c r="K7" s="246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237" t="s">
        <v>255</v>
      </c>
      <c r="S7" s="225">
        <v>5</v>
      </c>
      <c r="Z7" s="225">
        <v>5</v>
      </c>
      <c r="AA7" s="4">
        <v>50</v>
      </c>
      <c r="AC7" s="225">
        <v>5</v>
      </c>
      <c r="AD7" s="4">
        <v>50</v>
      </c>
    </row>
    <row r="8" spans="1:30" x14ac:dyDescent="0.25">
      <c r="Z8" s="225">
        <v>6</v>
      </c>
      <c r="AA8" s="4">
        <v>75</v>
      </c>
      <c r="AC8" s="225">
        <v>6</v>
      </c>
      <c r="AD8" s="4">
        <v>75</v>
      </c>
    </row>
    <row r="9" spans="1:30" x14ac:dyDescent="0.25">
      <c r="Z9" s="225">
        <v>7</v>
      </c>
      <c r="AA9" s="4">
        <v>100</v>
      </c>
      <c r="AC9" s="225">
        <v>7</v>
      </c>
      <c r="AD9" s="4">
        <v>100</v>
      </c>
    </row>
    <row r="10" spans="1:30" x14ac:dyDescent="0.25">
      <c r="Z10" s="225">
        <v>8</v>
      </c>
      <c r="AA10" s="4">
        <v>200</v>
      </c>
      <c r="AC10" s="225">
        <v>8</v>
      </c>
      <c r="AD10" s="4">
        <v>200</v>
      </c>
    </row>
    <row r="11" spans="1:30" x14ac:dyDescent="0.25">
      <c r="Z11" s="225">
        <v>9</v>
      </c>
      <c r="AA11" s="4">
        <v>300</v>
      </c>
      <c r="AC11" s="225">
        <v>9</v>
      </c>
      <c r="AD11" s="4">
        <v>300</v>
      </c>
    </row>
    <row r="12" spans="1:30" x14ac:dyDescent="0.25">
      <c r="Z12" s="225">
        <v>10</v>
      </c>
      <c r="AA12" s="4">
        <v>600</v>
      </c>
      <c r="AC12" s="225">
        <v>10</v>
      </c>
      <c r="AD12" s="4">
        <v>600</v>
      </c>
    </row>
  </sheetData>
  <mergeCells count="5">
    <mergeCell ref="A1:B1"/>
    <mergeCell ref="D1:F1"/>
    <mergeCell ref="H1:Q1"/>
    <mergeCell ref="Z1:AA1"/>
    <mergeCell ref="AC1:AD1"/>
  </mergeCells>
  <phoneticPr fontId="11" type="noConversion"/>
  <conditionalFormatting sqref="B2:B4">
    <cfRule type="expression" dxfId="35" priority="33">
      <formula>$C2="Fire"</formula>
    </cfRule>
    <cfRule type="expression" dxfId="34" priority="34">
      <formula>$C2="Water"</formula>
    </cfRule>
    <cfRule type="expression" dxfId="33" priority="35">
      <formula>$C2="Electricity"</formula>
    </cfRule>
    <cfRule type="expression" dxfId="32" priority="36">
      <formula>$C2="Wood"</formula>
    </cfRule>
  </conditionalFormatting>
  <conditionalFormatting sqref="E2:E4">
    <cfRule type="expression" dxfId="31" priority="29">
      <formula>$C2="Fire"</formula>
    </cfRule>
    <cfRule type="expression" dxfId="30" priority="30">
      <formula>$C2="Water"</formula>
    </cfRule>
    <cfRule type="expression" dxfId="29" priority="31">
      <formula>$C2="Electricity"</formula>
    </cfRule>
    <cfRule type="expression" dxfId="28" priority="32">
      <formula>$C2="Wood"</formula>
    </cfRule>
  </conditionalFormatting>
  <conditionalFormatting sqref="J2:P4">
    <cfRule type="expression" dxfId="27" priority="1">
      <formula>$C2="Fire"</formula>
    </cfRule>
    <cfRule type="expression" dxfId="26" priority="2">
      <formula>$C2="Water"</formula>
    </cfRule>
    <cfRule type="expression" dxfId="25" priority="3">
      <formula>$C2="Electricity"</formula>
    </cfRule>
    <cfRule type="expression" dxfId="24" priority="4">
      <formula>$C2="Wood"</formula>
    </cfRule>
  </conditionalFormatting>
  <conditionalFormatting sqref="Q2:Q7">
    <cfRule type="expression" dxfId="23" priority="21">
      <formula>$C2="Fire"</formula>
    </cfRule>
    <cfRule type="expression" dxfId="22" priority="22">
      <formula>$C2="Water"</formula>
    </cfRule>
    <cfRule type="expression" dxfId="21" priority="23">
      <formula>$C2="Electricity"</formula>
    </cfRule>
    <cfRule type="expression" dxfId="20" priority="24">
      <formula>$C2="Wood"</formula>
    </cfRule>
  </conditionalFormatting>
  <conditionalFormatting sqref="T2:X2">
    <cfRule type="expression" dxfId="19" priority="17">
      <formula>$C2="Fire"</formula>
    </cfRule>
    <cfRule type="expression" dxfId="18" priority="18">
      <formula>$C2="Water"</formula>
    </cfRule>
    <cfRule type="expression" dxfId="17" priority="19">
      <formula>$C2="Electricity"</formula>
    </cfRule>
    <cfRule type="expression" dxfId="16" priority="20">
      <formula>$C2="Wood"</formula>
    </cfRule>
  </conditionalFormatting>
  <conditionalFormatting sqref="AA2">
    <cfRule type="expression" dxfId="15" priority="13">
      <formula>$C2="Fire"</formula>
    </cfRule>
    <cfRule type="expression" dxfId="14" priority="14">
      <formula>$C2="Water"</formula>
    </cfRule>
    <cfRule type="expression" dxfId="13" priority="15">
      <formula>$C2="Electricity"</formula>
    </cfRule>
    <cfRule type="expression" dxfId="12" priority="16">
      <formula>$C2="Wood"</formula>
    </cfRule>
  </conditionalFormatting>
  <conditionalFormatting sqref="AD2">
    <cfRule type="expression" dxfId="11" priority="9">
      <formula>$C2="Fire"</formula>
    </cfRule>
    <cfRule type="expression" dxfId="10" priority="10">
      <formula>$C2="Water"</formula>
    </cfRule>
    <cfRule type="expression" dxfId="9" priority="11">
      <formula>$C2="Electricity"</formula>
    </cfRule>
    <cfRule type="expression" dxfId="8" priority="12">
      <formula>$C2="Wood"</formula>
    </cfRule>
  </conditionalFormatting>
  <dataValidations count="1">
    <dataValidation type="list" allowBlank="1" showInputMessage="1" showErrorMessage="1" sqref="B1 AA1" xr:uid="{929BF85B-EB90-43A6-A14D-E3331DDC3FD1}">
      <formula1>"Water,Fire,Wood,Electricity"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0178-2ED7-468E-9FF6-9FC863E83BD8}">
  <dimension ref="A1:L96"/>
  <sheetViews>
    <sheetView workbookViewId="0">
      <selection activeCell="J18" sqref="J18"/>
    </sheetView>
  </sheetViews>
  <sheetFormatPr baseColWidth="10" defaultRowHeight="15" x14ac:dyDescent="0.25"/>
  <cols>
    <col min="6" max="7" width="15.28515625" customWidth="1"/>
    <col min="8" max="9" width="15.28515625" style="253" customWidth="1"/>
    <col min="11" max="11" width="11.42578125" style="252"/>
  </cols>
  <sheetData>
    <row r="1" spans="1:12" x14ac:dyDescent="0.25">
      <c r="A1" s="257" t="s">
        <v>262</v>
      </c>
      <c r="B1" s="298"/>
      <c r="C1" s="298"/>
      <c r="D1" s="258"/>
      <c r="F1" s="296" t="s">
        <v>277</v>
      </c>
      <c r="G1" s="297"/>
      <c r="H1" s="297"/>
      <c r="I1" s="297"/>
      <c r="J1" s="297"/>
      <c r="K1" s="297"/>
      <c r="L1" s="297"/>
    </row>
    <row r="2" spans="1:12" x14ac:dyDescent="0.25">
      <c r="A2" s="223" t="s">
        <v>83</v>
      </c>
      <c r="B2" s="223" t="s">
        <v>78</v>
      </c>
      <c r="C2" s="247" t="s">
        <v>17</v>
      </c>
      <c r="D2" s="222" t="s">
        <v>12</v>
      </c>
      <c r="F2" s="223" t="s">
        <v>278</v>
      </c>
      <c r="G2" s="223" t="s">
        <v>31</v>
      </c>
      <c r="H2" s="247" t="s">
        <v>282</v>
      </c>
      <c r="I2" s="247" t="s">
        <v>78</v>
      </c>
      <c r="J2" s="247" t="s">
        <v>79</v>
      </c>
      <c r="K2" s="251" t="s">
        <v>279</v>
      </c>
      <c r="L2" s="251" t="s">
        <v>387</v>
      </c>
    </row>
    <row r="3" spans="1:12" x14ac:dyDescent="0.25">
      <c r="A3" s="225">
        <v>1</v>
      </c>
      <c r="B3" s="225" t="s">
        <v>266</v>
      </c>
      <c r="C3" s="250">
        <v>0</v>
      </c>
      <c r="D3" s="4">
        <v>10</v>
      </c>
      <c r="F3" s="225" t="s">
        <v>280</v>
      </c>
      <c r="G3" s="225" t="s">
        <v>97</v>
      </c>
      <c r="H3" s="248" t="s">
        <v>97</v>
      </c>
      <c r="I3" s="248" t="s">
        <v>324</v>
      </c>
      <c r="J3" s="250" t="s">
        <v>325</v>
      </c>
      <c r="K3" s="246">
        <v>10</v>
      </c>
      <c r="L3" s="246"/>
    </row>
    <row r="4" spans="1:12" x14ac:dyDescent="0.25">
      <c r="A4" s="225">
        <v>1</v>
      </c>
      <c r="B4" s="225" t="s">
        <v>266</v>
      </c>
      <c r="C4" s="250">
        <v>1</v>
      </c>
      <c r="D4" s="4">
        <v>10</v>
      </c>
      <c r="F4" s="225" t="s">
        <v>280</v>
      </c>
      <c r="G4" s="225" t="s">
        <v>97</v>
      </c>
      <c r="H4" s="248" t="s">
        <v>317</v>
      </c>
      <c r="I4" s="248" t="s">
        <v>315</v>
      </c>
      <c r="J4" s="250" t="s">
        <v>325</v>
      </c>
      <c r="K4" s="246">
        <v>15</v>
      </c>
      <c r="L4" s="246"/>
    </row>
    <row r="5" spans="1:12" x14ac:dyDescent="0.25">
      <c r="A5" s="225">
        <v>2</v>
      </c>
      <c r="B5" s="225" t="s">
        <v>267</v>
      </c>
      <c r="C5" s="250">
        <v>0</v>
      </c>
      <c r="D5" s="4">
        <v>20</v>
      </c>
      <c r="F5" s="225" t="s">
        <v>280</v>
      </c>
      <c r="G5" s="225" t="s">
        <v>97</v>
      </c>
      <c r="H5" s="248" t="s">
        <v>286</v>
      </c>
      <c r="I5" s="248" t="s">
        <v>287</v>
      </c>
      <c r="J5" s="250" t="s">
        <v>325</v>
      </c>
      <c r="K5" s="246">
        <v>8</v>
      </c>
      <c r="L5" s="246"/>
    </row>
    <row r="6" spans="1:12" x14ac:dyDescent="0.25">
      <c r="A6" s="225">
        <v>2</v>
      </c>
      <c r="B6" s="225" t="s">
        <v>267</v>
      </c>
      <c r="C6" s="250">
        <v>1</v>
      </c>
      <c r="D6" s="4">
        <v>20</v>
      </c>
      <c r="F6" s="225" t="s">
        <v>280</v>
      </c>
      <c r="G6" s="225" t="s">
        <v>97</v>
      </c>
      <c r="H6" s="248" t="s">
        <v>291</v>
      </c>
      <c r="I6" s="248" t="s">
        <v>292</v>
      </c>
      <c r="J6" s="250" t="s">
        <v>325</v>
      </c>
      <c r="K6" s="246">
        <v>8</v>
      </c>
      <c r="L6" s="246"/>
    </row>
    <row r="7" spans="1:12" x14ac:dyDescent="0.25">
      <c r="A7" s="225">
        <v>2</v>
      </c>
      <c r="B7" s="225" t="s">
        <v>267</v>
      </c>
      <c r="C7" s="250">
        <v>2</v>
      </c>
      <c r="D7" s="4">
        <v>20</v>
      </c>
      <c r="F7" s="225" t="s">
        <v>280</v>
      </c>
      <c r="G7" s="225" t="s">
        <v>97</v>
      </c>
      <c r="H7" s="248" t="s">
        <v>97</v>
      </c>
      <c r="I7" s="248" t="s">
        <v>316</v>
      </c>
      <c r="J7" s="250" t="s">
        <v>325</v>
      </c>
      <c r="K7" s="246">
        <v>7</v>
      </c>
      <c r="L7" s="246"/>
    </row>
    <row r="8" spans="1:12" x14ac:dyDescent="0.25">
      <c r="A8" s="225">
        <v>2</v>
      </c>
      <c r="B8" s="225" t="s">
        <v>267</v>
      </c>
      <c r="C8" s="250">
        <v>3</v>
      </c>
      <c r="D8" s="4">
        <v>20</v>
      </c>
      <c r="F8" s="225" t="s">
        <v>280</v>
      </c>
      <c r="G8" s="225" t="s">
        <v>97</v>
      </c>
      <c r="H8" s="248" t="s">
        <v>317</v>
      </c>
      <c r="I8" s="248" t="s">
        <v>283</v>
      </c>
      <c r="J8" s="250" t="s">
        <v>325</v>
      </c>
      <c r="K8" s="246">
        <v>8</v>
      </c>
      <c r="L8" s="246"/>
    </row>
    <row r="9" spans="1:12" x14ac:dyDescent="0.25">
      <c r="A9" s="225">
        <v>3</v>
      </c>
      <c r="B9" s="225" t="s">
        <v>268</v>
      </c>
      <c r="C9" s="250">
        <v>0</v>
      </c>
      <c r="D9" s="4">
        <v>20</v>
      </c>
      <c r="F9" s="225" t="s">
        <v>280</v>
      </c>
      <c r="G9" s="225" t="s">
        <v>97</v>
      </c>
      <c r="H9" s="248" t="s">
        <v>286</v>
      </c>
      <c r="I9" s="248" t="s">
        <v>288</v>
      </c>
      <c r="J9" s="250" t="s">
        <v>325</v>
      </c>
      <c r="K9" s="246">
        <v>5</v>
      </c>
      <c r="L9" s="246"/>
    </row>
    <row r="10" spans="1:12" x14ac:dyDescent="0.25">
      <c r="A10" s="225">
        <v>3</v>
      </c>
      <c r="B10" s="225" t="s">
        <v>268</v>
      </c>
      <c r="C10" s="250">
        <v>1</v>
      </c>
      <c r="D10" s="4">
        <v>20</v>
      </c>
      <c r="F10" s="225" t="s">
        <v>280</v>
      </c>
      <c r="G10" s="225" t="s">
        <v>97</v>
      </c>
      <c r="H10" s="248" t="s">
        <v>291</v>
      </c>
      <c r="I10" s="248" t="s">
        <v>293</v>
      </c>
      <c r="J10" s="250" t="s">
        <v>325</v>
      </c>
      <c r="K10" s="246">
        <v>5</v>
      </c>
      <c r="L10" s="246"/>
    </row>
    <row r="11" spans="1:12" x14ac:dyDescent="0.25">
      <c r="A11" s="225">
        <v>3</v>
      </c>
      <c r="B11" s="225" t="s">
        <v>268</v>
      </c>
      <c r="C11" s="250">
        <v>2</v>
      </c>
      <c r="D11" s="4"/>
      <c r="F11" s="225" t="s">
        <v>280</v>
      </c>
      <c r="G11" s="225" t="s">
        <v>97</v>
      </c>
      <c r="H11" s="248" t="s">
        <v>97</v>
      </c>
      <c r="I11" s="248" t="s">
        <v>326</v>
      </c>
      <c r="J11" s="250" t="s">
        <v>327</v>
      </c>
      <c r="K11" s="246">
        <v>4</v>
      </c>
      <c r="L11" s="246"/>
    </row>
    <row r="12" spans="1:12" x14ac:dyDescent="0.25">
      <c r="A12" s="225">
        <v>3</v>
      </c>
      <c r="B12" s="225" t="s">
        <v>268</v>
      </c>
      <c r="C12" s="250">
        <v>3</v>
      </c>
      <c r="D12" s="4"/>
      <c r="F12" s="225" t="s">
        <v>280</v>
      </c>
      <c r="G12" s="225" t="s">
        <v>97</v>
      </c>
      <c r="H12" s="248" t="s">
        <v>317</v>
      </c>
      <c r="I12" s="248" t="s">
        <v>284</v>
      </c>
      <c r="J12" s="250" t="s">
        <v>327</v>
      </c>
      <c r="K12" s="246">
        <v>4</v>
      </c>
      <c r="L12" s="246"/>
    </row>
    <row r="13" spans="1:12" x14ac:dyDescent="0.25">
      <c r="A13" s="225">
        <v>4</v>
      </c>
      <c r="B13" s="225" t="s">
        <v>269</v>
      </c>
      <c r="C13" s="250">
        <v>0</v>
      </c>
      <c r="D13" s="4"/>
      <c r="F13" s="225" t="s">
        <v>280</v>
      </c>
      <c r="G13" s="225" t="s">
        <v>97</v>
      </c>
      <c r="H13" s="248" t="s">
        <v>286</v>
      </c>
      <c r="I13" s="248" t="s">
        <v>289</v>
      </c>
      <c r="J13" s="250" t="s">
        <v>327</v>
      </c>
      <c r="K13" s="246">
        <v>2.5</v>
      </c>
      <c r="L13" s="246"/>
    </row>
    <row r="14" spans="1:12" x14ac:dyDescent="0.25">
      <c r="A14" s="225">
        <v>4</v>
      </c>
      <c r="B14" s="225" t="s">
        <v>269</v>
      </c>
      <c r="C14" s="250">
        <v>1</v>
      </c>
      <c r="D14" s="4"/>
      <c r="F14" s="225" t="s">
        <v>280</v>
      </c>
      <c r="G14" s="225" t="s">
        <v>97</v>
      </c>
      <c r="H14" s="248" t="s">
        <v>291</v>
      </c>
      <c r="I14" s="248" t="s">
        <v>294</v>
      </c>
      <c r="J14" s="250" t="s">
        <v>327</v>
      </c>
      <c r="K14" s="246">
        <v>2.5</v>
      </c>
      <c r="L14" s="246"/>
    </row>
    <row r="15" spans="1:12" x14ac:dyDescent="0.25">
      <c r="A15" s="225">
        <v>4</v>
      </c>
      <c r="B15" s="225" t="s">
        <v>269</v>
      </c>
      <c r="C15" s="250">
        <v>2</v>
      </c>
      <c r="D15" s="4"/>
      <c r="F15" s="225" t="s">
        <v>280</v>
      </c>
      <c r="G15" s="225" t="s">
        <v>97</v>
      </c>
      <c r="H15" s="248" t="s">
        <v>97</v>
      </c>
      <c r="I15" s="248" t="s">
        <v>329</v>
      </c>
      <c r="J15" s="250" t="s">
        <v>328</v>
      </c>
      <c r="K15" s="246">
        <v>2</v>
      </c>
      <c r="L15" s="246"/>
    </row>
    <row r="16" spans="1:12" x14ac:dyDescent="0.25">
      <c r="A16" s="225">
        <v>4</v>
      </c>
      <c r="B16" s="225" t="s">
        <v>269</v>
      </c>
      <c r="C16" s="250">
        <v>3</v>
      </c>
      <c r="D16" s="4"/>
      <c r="F16" s="225" t="s">
        <v>280</v>
      </c>
      <c r="G16" s="225" t="s">
        <v>97</v>
      </c>
      <c r="H16" s="248" t="s">
        <v>317</v>
      </c>
      <c r="I16" s="248" t="s">
        <v>285</v>
      </c>
      <c r="J16" s="250" t="s">
        <v>328</v>
      </c>
      <c r="K16" s="246">
        <v>3</v>
      </c>
      <c r="L16" s="246"/>
    </row>
    <row r="17" spans="1:12" x14ac:dyDescent="0.25">
      <c r="A17" s="225">
        <v>5</v>
      </c>
      <c r="B17" s="225" t="s">
        <v>270</v>
      </c>
      <c r="C17" s="250">
        <v>0</v>
      </c>
      <c r="D17" s="4"/>
      <c r="F17" s="225" t="s">
        <v>280</v>
      </c>
      <c r="G17" s="225" t="s">
        <v>97</v>
      </c>
      <c r="H17" s="248" t="s">
        <v>286</v>
      </c>
      <c r="I17" s="248" t="s">
        <v>290</v>
      </c>
      <c r="J17" s="250" t="s">
        <v>328</v>
      </c>
      <c r="K17" s="246">
        <v>1.5</v>
      </c>
      <c r="L17" s="246"/>
    </row>
    <row r="18" spans="1:12" x14ac:dyDescent="0.25">
      <c r="A18" s="225">
        <v>5</v>
      </c>
      <c r="B18" s="225" t="s">
        <v>270</v>
      </c>
      <c r="C18" s="250">
        <v>1</v>
      </c>
      <c r="D18" s="4"/>
      <c r="F18" s="225" t="s">
        <v>280</v>
      </c>
      <c r="G18" s="225" t="s">
        <v>97</v>
      </c>
      <c r="H18" s="248" t="s">
        <v>291</v>
      </c>
      <c r="I18" s="248" t="s">
        <v>295</v>
      </c>
      <c r="J18" s="250" t="s">
        <v>328</v>
      </c>
      <c r="K18" s="246">
        <v>1.5</v>
      </c>
      <c r="L18" s="246"/>
    </row>
    <row r="19" spans="1:12" x14ac:dyDescent="0.25">
      <c r="A19" s="225">
        <v>5</v>
      </c>
      <c r="B19" s="225" t="s">
        <v>270</v>
      </c>
      <c r="C19" s="250">
        <v>2</v>
      </c>
      <c r="D19" s="4"/>
      <c r="F19" s="225" t="s">
        <v>280</v>
      </c>
      <c r="G19" s="225" t="s">
        <v>98</v>
      </c>
      <c r="H19" s="248" t="s">
        <v>318</v>
      </c>
      <c r="I19" s="248" t="s">
        <v>323</v>
      </c>
      <c r="J19" s="250" t="s">
        <v>325</v>
      </c>
      <c r="K19" s="246">
        <v>10</v>
      </c>
      <c r="L19" s="246"/>
    </row>
    <row r="20" spans="1:12" x14ac:dyDescent="0.25">
      <c r="A20" s="225">
        <v>5</v>
      </c>
      <c r="B20" s="225" t="s">
        <v>270</v>
      </c>
      <c r="C20" s="250">
        <v>3</v>
      </c>
      <c r="D20" s="4"/>
      <c r="F20" s="225" t="s">
        <v>280</v>
      </c>
      <c r="G20" s="225" t="s">
        <v>98</v>
      </c>
      <c r="H20" s="248" t="s">
        <v>297</v>
      </c>
      <c r="I20" s="248" t="s">
        <v>330</v>
      </c>
      <c r="J20" s="250" t="s">
        <v>325</v>
      </c>
      <c r="K20" s="246">
        <v>10</v>
      </c>
      <c r="L20" s="246"/>
    </row>
    <row r="21" spans="1:12" x14ac:dyDescent="0.25">
      <c r="A21" s="225">
        <v>6</v>
      </c>
      <c r="B21" s="225" t="s">
        <v>271</v>
      </c>
      <c r="C21" s="250">
        <v>0</v>
      </c>
      <c r="D21" s="4"/>
      <c r="F21" s="225" t="s">
        <v>280</v>
      </c>
      <c r="G21" s="225" t="s">
        <v>98</v>
      </c>
      <c r="H21" s="248" t="s">
        <v>319</v>
      </c>
      <c r="I21" s="248" t="s">
        <v>331</v>
      </c>
      <c r="J21" s="250" t="s">
        <v>325</v>
      </c>
      <c r="K21" s="246">
        <v>15</v>
      </c>
      <c r="L21" s="246"/>
    </row>
    <row r="22" spans="1:12" x14ac:dyDescent="0.25">
      <c r="A22" s="225">
        <v>6</v>
      </c>
      <c r="B22" s="225" t="s">
        <v>271</v>
      </c>
      <c r="C22" s="250">
        <v>1</v>
      </c>
      <c r="D22" s="4"/>
      <c r="F22" s="225" t="s">
        <v>280</v>
      </c>
      <c r="G22" s="225" t="s">
        <v>98</v>
      </c>
      <c r="H22" s="248" t="s">
        <v>320</v>
      </c>
      <c r="I22" s="248" t="s">
        <v>332</v>
      </c>
      <c r="J22" s="250" t="s">
        <v>325</v>
      </c>
      <c r="K22" s="246">
        <v>8</v>
      </c>
      <c r="L22" s="246"/>
    </row>
    <row r="23" spans="1:12" x14ac:dyDescent="0.25">
      <c r="A23" s="225">
        <v>6</v>
      </c>
      <c r="B23" s="225" t="s">
        <v>271</v>
      </c>
      <c r="C23" s="250">
        <v>2</v>
      </c>
      <c r="D23" s="4"/>
      <c r="F23" s="225" t="s">
        <v>280</v>
      </c>
      <c r="G23" s="225" t="s">
        <v>98</v>
      </c>
      <c r="H23" s="248" t="s">
        <v>321</v>
      </c>
      <c r="I23" s="248" t="s">
        <v>302</v>
      </c>
      <c r="J23" s="250" t="s">
        <v>325</v>
      </c>
      <c r="K23" s="246">
        <v>8</v>
      </c>
      <c r="L23" s="246"/>
    </row>
    <row r="24" spans="1:12" x14ac:dyDescent="0.25">
      <c r="A24" s="225">
        <v>6</v>
      </c>
      <c r="B24" s="225" t="s">
        <v>271</v>
      </c>
      <c r="C24" s="250">
        <v>3</v>
      </c>
      <c r="D24" s="4"/>
      <c r="F24" s="225" t="s">
        <v>280</v>
      </c>
      <c r="G24" s="225" t="s">
        <v>98</v>
      </c>
      <c r="H24" s="248" t="s">
        <v>322</v>
      </c>
      <c r="I24" s="248" t="s">
        <v>303</v>
      </c>
      <c r="J24" s="250" t="s">
        <v>325</v>
      </c>
      <c r="K24" s="246">
        <v>12</v>
      </c>
      <c r="L24" s="246"/>
    </row>
    <row r="25" spans="1:12" x14ac:dyDescent="0.25">
      <c r="A25" s="225">
        <v>7</v>
      </c>
      <c r="B25" s="225" t="s">
        <v>272</v>
      </c>
      <c r="C25" s="250">
        <v>0</v>
      </c>
      <c r="D25" s="4"/>
      <c r="F25" s="225" t="s">
        <v>280</v>
      </c>
      <c r="G25" s="225" t="s">
        <v>98</v>
      </c>
      <c r="H25" s="248" t="s">
        <v>318</v>
      </c>
      <c r="I25" s="248" t="s">
        <v>296</v>
      </c>
      <c r="J25" s="250" t="s">
        <v>325</v>
      </c>
      <c r="K25" s="246">
        <v>7</v>
      </c>
      <c r="L25" s="246"/>
    </row>
    <row r="26" spans="1:12" x14ac:dyDescent="0.25">
      <c r="A26" s="225">
        <v>7</v>
      </c>
      <c r="B26" s="225" t="s">
        <v>272</v>
      </c>
      <c r="C26" s="250">
        <v>1</v>
      </c>
      <c r="D26" s="4"/>
      <c r="F26" s="225" t="s">
        <v>280</v>
      </c>
      <c r="G26" s="225" t="s">
        <v>98</v>
      </c>
      <c r="H26" s="248" t="s">
        <v>297</v>
      </c>
      <c r="I26" s="248" t="s">
        <v>298</v>
      </c>
      <c r="J26" s="250" t="s">
        <v>325</v>
      </c>
      <c r="K26" s="246">
        <v>7</v>
      </c>
      <c r="L26" s="246"/>
    </row>
    <row r="27" spans="1:12" x14ac:dyDescent="0.25">
      <c r="A27" s="225">
        <v>7</v>
      </c>
      <c r="B27" s="225" t="s">
        <v>272</v>
      </c>
      <c r="C27" s="250">
        <v>2</v>
      </c>
      <c r="D27" s="4"/>
      <c r="F27" s="225" t="s">
        <v>280</v>
      </c>
      <c r="G27" s="225" t="s">
        <v>98</v>
      </c>
      <c r="H27" s="248" t="s">
        <v>319</v>
      </c>
      <c r="I27" s="248" t="s">
        <v>333</v>
      </c>
      <c r="J27" s="250" t="s">
        <v>325</v>
      </c>
      <c r="K27" s="246">
        <v>8</v>
      </c>
      <c r="L27" s="246"/>
    </row>
    <row r="28" spans="1:12" x14ac:dyDescent="0.25">
      <c r="A28" s="225">
        <v>7</v>
      </c>
      <c r="B28" s="225" t="s">
        <v>272</v>
      </c>
      <c r="C28" s="250">
        <v>3</v>
      </c>
      <c r="D28" s="4"/>
      <c r="F28" s="225" t="s">
        <v>280</v>
      </c>
      <c r="G28" s="225" t="s">
        <v>98</v>
      </c>
      <c r="H28" s="248" t="s">
        <v>320</v>
      </c>
      <c r="I28" s="248" t="s">
        <v>334</v>
      </c>
      <c r="J28" s="250" t="s">
        <v>325</v>
      </c>
      <c r="K28" s="246">
        <v>5</v>
      </c>
      <c r="L28" s="246"/>
    </row>
    <row r="29" spans="1:12" x14ac:dyDescent="0.25">
      <c r="A29" s="225">
        <v>8</v>
      </c>
      <c r="B29" s="250" t="s">
        <v>273</v>
      </c>
      <c r="C29" s="250">
        <v>0</v>
      </c>
      <c r="D29" s="4"/>
      <c r="F29" s="225" t="s">
        <v>280</v>
      </c>
      <c r="G29" s="225" t="s">
        <v>98</v>
      </c>
      <c r="H29" s="248" t="s">
        <v>321</v>
      </c>
      <c r="I29" s="248" t="s">
        <v>335</v>
      </c>
      <c r="J29" s="250" t="s">
        <v>325</v>
      </c>
      <c r="K29" s="246">
        <v>5</v>
      </c>
      <c r="L29" s="246"/>
    </row>
    <row r="30" spans="1:12" x14ac:dyDescent="0.25">
      <c r="A30" s="225">
        <v>8</v>
      </c>
      <c r="B30" s="250" t="s">
        <v>273</v>
      </c>
      <c r="C30" s="250">
        <v>1</v>
      </c>
      <c r="D30" s="4"/>
      <c r="F30" s="225" t="s">
        <v>280</v>
      </c>
      <c r="G30" s="225" t="s">
        <v>98</v>
      </c>
      <c r="H30" s="248" t="s">
        <v>322</v>
      </c>
      <c r="I30" s="248" t="s">
        <v>336</v>
      </c>
      <c r="J30" s="250" t="s">
        <v>325</v>
      </c>
      <c r="K30" s="246">
        <v>7</v>
      </c>
      <c r="L30" s="246"/>
    </row>
    <row r="31" spans="1:12" x14ac:dyDescent="0.25">
      <c r="A31" s="225">
        <v>8</v>
      </c>
      <c r="B31" s="250" t="s">
        <v>273</v>
      </c>
      <c r="C31" s="250">
        <v>2</v>
      </c>
      <c r="D31" s="4"/>
      <c r="F31" s="225" t="s">
        <v>280</v>
      </c>
      <c r="G31" s="225" t="s">
        <v>98</v>
      </c>
      <c r="H31" s="248" t="s">
        <v>318</v>
      </c>
      <c r="I31" s="248" t="s">
        <v>337</v>
      </c>
      <c r="J31" s="250" t="s">
        <v>327</v>
      </c>
      <c r="K31" s="246">
        <v>4</v>
      </c>
      <c r="L31" s="246"/>
    </row>
    <row r="32" spans="1:12" x14ac:dyDescent="0.25">
      <c r="A32" s="225">
        <v>8</v>
      </c>
      <c r="B32" s="250" t="s">
        <v>273</v>
      </c>
      <c r="C32" s="250">
        <v>3</v>
      </c>
      <c r="D32" s="4"/>
      <c r="F32" s="225" t="s">
        <v>280</v>
      </c>
      <c r="G32" s="225" t="s">
        <v>98</v>
      </c>
      <c r="H32" s="248" t="s">
        <v>297</v>
      </c>
      <c r="I32" s="248" t="s">
        <v>338</v>
      </c>
      <c r="J32" s="250" t="s">
        <v>327</v>
      </c>
      <c r="K32" s="246">
        <v>4</v>
      </c>
      <c r="L32" s="246"/>
    </row>
    <row r="33" spans="1:12" x14ac:dyDescent="0.25">
      <c r="A33" s="225">
        <v>9</v>
      </c>
      <c r="B33" s="250" t="s">
        <v>274</v>
      </c>
      <c r="C33" s="250">
        <v>0</v>
      </c>
      <c r="D33" s="4"/>
      <c r="F33" s="225" t="s">
        <v>280</v>
      </c>
      <c r="G33" s="225" t="s">
        <v>98</v>
      </c>
      <c r="H33" s="248" t="s">
        <v>319</v>
      </c>
      <c r="I33" s="248" t="s">
        <v>339</v>
      </c>
      <c r="J33" s="250" t="s">
        <v>327</v>
      </c>
      <c r="K33" s="246">
        <v>4</v>
      </c>
      <c r="L33" s="246"/>
    </row>
    <row r="34" spans="1:12" x14ac:dyDescent="0.25">
      <c r="A34" s="225">
        <v>9</v>
      </c>
      <c r="B34" s="250" t="s">
        <v>274</v>
      </c>
      <c r="C34" s="250">
        <v>1</v>
      </c>
      <c r="D34" s="4"/>
      <c r="F34" s="225" t="s">
        <v>280</v>
      </c>
      <c r="G34" s="225" t="s">
        <v>98</v>
      </c>
      <c r="H34" s="248" t="s">
        <v>320</v>
      </c>
      <c r="I34" s="248" t="s">
        <v>300</v>
      </c>
      <c r="J34" s="250" t="s">
        <v>327</v>
      </c>
      <c r="K34" s="246">
        <v>2.5</v>
      </c>
      <c r="L34" s="246"/>
    </row>
    <row r="35" spans="1:12" x14ac:dyDescent="0.25">
      <c r="A35" s="225">
        <v>9</v>
      </c>
      <c r="B35" s="250" t="s">
        <v>274</v>
      </c>
      <c r="C35" s="250">
        <v>2</v>
      </c>
      <c r="D35" s="4"/>
      <c r="F35" s="225" t="s">
        <v>280</v>
      </c>
      <c r="G35" s="225" t="s">
        <v>98</v>
      </c>
      <c r="H35" s="248" t="s">
        <v>321</v>
      </c>
      <c r="I35" s="248" t="s">
        <v>340</v>
      </c>
      <c r="J35" s="250" t="s">
        <v>327</v>
      </c>
      <c r="K35" s="246">
        <v>2.5</v>
      </c>
      <c r="L35" s="246"/>
    </row>
    <row r="36" spans="1:12" x14ac:dyDescent="0.25">
      <c r="A36" s="225">
        <v>9</v>
      </c>
      <c r="B36" s="250" t="s">
        <v>274</v>
      </c>
      <c r="C36" s="250">
        <v>3</v>
      </c>
      <c r="D36" s="4"/>
      <c r="F36" s="225" t="s">
        <v>280</v>
      </c>
      <c r="G36" s="225" t="s">
        <v>98</v>
      </c>
      <c r="H36" s="248" t="s">
        <v>322</v>
      </c>
      <c r="I36" s="248" t="s">
        <v>304</v>
      </c>
      <c r="J36" s="250" t="s">
        <v>327</v>
      </c>
      <c r="K36" s="246">
        <v>5</v>
      </c>
      <c r="L36" s="246"/>
    </row>
    <row r="37" spans="1:12" x14ac:dyDescent="0.25">
      <c r="A37" s="225">
        <v>10</v>
      </c>
      <c r="B37" s="250" t="s">
        <v>275</v>
      </c>
      <c r="C37" s="250">
        <v>0</v>
      </c>
      <c r="D37" s="4"/>
      <c r="F37" s="225" t="s">
        <v>280</v>
      </c>
      <c r="G37" s="225" t="s">
        <v>98</v>
      </c>
      <c r="H37" s="248" t="s">
        <v>318</v>
      </c>
      <c r="I37" s="248" t="s">
        <v>341</v>
      </c>
      <c r="J37" s="250" t="s">
        <v>328</v>
      </c>
      <c r="K37" s="246">
        <v>2</v>
      </c>
      <c r="L37" s="246"/>
    </row>
    <row r="38" spans="1:12" x14ac:dyDescent="0.25">
      <c r="A38" s="225">
        <v>10</v>
      </c>
      <c r="B38" s="250" t="s">
        <v>275</v>
      </c>
      <c r="C38" s="250">
        <v>1</v>
      </c>
      <c r="D38" s="4"/>
      <c r="F38" s="225" t="s">
        <v>280</v>
      </c>
      <c r="G38" s="225" t="s">
        <v>98</v>
      </c>
      <c r="H38" s="248" t="s">
        <v>297</v>
      </c>
      <c r="I38" s="248" t="s">
        <v>299</v>
      </c>
      <c r="J38" s="250" t="s">
        <v>328</v>
      </c>
      <c r="K38" s="246">
        <v>2</v>
      </c>
      <c r="L38" s="246"/>
    </row>
    <row r="39" spans="1:12" x14ac:dyDescent="0.25">
      <c r="A39" s="225">
        <v>10</v>
      </c>
      <c r="B39" s="250" t="s">
        <v>275</v>
      </c>
      <c r="C39" s="250">
        <v>2</v>
      </c>
      <c r="D39" s="4"/>
      <c r="F39" s="225" t="s">
        <v>280</v>
      </c>
      <c r="G39" s="225" t="s">
        <v>98</v>
      </c>
      <c r="H39" s="248" t="s">
        <v>319</v>
      </c>
      <c r="I39" s="248" t="s">
        <v>342</v>
      </c>
      <c r="J39" s="250" t="s">
        <v>328</v>
      </c>
      <c r="K39" s="246">
        <v>3</v>
      </c>
      <c r="L39" s="246"/>
    </row>
    <row r="40" spans="1:12" x14ac:dyDescent="0.25">
      <c r="A40" s="225">
        <v>10</v>
      </c>
      <c r="B40" s="250" t="s">
        <v>275</v>
      </c>
      <c r="C40" s="250">
        <v>3</v>
      </c>
      <c r="D40" s="4"/>
      <c r="F40" s="225" t="s">
        <v>280</v>
      </c>
      <c r="G40" s="225" t="s">
        <v>98</v>
      </c>
      <c r="H40" s="248" t="s">
        <v>320</v>
      </c>
      <c r="I40" s="248" t="s">
        <v>301</v>
      </c>
      <c r="J40" s="250" t="s">
        <v>328</v>
      </c>
      <c r="K40" s="246">
        <v>1.5</v>
      </c>
      <c r="L40" s="246"/>
    </row>
    <row r="41" spans="1:12" x14ac:dyDescent="0.25">
      <c r="A41" s="225">
        <v>11</v>
      </c>
      <c r="B41" s="250" t="s">
        <v>276</v>
      </c>
      <c r="C41" s="250">
        <v>0</v>
      </c>
      <c r="D41" s="4"/>
      <c r="F41" s="225" t="s">
        <v>280</v>
      </c>
      <c r="G41" s="225" t="s">
        <v>98</v>
      </c>
      <c r="H41" s="248" t="s">
        <v>321</v>
      </c>
      <c r="I41" s="248" t="s">
        <v>343</v>
      </c>
      <c r="J41" s="250" t="s">
        <v>328</v>
      </c>
      <c r="K41" s="246">
        <v>1.5</v>
      </c>
      <c r="L41" s="246"/>
    </row>
    <row r="42" spans="1:12" x14ac:dyDescent="0.25">
      <c r="A42" s="225">
        <v>11</v>
      </c>
      <c r="B42" s="250" t="s">
        <v>276</v>
      </c>
      <c r="C42" s="250">
        <v>1</v>
      </c>
      <c r="D42" s="4"/>
      <c r="F42" s="225" t="s">
        <v>280</v>
      </c>
      <c r="G42" s="225" t="s">
        <v>98</v>
      </c>
      <c r="H42" s="248" t="s">
        <v>322</v>
      </c>
      <c r="I42" s="248" t="s">
        <v>344</v>
      </c>
      <c r="J42" s="250" t="s">
        <v>328</v>
      </c>
      <c r="K42" s="246">
        <v>3</v>
      </c>
      <c r="L42" s="246"/>
    </row>
    <row r="43" spans="1:12" x14ac:dyDescent="0.25">
      <c r="A43" s="225">
        <v>11</v>
      </c>
      <c r="B43" s="250" t="s">
        <v>276</v>
      </c>
      <c r="C43" s="250">
        <v>2</v>
      </c>
      <c r="D43" s="4"/>
      <c r="F43" s="225" t="s">
        <v>281</v>
      </c>
      <c r="G43" s="225" t="s">
        <v>345</v>
      </c>
      <c r="H43" s="248" t="s">
        <v>348</v>
      </c>
      <c r="I43" s="248" t="s">
        <v>359</v>
      </c>
      <c r="J43" s="250" t="s">
        <v>325</v>
      </c>
      <c r="K43" s="246">
        <v>25</v>
      </c>
      <c r="L43" s="246"/>
    </row>
    <row r="44" spans="1:12" x14ac:dyDescent="0.25">
      <c r="A44" s="225">
        <v>11</v>
      </c>
      <c r="B44" s="250" t="s">
        <v>276</v>
      </c>
      <c r="C44" s="250">
        <v>3</v>
      </c>
      <c r="D44" s="4"/>
      <c r="F44" s="225" t="s">
        <v>281</v>
      </c>
      <c r="G44" s="225" t="s">
        <v>345</v>
      </c>
      <c r="H44" s="248" t="s">
        <v>305</v>
      </c>
      <c r="I44" s="248" t="s">
        <v>357</v>
      </c>
      <c r="J44" s="250" t="s">
        <v>325</v>
      </c>
      <c r="K44" s="246">
        <v>15</v>
      </c>
      <c r="L44" s="246"/>
    </row>
    <row r="45" spans="1:12" x14ac:dyDescent="0.25">
      <c r="F45" s="225" t="s">
        <v>281</v>
      </c>
      <c r="G45" s="225" t="s">
        <v>345</v>
      </c>
      <c r="H45" s="248" t="s">
        <v>349</v>
      </c>
      <c r="I45" s="248" t="s">
        <v>307</v>
      </c>
      <c r="J45" s="250" t="s">
        <v>325</v>
      </c>
      <c r="K45" s="246">
        <v>30</v>
      </c>
      <c r="L45" s="246"/>
    </row>
    <row r="46" spans="1:12" x14ac:dyDescent="0.25">
      <c r="F46" s="225" t="s">
        <v>281</v>
      </c>
      <c r="G46" s="225" t="s">
        <v>345</v>
      </c>
      <c r="H46" s="248" t="s">
        <v>350</v>
      </c>
      <c r="I46" s="248" t="s">
        <v>310</v>
      </c>
      <c r="J46" s="250" t="s">
        <v>325</v>
      </c>
      <c r="K46" s="246">
        <v>30</v>
      </c>
      <c r="L46" s="246"/>
    </row>
    <row r="47" spans="1:12" x14ac:dyDescent="0.25">
      <c r="F47" s="225" t="s">
        <v>281</v>
      </c>
      <c r="G47" s="225" t="s">
        <v>345</v>
      </c>
      <c r="H47" s="248" t="s">
        <v>351</v>
      </c>
      <c r="I47" s="248" t="s">
        <v>358</v>
      </c>
      <c r="J47" s="250" t="s">
        <v>325</v>
      </c>
      <c r="K47" s="246">
        <v>30</v>
      </c>
      <c r="L47" s="246"/>
    </row>
    <row r="48" spans="1:12" x14ac:dyDescent="0.25">
      <c r="F48" s="225" t="s">
        <v>281</v>
      </c>
      <c r="G48" s="225" t="s">
        <v>345</v>
      </c>
      <c r="H48" s="248" t="s">
        <v>348</v>
      </c>
      <c r="I48" s="248" t="s">
        <v>360</v>
      </c>
      <c r="J48" s="250" t="s">
        <v>325</v>
      </c>
      <c r="K48" s="246">
        <v>8</v>
      </c>
      <c r="L48" s="246"/>
    </row>
    <row r="49" spans="6:12" x14ac:dyDescent="0.25">
      <c r="F49" s="225" t="s">
        <v>281</v>
      </c>
      <c r="G49" s="225" t="s">
        <v>345</v>
      </c>
      <c r="H49" s="248" t="s">
        <v>305</v>
      </c>
      <c r="I49" s="248" t="s">
        <v>361</v>
      </c>
      <c r="J49" s="250" t="s">
        <v>325</v>
      </c>
      <c r="K49" s="246">
        <v>10</v>
      </c>
      <c r="L49" s="246"/>
    </row>
    <row r="50" spans="6:12" x14ac:dyDescent="0.25">
      <c r="F50" s="225" t="s">
        <v>281</v>
      </c>
      <c r="G50" s="225" t="s">
        <v>345</v>
      </c>
      <c r="H50" s="248" t="s">
        <v>349</v>
      </c>
      <c r="I50" s="248" t="s">
        <v>364</v>
      </c>
      <c r="J50" s="250" t="s">
        <v>325</v>
      </c>
      <c r="K50" s="246">
        <v>10</v>
      </c>
      <c r="L50" s="246"/>
    </row>
    <row r="51" spans="6:12" x14ac:dyDescent="0.25">
      <c r="F51" s="225" t="s">
        <v>281</v>
      </c>
      <c r="G51" s="225" t="s">
        <v>345</v>
      </c>
      <c r="H51" s="248" t="s">
        <v>350</v>
      </c>
      <c r="I51" s="248" t="s">
        <v>362</v>
      </c>
      <c r="J51" s="250" t="s">
        <v>325</v>
      </c>
      <c r="K51" s="246">
        <v>30</v>
      </c>
      <c r="L51" s="246"/>
    </row>
    <row r="52" spans="6:12" x14ac:dyDescent="0.25">
      <c r="F52" s="225" t="s">
        <v>281</v>
      </c>
      <c r="G52" s="225" t="s">
        <v>345</v>
      </c>
      <c r="H52" s="248" t="s">
        <v>351</v>
      </c>
      <c r="I52" s="248" t="s">
        <v>363</v>
      </c>
      <c r="J52" s="250" t="s">
        <v>325</v>
      </c>
      <c r="K52" s="246">
        <v>30</v>
      </c>
      <c r="L52" s="246"/>
    </row>
    <row r="53" spans="6:12" x14ac:dyDescent="0.25">
      <c r="F53" s="225" t="s">
        <v>281</v>
      </c>
      <c r="G53" s="225" t="s">
        <v>345</v>
      </c>
      <c r="H53" s="248" t="s">
        <v>312</v>
      </c>
      <c r="I53" s="248" t="s">
        <v>313</v>
      </c>
      <c r="J53" s="250" t="s">
        <v>325</v>
      </c>
      <c r="K53" s="246">
        <v>8</v>
      </c>
      <c r="L53" s="246"/>
    </row>
    <row r="54" spans="6:12" x14ac:dyDescent="0.25">
      <c r="F54" s="225" t="s">
        <v>281</v>
      </c>
      <c r="G54" s="225" t="s">
        <v>345</v>
      </c>
      <c r="H54" s="248" t="s">
        <v>352</v>
      </c>
      <c r="I54" s="248" t="s">
        <v>365</v>
      </c>
      <c r="J54" s="250" t="s">
        <v>325</v>
      </c>
      <c r="K54" s="246">
        <v>8</v>
      </c>
      <c r="L54" s="246"/>
    </row>
    <row r="55" spans="6:12" x14ac:dyDescent="0.25">
      <c r="F55" s="225" t="s">
        <v>281</v>
      </c>
      <c r="G55" s="225" t="s">
        <v>345</v>
      </c>
      <c r="H55" s="248" t="s">
        <v>353</v>
      </c>
      <c r="I55" s="248" t="s">
        <v>314</v>
      </c>
      <c r="J55" s="250" t="s">
        <v>325</v>
      </c>
      <c r="K55" s="246">
        <v>50</v>
      </c>
      <c r="L55" s="246"/>
    </row>
    <row r="56" spans="6:12" x14ac:dyDescent="0.25">
      <c r="F56" s="225" t="s">
        <v>281</v>
      </c>
      <c r="G56" s="225" t="s">
        <v>345</v>
      </c>
      <c r="H56" s="248" t="s">
        <v>376</v>
      </c>
      <c r="I56" s="248" t="s">
        <v>366</v>
      </c>
      <c r="J56" s="250" t="s">
        <v>325</v>
      </c>
      <c r="K56" s="246">
        <v>50</v>
      </c>
      <c r="L56" s="246"/>
    </row>
    <row r="57" spans="6:12" x14ac:dyDescent="0.25">
      <c r="F57" s="225" t="s">
        <v>281</v>
      </c>
      <c r="G57" s="225" t="s">
        <v>345</v>
      </c>
      <c r="H57" s="248" t="s">
        <v>354</v>
      </c>
      <c r="I57" s="248" t="s">
        <v>367</v>
      </c>
      <c r="J57" s="250" t="s">
        <v>325</v>
      </c>
      <c r="K57" s="246">
        <v>50</v>
      </c>
      <c r="L57" s="246"/>
    </row>
    <row r="58" spans="6:12" x14ac:dyDescent="0.25">
      <c r="F58" s="225" t="s">
        <v>281</v>
      </c>
      <c r="G58" s="225" t="s">
        <v>345</v>
      </c>
      <c r="H58" s="248" t="s">
        <v>355</v>
      </c>
      <c r="I58" s="248" t="s">
        <v>368</v>
      </c>
      <c r="J58" s="250" t="s">
        <v>325</v>
      </c>
      <c r="K58" s="246">
        <v>15</v>
      </c>
      <c r="L58" s="246"/>
    </row>
    <row r="59" spans="6:12" x14ac:dyDescent="0.25">
      <c r="F59" s="225" t="s">
        <v>281</v>
      </c>
      <c r="G59" s="225" t="s">
        <v>345</v>
      </c>
      <c r="H59" s="248" t="s">
        <v>356</v>
      </c>
      <c r="I59" s="248" t="s">
        <v>369</v>
      </c>
      <c r="J59" s="250" t="s">
        <v>325</v>
      </c>
      <c r="K59" s="246">
        <v>3</v>
      </c>
      <c r="L59" s="246" t="s">
        <v>370</v>
      </c>
    </row>
    <row r="60" spans="6:12" x14ac:dyDescent="0.25">
      <c r="F60" s="225" t="s">
        <v>281</v>
      </c>
      <c r="G60" s="225" t="s">
        <v>345</v>
      </c>
      <c r="H60" s="248" t="s">
        <v>348</v>
      </c>
      <c r="I60" s="248" t="s">
        <v>377</v>
      </c>
      <c r="J60" s="250" t="s">
        <v>327</v>
      </c>
      <c r="K60" s="246">
        <v>4</v>
      </c>
      <c r="L60" s="246"/>
    </row>
    <row r="61" spans="6:12" x14ac:dyDescent="0.25">
      <c r="F61" s="225" t="s">
        <v>281</v>
      </c>
      <c r="G61" s="225" t="s">
        <v>345</v>
      </c>
      <c r="H61" s="248" t="s">
        <v>305</v>
      </c>
      <c r="I61" s="248" t="s">
        <v>378</v>
      </c>
      <c r="J61" s="250" t="s">
        <v>327</v>
      </c>
      <c r="K61" s="246">
        <v>5</v>
      </c>
      <c r="L61" s="246"/>
    </row>
    <row r="62" spans="6:12" x14ac:dyDescent="0.25">
      <c r="F62" s="225" t="s">
        <v>281</v>
      </c>
      <c r="G62" s="225" t="s">
        <v>345</v>
      </c>
      <c r="H62" s="248" t="s">
        <v>349</v>
      </c>
      <c r="I62" s="248" t="s">
        <v>308</v>
      </c>
      <c r="J62" s="250" t="s">
        <v>327</v>
      </c>
      <c r="K62" s="246">
        <v>5</v>
      </c>
      <c r="L62" s="246"/>
    </row>
    <row r="63" spans="6:12" x14ac:dyDescent="0.25">
      <c r="F63" s="225" t="s">
        <v>281</v>
      </c>
      <c r="G63" s="225" t="s">
        <v>345</v>
      </c>
      <c r="H63" s="248" t="s">
        <v>350</v>
      </c>
      <c r="I63" s="248" t="s">
        <v>379</v>
      </c>
      <c r="J63" s="250" t="s">
        <v>327</v>
      </c>
      <c r="K63" s="246">
        <v>10</v>
      </c>
      <c r="L63" s="246"/>
    </row>
    <row r="64" spans="6:12" x14ac:dyDescent="0.25">
      <c r="F64" s="225" t="s">
        <v>281</v>
      </c>
      <c r="G64" s="225" t="s">
        <v>345</v>
      </c>
      <c r="H64" s="248" t="s">
        <v>351</v>
      </c>
      <c r="I64" s="248" t="s">
        <v>311</v>
      </c>
      <c r="J64" s="250" t="s">
        <v>327</v>
      </c>
      <c r="K64" s="246">
        <v>10</v>
      </c>
      <c r="L64" s="246"/>
    </row>
    <row r="65" spans="6:12" x14ac:dyDescent="0.25">
      <c r="F65" s="225" t="s">
        <v>281</v>
      </c>
      <c r="G65" s="225" t="s">
        <v>345</v>
      </c>
      <c r="H65" s="248" t="s">
        <v>312</v>
      </c>
      <c r="I65" s="248" t="s">
        <v>313</v>
      </c>
      <c r="J65" s="250" t="s">
        <v>327</v>
      </c>
      <c r="K65" s="246">
        <v>5</v>
      </c>
      <c r="L65" s="246"/>
    </row>
    <row r="66" spans="6:12" x14ac:dyDescent="0.25">
      <c r="F66" s="225" t="s">
        <v>281</v>
      </c>
      <c r="G66" s="225" t="s">
        <v>345</v>
      </c>
      <c r="H66" s="248" t="s">
        <v>352</v>
      </c>
      <c r="I66" s="248" t="s">
        <v>365</v>
      </c>
      <c r="J66" s="250" t="s">
        <v>327</v>
      </c>
      <c r="K66" s="246">
        <v>5</v>
      </c>
      <c r="L66" s="246"/>
    </row>
    <row r="67" spans="6:12" x14ac:dyDescent="0.25">
      <c r="F67" s="225" t="s">
        <v>281</v>
      </c>
      <c r="G67" s="225" t="s">
        <v>345</v>
      </c>
      <c r="H67" s="248" t="s">
        <v>353</v>
      </c>
      <c r="I67" s="248" t="s">
        <v>314</v>
      </c>
      <c r="J67" s="250" t="s">
        <v>327</v>
      </c>
      <c r="K67" s="246">
        <v>25</v>
      </c>
      <c r="L67" s="246"/>
    </row>
    <row r="68" spans="6:12" x14ac:dyDescent="0.25">
      <c r="F68" s="225" t="s">
        <v>281</v>
      </c>
      <c r="G68" s="225" t="s">
        <v>345</v>
      </c>
      <c r="H68" s="248" t="s">
        <v>376</v>
      </c>
      <c r="I68" s="248" t="s">
        <v>366</v>
      </c>
      <c r="J68" s="250" t="s">
        <v>327</v>
      </c>
      <c r="K68" s="246">
        <v>25</v>
      </c>
      <c r="L68" s="246"/>
    </row>
    <row r="69" spans="6:12" x14ac:dyDescent="0.25">
      <c r="F69" s="225" t="s">
        <v>281</v>
      </c>
      <c r="G69" s="225" t="s">
        <v>345</v>
      </c>
      <c r="H69" s="248" t="s">
        <v>354</v>
      </c>
      <c r="I69" s="248" t="s">
        <v>367</v>
      </c>
      <c r="J69" s="250" t="s">
        <v>327</v>
      </c>
      <c r="K69" s="246">
        <v>25</v>
      </c>
      <c r="L69" s="246"/>
    </row>
    <row r="70" spans="6:12" x14ac:dyDescent="0.25">
      <c r="F70" s="225" t="s">
        <v>281</v>
      </c>
      <c r="G70" s="225" t="s">
        <v>345</v>
      </c>
      <c r="H70" s="248" t="s">
        <v>355</v>
      </c>
      <c r="I70" s="248" t="s">
        <v>368</v>
      </c>
      <c r="J70" s="250" t="s">
        <v>327</v>
      </c>
      <c r="K70" s="246">
        <v>10</v>
      </c>
      <c r="L70" s="246"/>
    </row>
    <row r="71" spans="6:12" x14ac:dyDescent="0.25">
      <c r="F71" s="225" t="s">
        <v>281</v>
      </c>
      <c r="G71" s="225" t="s">
        <v>345</v>
      </c>
      <c r="H71" s="248" t="s">
        <v>356</v>
      </c>
      <c r="I71" s="248" t="s">
        <v>369</v>
      </c>
      <c r="J71" s="250" t="s">
        <v>327</v>
      </c>
      <c r="K71" s="246">
        <v>2</v>
      </c>
      <c r="L71" s="246" t="s">
        <v>370</v>
      </c>
    </row>
    <row r="72" spans="6:12" x14ac:dyDescent="0.25">
      <c r="F72" s="225" t="s">
        <v>281</v>
      </c>
      <c r="G72" s="225" t="s">
        <v>345</v>
      </c>
      <c r="H72" s="248" t="s">
        <v>348</v>
      </c>
      <c r="I72" s="248" t="s">
        <v>380</v>
      </c>
      <c r="J72" s="250" t="s">
        <v>328</v>
      </c>
      <c r="K72" s="246">
        <v>2</v>
      </c>
      <c r="L72" s="246"/>
    </row>
    <row r="73" spans="6:12" x14ac:dyDescent="0.25">
      <c r="F73" s="225" t="s">
        <v>281</v>
      </c>
      <c r="G73" s="225" t="s">
        <v>345</v>
      </c>
      <c r="H73" s="248" t="s">
        <v>305</v>
      </c>
      <c r="I73" s="248" t="s">
        <v>306</v>
      </c>
      <c r="J73" s="250" t="s">
        <v>328</v>
      </c>
      <c r="K73" s="246">
        <v>3</v>
      </c>
      <c r="L73" s="246"/>
    </row>
    <row r="74" spans="6:12" x14ac:dyDescent="0.25">
      <c r="F74" s="225" t="s">
        <v>281</v>
      </c>
      <c r="G74" s="225" t="s">
        <v>345</v>
      </c>
      <c r="H74" s="248" t="s">
        <v>349</v>
      </c>
      <c r="I74" s="248" t="s">
        <v>309</v>
      </c>
      <c r="J74" s="250" t="s">
        <v>328</v>
      </c>
      <c r="K74" s="246">
        <v>3</v>
      </c>
      <c r="L74" s="246"/>
    </row>
    <row r="75" spans="6:12" x14ac:dyDescent="0.25">
      <c r="F75" s="225" t="s">
        <v>281</v>
      </c>
      <c r="G75" s="225" t="s">
        <v>345</v>
      </c>
      <c r="H75" s="248" t="s">
        <v>350</v>
      </c>
      <c r="I75" s="248" t="s">
        <v>381</v>
      </c>
      <c r="J75" s="250" t="s">
        <v>328</v>
      </c>
      <c r="K75" s="246">
        <v>5</v>
      </c>
      <c r="L75" s="246"/>
    </row>
    <row r="76" spans="6:12" x14ac:dyDescent="0.25">
      <c r="F76" s="225" t="s">
        <v>281</v>
      </c>
      <c r="G76" s="225" t="s">
        <v>345</v>
      </c>
      <c r="H76" s="248" t="s">
        <v>351</v>
      </c>
      <c r="I76" s="248" t="s">
        <v>382</v>
      </c>
      <c r="J76" s="250" t="s">
        <v>328</v>
      </c>
      <c r="K76" s="246">
        <v>5</v>
      </c>
      <c r="L76" s="246"/>
    </row>
    <row r="77" spans="6:12" x14ac:dyDescent="0.25">
      <c r="F77" s="225" t="s">
        <v>281</v>
      </c>
      <c r="G77" s="225" t="s">
        <v>345</v>
      </c>
      <c r="H77" s="248" t="s">
        <v>312</v>
      </c>
      <c r="I77" s="248" t="s">
        <v>313</v>
      </c>
      <c r="J77" s="250" t="s">
        <v>328</v>
      </c>
      <c r="K77" s="246">
        <v>2</v>
      </c>
      <c r="L77" s="246"/>
    </row>
    <row r="78" spans="6:12" x14ac:dyDescent="0.25">
      <c r="F78" s="225" t="s">
        <v>281</v>
      </c>
      <c r="G78" s="225" t="s">
        <v>345</v>
      </c>
      <c r="H78" s="248" t="s">
        <v>352</v>
      </c>
      <c r="I78" s="248" t="s">
        <v>365</v>
      </c>
      <c r="J78" s="250" t="s">
        <v>328</v>
      </c>
      <c r="K78" s="246">
        <v>2</v>
      </c>
      <c r="L78" s="246"/>
    </row>
    <row r="79" spans="6:12" x14ac:dyDescent="0.25">
      <c r="F79" s="225" t="s">
        <v>281</v>
      </c>
      <c r="G79" s="225" t="s">
        <v>345</v>
      </c>
      <c r="H79" s="248" t="s">
        <v>353</v>
      </c>
      <c r="I79" s="248" t="s">
        <v>314</v>
      </c>
      <c r="J79" s="250" t="s">
        <v>328</v>
      </c>
      <c r="K79" s="246">
        <v>10</v>
      </c>
      <c r="L79" s="246"/>
    </row>
    <row r="80" spans="6:12" x14ac:dyDescent="0.25">
      <c r="F80" s="225" t="s">
        <v>281</v>
      </c>
      <c r="G80" s="225" t="s">
        <v>345</v>
      </c>
      <c r="H80" s="248" t="s">
        <v>376</v>
      </c>
      <c r="I80" s="248" t="s">
        <v>366</v>
      </c>
      <c r="J80" s="250" t="s">
        <v>328</v>
      </c>
      <c r="K80" s="246">
        <v>10</v>
      </c>
      <c r="L80" s="246"/>
    </row>
    <row r="81" spans="6:12" x14ac:dyDescent="0.25">
      <c r="F81" s="225" t="s">
        <v>281</v>
      </c>
      <c r="G81" s="225" t="s">
        <v>345</v>
      </c>
      <c r="H81" s="248" t="s">
        <v>354</v>
      </c>
      <c r="I81" s="248" t="s">
        <v>367</v>
      </c>
      <c r="J81" s="250" t="s">
        <v>328</v>
      </c>
      <c r="K81" s="246">
        <v>10</v>
      </c>
      <c r="L81" s="246"/>
    </row>
    <row r="82" spans="6:12" x14ac:dyDescent="0.25">
      <c r="F82" s="225" t="s">
        <v>281</v>
      </c>
      <c r="G82" s="225" t="s">
        <v>345</v>
      </c>
      <c r="H82" s="248" t="s">
        <v>355</v>
      </c>
      <c r="I82" s="248" t="s">
        <v>368</v>
      </c>
      <c r="J82" s="250" t="s">
        <v>328</v>
      </c>
      <c r="K82" s="246">
        <v>5</v>
      </c>
      <c r="L82" s="246"/>
    </row>
    <row r="83" spans="6:12" x14ac:dyDescent="0.25">
      <c r="F83" s="225" t="s">
        <v>281</v>
      </c>
      <c r="G83" s="225" t="s">
        <v>345</v>
      </c>
      <c r="H83" s="248" t="s">
        <v>356</v>
      </c>
      <c r="I83" s="248" t="s">
        <v>369</v>
      </c>
      <c r="J83" s="250" t="s">
        <v>328</v>
      </c>
      <c r="K83" s="246">
        <v>1</v>
      </c>
      <c r="L83" s="246" t="s">
        <v>370</v>
      </c>
    </row>
    <row r="84" spans="6:12" x14ac:dyDescent="0.25">
      <c r="F84" s="225" t="s">
        <v>281</v>
      </c>
      <c r="G84" s="225" t="s">
        <v>346</v>
      </c>
      <c r="H84" s="248" t="s">
        <v>383</v>
      </c>
      <c r="I84" s="248" t="s">
        <v>371</v>
      </c>
      <c r="J84" s="250" t="s">
        <v>325</v>
      </c>
      <c r="K84" s="246">
        <v>900</v>
      </c>
      <c r="L84" s="246" t="s">
        <v>199</v>
      </c>
    </row>
    <row r="85" spans="6:12" x14ac:dyDescent="0.25">
      <c r="F85" s="225" t="s">
        <v>281</v>
      </c>
      <c r="G85" s="225" t="s">
        <v>346</v>
      </c>
      <c r="H85" s="248" t="s">
        <v>372</v>
      </c>
      <c r="I85" s="248" t="s">
        <v>373</v>
      </c>
      <c r="J85" s="250" t="s">
        <v>325</v>
      </c>
      <c r="K85" s="246">
        <v>900</v>
      </c>
      <c r="L85" s="246" t="s">
        <v>199</v>
      </c>
    </row>
    <row r="86" spans="6:12" x14ac:dyDescent="0.25">
      <c r="F86" s="225" t="s">
        <v>281</v>
      </c>
      <c r="G86" s="225" t="s">
        <v>346</v>
      </c>
      <c r="H86" s="248" t="s">
        <v>374</v>
      </c>
      <c r="I86" s="248" t="s">
        <v>375</v>
      </c>
      <c r="J86" s="250" t="s">
        <v>325</v>
      </c>
      <c r="K86" s="246">
        <v>8</v>
      </c>
      <c r="L86" s="246"/>
    </row>
    <row r="87" spans="6:12" x14ac:dyDescent="0.25">
      <c r="F87" s="225" t="s">
        <v>281</v>
      </c>
      <c r="G87" s="225" t="s">
        <v>346</v>
      </c>
      <c r="H87" s="248" t="s">
        <v>384</v>
      </c>
      <c r="I87" s="248" t="s">
        <v>385</v>
      </c>
      <c r="J87" s="250" t="s">
        <v>325</v>
      </c>
      <c r="K87" s="246">
        <v>8</v>
      </c>
      <c r="L87" s="246"/>
    </row>
    <row r="88" spans="6:12" x14ac:dyDescent="0.25">
      <c r="F88" s="225" t="s">
        <v>281</v>
      </c>
      <c r="G88" s="225" t="s">
        <v>346</v>
      </c>
      <c r="H88" s="248" t="s">
        <v>383</v>
      </c>
      <c r="I88" s="248" t="s">
        <v>371</v>
      </c>
      <c r="J88" s="250" t="s">
        <v>327</v>
      </c>
      <c r="K88" s="246">
        <v>300</v>
      </c>
      <c r="L88" s="246" t="s">
        <v>199</v>
      </c>
    </row>
    <row r="89" spans="6:12" x14ac:dyDescent="0.25">
      <c r="F89" s="225" t="s">
        <v>281</v>
      </c>
      <c r="G89" s="225" t="s">
        <v>346</v>
      </c>
      <c r="H89" s="248" t="s">
        <v>372</v>
      </c>
      <c r="I89" s="248" t="s">
        <v>373</v>
      </c>
      <c r="J89" s="250" t="s">
        <v>327</v>
      </c>
      <c r="K89" s="246">
        <v>300</v>
      </c>
      <c r="L89" s="246" t="s">
        <v>199</v>
      </c>
    </row>
    <row r="90" spans="6:12" x14ac:dyDescent="0.25">
      <c r="F90" s="225" t="s">
        <v>281</v>
      </c>
      <c r="G90" s="225" t="s">
        <v>346</v>
      </c>
      <c r="H90" s="248" t="s">
        <v>374</v>
      </c>
      <c r="I90" s="248" t="s">
        <v>375</v>
      </c>
      <c r="J90" s="250" t="s">
        <v>327</v>
      </c>
      <c r="K90" s="246">
        <v>4</v>
      </c>
      <c r="L90" s="246"/>
    </row>
    <row r="91" spans="6:12" x14ac:dyDescent="0.25">
      <c r="F91" s="225" t="s">
        <v>281</v>
      </c>
      <c r="G91" s="225" t="s">
        <v>346</v>
      </c>
      <c r="H91" s="248" t="s">
        <v>384</v>
      </c>
      <c r="I91" s="248" t="s">
        <v>385</v>
      </c>
      <c r="J91" s="250" t="s">
        <v>327</v>
      </c>
      <c r="K91" s="246">
        <v>4</v>
      </c>
      <c r="L91" s="246"/>
    </row>
    <row r="92" spans="6:12" x14ac:dyDescent="0.25">
      <c r="F92" s="225" t="s">
        <v>281</v>
      </c>
      <c r="G92" s="225" t="s">
        <v>346</v>
      </c>
      <c r="H92" s="248" t="s">
        <v>383</v>
      </c>
      <c r="I92" s="248" t="s">
        <v>371</v>
      </c>
      <c r="J92" s="250" t="s">
        <v>328</v>
      </c>
      <c r="K92" s="246">
        <v>120</v>
      </c>
      <c r="L92" s="246" t="s">
        <v>199</v>
      </c>
    </row>
    <row r="93" spans="6:12" x14ac:dyDescent="0.25">
      <c r="F93" s="225" t="s">
        <v>281</v>
      </c>
      <c r="G93" s="225" t="s">
        <v>346</v>
      </c>
      <c r="H93" s="248" t="s">
        <v>372</v>
      </c>
      <c r="I93" s="248" t="s">
        <v>373</v>
      </c>
      <c r="J93" s="250" t="s">
        <v>328</v>
      </c>
      <c r="K93" s="246">
        <v>120</v>
      </c>
      <c r="L93" s="246" t="s">
        <v>199</v>
      </c>
    </row>
    <row r="94" spans="6:12" x14ac:dyDescent="0.25">
      <c r="F94" s="225" t="s">
        <v>281</v>
      </c>
      <c r="G94" s="225" t="s">
        <v>346</v>
      </c>
      <c r="H94" s="248" t="s">
        <v>374</v>
      </c>
      <c r="I94" s="248" t="s">
        <v>375</v>
      </c>
      <c r="J94" s="250" t="s">
        <v>328</v>
      </c>
      <c r="K94" s="246">
        <v>2</v>
      </c>
      <c r="L94" s="246"/>
    </row>
    <row r="95" spans="6:12" x14ac:dyDescent="0.25">
      <c r="F95" s="225" t="s">
        <v>281</v>
      </c>
      <c r="G95" s="225" t="s">
        <v>346</v>
      </c>
      <c r="H95" s="248" t="s">
        <v>384</v>
      </c>
      <c r="I95" s="248" t="s">
        <v>385</v>
      </c>
      <c r="J95" s="250" t="s">
        <v>328</v>
      </c>
      <c r="K95" s="246">
        <v>2</v>
      </c>
      <c r="L95" s="246"/>
    </row>
    <row r="96" spans="6:12" x14ac:dyDescent="0.25">
      <c r="F96" s="225" t="s">
        <v>281</v>
      </c>
      <c r="G96" s="225" t="s">
        <v>347</v>
      </c>
      <c r="H96" s="248" t="s">
        <v>388</v>
      </c>
      <c r="I96" s="248" t="s">
        <v>386</v>
      </c>
      <c r="J96" s="250" t="s">
        <v>325</v>
      </c>
      <c r="K96" s="246">
        <v>50</v>
      </c>
      <c r="L96" s="246"/>
    </row>
  </sheetData>
  <mergeCells count="2">
    <mergeCell ref="A1:D1"/>
    <mergeCell ref="F1:L1"/>
  </mergeCells>
  <conditionalFormatting sqref="D2">
    <cfRule type="expression" dxfId="7" priority="5">
      <formula>$E2="Fire"</formula>
    </cfRule>
    <cfRule type="expression" dxfId="6" priority="6">
      <formula>$E2="Water"</formula>
    </cfRule>
    <cfRule type="expression" dxfId="5" priority="7">
      <formula>$E2="Electricity"</formula>
    </cfRule>
    <cfRule type="expression" dxfId="4" priority="8">
      <formula>$E2="Wood"</formula>
    </cfRule>
  </conditionalFormatting>
  <conditionalFormatting sqref="K2:L2">
    <cfRule type="expression" dxfId="3" priority="1">
      <formula>$E2="Fire"</formula>
    </cfRule>
    <cfRule type="expression" dxfId="2" priority="2">
      <formula>$E2="Water"</formula>
    </cfRule>
    <cfRule type="expression" dxfId="1" priority="3">
      <formula>$E2="Electricity"</formula>
    </cfRule>
    <cfRule type="expression" dxfId="0" priority="4">
      <formula>$E2="Wood"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71B8-73B4-4FED-80C9-7BF4CCB2C89B}">
  <dimension ref="A1:C7"/>
  <sheetViews>
    <sheetView workbookViewId="0">
      <selection sqref="A1:C6"/>
    </sheetView>
  </sheetViews>
  <sheetFormatPr baseColWidth="10" defaultRowHeight="15" x14ac:dyDescent="0.25"/>
  <sheetData>
    <row r="1" spans="1:3" x14ac:dyDescent="0.25">
      <c r="A1" s="223" t="s">
        <v>17</v>
      </c>
      <c r="B1" s="222" t="s">
        <v>20</v>
      </c>
      <c r="C1" s="222" t="s">
        <v>238</v>
      </c>
    </row>
    <row r="2" spans="1:3" x14ac:dyDescent="0.25">
      <c r="A2" s="225">
        <v>1</v>
      </c>
      <c r="B2" s="4">
        <v>5</v>
      </c>
      <c r="C2" s="4">
        <f>B2*5</f>
        <v>25</v>
      </c>
    </row>
    <row r="3" spans="1:3" x14ac:dyDescent="0.25">
      <c r="A3" s="225">
        <v>2</v>
      </c>
      <c r="B3" s="4">
        <v>10</v>
      </c>
      <c r="C3" s="4">
        <f t="shared" ref="C3:C6" si="0">B3*5</f>
        <v>50</v>
      </c>
    </row>
    <row r="4" spans="1:3" x14ac:dyDescent="0.25">
      <c r="A4" s="225">
        <v>3</v>
      </c>
      <c r="B4" s="4">
        <v>20</v>
      </c>
      <c r="C4" s="4">
        <f t="shared" si="0"/>
        <v>100</v>
      </c>
    </row>
    <row r="5" spans="1:3" x14ac:dyDescent="0.25">
      <c r="A5" s="225">
        <v>4</v>
      </c>
      <c r="B5" s="4">
        <v>60</v>
      </c>
      <c r="C5" s="4">
        <f t="shared" si="0"/>
        <v>300</v>
      </c>
    </row>
    <row r="6" spans="1:3" x14ac:dyDescent="0.25">
      <c r="A6" s="225">
        <v>5</v>
      </c>
      <c r="B6" s="4">
        <v>100</v>
      </c>
      <c r="C6" s="4">
        <f t="shared" si="0"/>
        <v>500</v>
      </c>
    </row>
    <row r="7" spans="1:3" ht="15.75" thickBot="1" x14ac:dyDescent="0.3">
      <c r="A7" s="228" t="s">
        <v>238</v>
      </c>
      <c r="B7" s="229"/>
      <c r="C7" s="229">
        <f>SUM(C2:C6)</f>
        <v>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0D21-557E-4A28-A9D5-248E4DB6FBCB}">
  <sheetPr codeName="Feuil5"/>
  <dimension ref="B2:AG146"/>
  <sheetViews>
    <sheetView topLeftCell="A106" workbookViewId="0">
      <selection activeCell="E129" sqref="E129"/>
    </sheetView>
  </sheetViews>
  <sheetFormatPr baseColWidth="10" defaultRowHeight="12" x14ac:dyDescent="0.2"/>
  <cols>
    <col min="1" max="1" width="11.42578125" style="1"/>
    <col min="2" max="2" width="20" style="1" bestFit="1" customWidth="1"/>
    <col min="3" max="33" width="11.28515625" style="1" customWidth="1"/>
    <col min="34" max="16384" width="11.42578125" style="1"/>
  </cols>
  <sheetData>
    <row r="2" spans="2:15" x14ac:dyDescent="0.2">
      <c r="B2" s="143" t="str" cm="1">
        <f t="array" ref="B2">_xlfn.LAMBDA(_xlpm.x,_xlpm.y, IF(_xlfn.ISOMITTED(_xlpm.y),"Second argument manquant",_xlpm.x+_xlpm.y))(1,)</f>
        <v>Second argument manquant</v>
      </c>
    </row>
    <row r="3" spans="2:15" x14ac:dyDescent="0.2">
      <c r="K3" s="1" t="str">
        <f>B28</f>
        <v>Année</v>
      </c>
      <c r="L3" s="1" cm="1">
        <f t="array" ref="L3">INDEX($O$4:$O$13,$C$28)</f>
        <v>2026</v>
      </c>
    </row>
    <row r="4" spans="2:15" x14ac:dyDescent="0.2">
      <c r="K4" s="187" t="s">
        <v>123</v>
      </c>
      <c r="L4" s="187" t="s">
        <v>124</v>
      </c>
      <c r="M4" s="187" t="s">
        <v>125</v>
      </c>
      <c r="O4" s="1" cm="1">
        <f t="array" ref="O4:O13">_xlfn.MAKEARRAY(10,1,_xlfn.LAMBDA(_xlpm.r,_xlpm.c,2024+_xlpm.r))</f>
        <v>2025</v>
      </c>
    </row>
    <row r="5" spans="2:15" x14ac:dyDescent="0.2">
      <c r="B5" s="143" cm="1">
        <f t="array" ref="B5:G8">_xlfn.SCAN(0,TCD!M4:R7,_xlfn.LAMBDA(_xlpm.a,_xlpm.b,IFERROR(_xlpm.a+_xlpm.b,_xlpm.a)))</f>
        <v>6000</v>
      </c>
      <c r="C5" s="1">
        <v>13000</v>
      </c>
      <c r="D5" s="1">
        <v>21000</v>
      </c>
      <c r="E5" s="1">
        <v>30000</v>
      </c>
      <c r="F5" s="1">
        <v>30000</v>
      </c>
      <c r="G5" s="1">
        <v>30000</v>
      </c>
      <c r="K5" s="188">
        <f>DATE(L3,1,1)</f>
        <v>46023</v>
      </c>
      <c r="L5" s="7" t="s">
        <v>126</v>
      </c>
      <c r="M5" s="189">
        <f>DAY(K5)</f>
        <v>1</v>
      </c>
      <c r="O5" s="1">
        <v>2026</v>
      </c>
    </row>
    <row r="6" spans="2:15" x14ac:dyDescent="0.2">
      <c r="B6" s="1">
        <v>39000</v>
      </c>
      <c r="C6" s="1">
        <v>48000</v>
      </c>
      <c r="D6" s="1">
        <v>58000</v>
      </c>
      <c r="E6" s="1">
        <v>68000</v>
      </c>
      <c r="F6" s="1">
        <v>79000</v>
      </c>
      <c r="G6" s="1">
        <v>90000</v>
      </c>
      <c r="K6" s="188">
        <f>ROUND(DATE(L3, 4, MOD(234-11*MOD(L3, 19), 30))/7, 0)*7-6</f>
        <v>46117</v>
      </c>
      <c r="L6" s="7" t="s">
        <v>127</v>
      </c>
      <c r="M6" s="189">
        <f t="shared" ref="M6:M16" si="0">DAY(K6)</f>
        <v>5</v>
      </c>
      <c r="O6" s="1">
        <v>2027</v>
      </c>
    </row>
    <row r="7" spans="2:15" x14ac:dyDescent="0.2">
      <c r="B7" s="1">
        <v>102000</v>
      </c>
      <c r="C7" s="1">
        <v>115000</v>
      </c>
      <c r="D7" s="1">
        <v>129000</v>
      </c>
      <c r="E7" s="1">
        <v>144000</v>
      </c>
      <c r="F7" s="1">
        <v>161000</v>
      </c>
      <c r="G7" s="1">
        <v>180000</v>
      </c>
      <c r="K7" s="188">
        <f>K6+1</f>
        <v>46118</v>
      </c>
      <c r="L7" s="7" t="s">
        <v>128</v>
      </c>
      <c r="M7" s="189">
        <f t="shared" si="0"/>
        <v>6</v>
      </c>
      <c r="O7" s="1">
        <v>2028</v>
      </c>
    </row>
    <row r="8" spans="2:15" x14ac:dyDescent="0.2">
      <c r="B8" s="1">
        <v>202000</v>
      </c>
      <c r="C8" s="1">
        <v>228000</v>
      </c>
      <c r="D8" s="1">
        <v>258000</v>
      </c>
      <c r="E8" s="1">
        <v>296000</v>
      </c>
      <c r="F8" s="1">
        <v>342000</v>
      </c>
      <c r="G8" s="1">
        <v>400000</v>
      </c>
      <c r="K8" s="188">
        <f>DATE(L3,5,1)</f>
        <v>46143</v>
      </c>
      <c r="L8" s="7" t="s">
        <v>129</v>
      </c>
      <c r="M8" s="189">
        <f t="shared" si="0"/>
        <v>1</v>
      </c>
      <c r="O8" s="1">
        <v>2029</v>
      </c>
    </row>
    <row r="9" spans="2:15" x14ac:dyDescent="0.2">
      <c r="K9" s="188">
        <f>DATE(L3,5,8)</f>
        <v>46150</v>
      </c>
      <c r="L9" s="7" t="s">
        <v>130</v>
      </c>
      <c r="M9" s="189">
        <f t="shared" si="0"/>
        <v>8</v>
      </c>
      <c r="O9" s="1">
        <v>2030</v>
      </c>
    </row>
    <row r="10" spans="2:15" x14ac:dyDescent="0.2">
      <c r="K10" s="188">
        <f>K6+39</f>
        <v>46156</v>
      </c>
      <c r="L10" s="7" t="s">
        <v>131</v>
      </c>
      <c r="M10" s="189">
        <f t="shared" si="0"/>
        <v>14</v>
      </c>
      <c r="O10" s="1">
        <v>2031</v>
      </c>
    </row>
    <row r="11" spans="2:15" x14ac:dyDescent="0.2">
      <c r="K11" s="188">
        <f>K6+50</f>
        <v>46167</v>
      </c>
      <c r="L11" s="7" t="s">
        <v>132</v>
      </c>
      <c r="M11" s="189">
        <f t="shared" si="0"/>
        <v>25</v>
      </c>
      <c r="O11" s="1">
        <v>2032</v>
      </c>
    </row>
    <row r="12" spans="2:15" x14ac:dyDescent="0.2">
      <c r="K12" s="188">
        <f>DATE(L3,7,14)</f>
        <v>46217</v>
      </c>
      <c r="L12" s="7" t="s">
        <v>133</v>
      </c>
      <c r="M12" s="189">
        <f t="shared" si="0"/>
        <v>14</v>
      </c>
      <c r="O12" s="1">
        <v>2033</v>
      </c>
    </row>
    <row r="13" spans="2:15" x14ac:dyDescent="0.2">
      <c r="K13" s="188">
        <f>DATE(L3,8,15)</f>
        <v>46249</v>
      </c>
      <c r="L13" s="7" t="s">
        <v>134</v>
      </c>
      <c r="M13" s="189">
        <f t="shared" si="0"/>
        <v>15</v>
      </c>
      <c r="O13" s="1">
        <v>2034</v>
      </c>
    </row>
    <row r="14" spans="2:15" x14ac:dyDescent="0.2">
      <c r="K14" s="188">
        <f>DATE(L3,11,1)</f>
        <v>46327</v>
      </c>
      <c r="L14" s="7" t="s">
        <v>135</v>
      </c>
      <c r="M14" s="189">
        <f t="shared" si="0"/>
        <v>1</v>
      </c>
    </row>
    <row r="15" spans="2:15" x14ac:dyDescent="0.2">
      <c r="K15" s="188">
        <f>DATE(L3,11,11)</f>
        <v>46337</v>
      </c>
      <c r="L15" s="7" t="s">
        <v>136</v>
      </c>
      <c r="M15" s="189">
        <f t="shared" si="0"/>
        <v>11</v>
      </c>
    </row>
    <row r="16" spans="2:15" x14ac:dyDescent="0.2">
      <c r="K16" s="188">
        <f>DATE(L3,12,25)</f>
        <v>46381</v>
      </c>
      <c r="L16" s="7" t="s">
        <v>137</v>
      </c>
      <c r="M16" s="189">
        <f t="shared" si="0"/>
        <v>25</v>
      </c>
    </row>
    <row r="28" spans="2:33" x14ac:dyDescent="0.2">
      <c r="B28" s="1" t="s">
        <v>122</v>
      </c>
      <c r="C28" s="186">
        <v>2</v>
      </c>
    </row>
    <row r="29" spans="2:33" x14ac:dyDescent="0.2">
      <c r="C29" s="1" cm="1">
        <f t="array" ref="C29:AG29">_xlfn.MAKEARRAY(1,31,_xlfn.LAMBDA(_xlpm.r,_xlpm.c,_xlpm.c))</f>
        <v>1</v>
      </c>
      <c r="D29" s="1">
        <v>2</v>
      </c>
      <c r="E29" s="1">
        <v>3</v>
      </c>
      <c r="F29" s="1">
        <v>4</v>
      </c>
      <c r="G29" s="1">
        <v>5</v>
      </c>
      <c r="H29" s="1">
        <v>6</v>
      </c>
      <c r="I29" s="1">
        <v>7</v>
      </c>
      <c r="J29" s="1">
        <v>8</v>
      </c>
      <c r="K29" s="1">
        <v>9</v>
      </c>
      <c r="L29" s="1">
        <v>10</v>
      </c>
      <c r="M29" s="1">
        <v>11</v>
      </c>
      <c r="N29" s="1">
        <v>12</v>
      </c>
      <c r="O29" s="1">
        <v>13</v>
      </c>
      <c r="P29" s="1">
        <v>14</v>
      </c>
      <c r="Q29" s="1">
        <v>15</v>
      </c>
      <c r="R29" s="1">
        <v>16</v>
      </c>
      <c r="S29" s="1">
        <v>17</v>
      </c>
      <c r="T29" s="1">
        <v>18</v>
      </c>
      <c r="U29" s="1">
        <v>19</v>
      </c>
      <c r="V29" s="1">
        <v>20</v>
      </c>
      <c r="W29" s="1">
        <v>21</v>
      </c>
      <c r="X29" s="1">
        <v>22</v>
      </c>
      <c r="Y29" s="1">
        <v>23</v>
      </c>
      <c r="Z29" s="1">
        <v>24</v>
      </c>
      <c r="AA29" s="1">
        <v>25</v>
      </c>
      <c r="AB29" s="1">
        <v>26</v>
      </c>
      <c r="AC29" s="1">
        <v>27</v>
      </c>
      <c r="AD29" s="1">
        <v>28</v>
      </c>
      <c r="AE29" s="1">
        <v>29</v>
      </c>
      <c r="AF29" s="1">
        <v>30</v>
      </c>
      <c r="AG29" s="1">
        <v>31</v>
      </c>
    </row>
    <row r="30" spans="2:33" x14ac:dyDescent="0.2">
      <c r="B30" s="184" t="str" cm="1">
        <f t="array" ref="B30:B41">_xlfn.MAKEARRAY(12,1,_xlfn.LAMBDA(_xlpm.r,_xlpm.c,PROPER(TEXT(DATE(2000,_xlpm.r,1),"mmmm"))))</f>
        <v>Janvier</v>
      </c>
      <c r="C30" s="185" cm="1">
        <f t="array" ref="C30:AG41">_xlfn.LAMBDA(_xlpm.annee,_xlpm.jours,_xlpm.mois,IF(MONTH(DATE(_xlpm.annee,_xlpm.mois,_xlpm.jours))=_xlpm.mois,DATE(_xlpm.annee,_xlpm.mois,_xlpm.jours),"-"))(INDEX($O$4:$O$13,$C$28),_xlfn.MAKEARRAY(1,31,_xlfn.LAMBDA(_xlpm.r,_xlpm.c,_xlpm.c)),_xlfn.MAKEARRAY(12,1,_xlfn.LAMBDA(_xlpm.r,_xlpm.c,_xlpm.r)))</f>
        <v>46023</v>
      </c>
      <c r="D30" s="185">
        <v>46024</v>
      </c>
      <c r="E30" s="185">
        <v>46025</v>
      </c>
      <c r="F30" s="185">
        <v>46026</v>
      </c>
      <c r="G30" s="185">
        <v>46027</v>
      </c>
      <c r="H30" s="185">
        <v>46028</v>
      </c>
      <c r="I30" s="185">
        <v>46029</v>
      </c>
      <c r="J30" s="185">
        <v>46030</v>
      </c>
      <c r="K30" s="185">
        <v>46031</v>
      </c>
      <c r="L30" s="185">
        <v>46032</v>
      </c>
      <c r="M30" s="185">
        <v>46033</v>
      </c>
      <c r="N30" s="185">
        <v>46034</v>
      </c>
      <c r="O30" s="185">
        <v>46035</v>
      </c>
      <c r="P30" s="185">
        <v>46036</v>
      </c>
      <c r="Q30" s="185">
        <v>46037</v>
      </c>
      <c r="R30" s="185">
        <v>46038</v>
      </c>
      <c r="S30" s="185">
        <v>46039</v>
      </c>
      <c r="T30" s="185">
        <v>46040</v>
      </c>
      <c r="U30" s="185">
        <v>46041</v>
      </c>
      <c r="V30" s="185">
        <v>46042</v>
      </c>
      <c r="W30" s="185">
        <v>46043</v>
      </c>
      <c r="X30" s="185">
        <v>46044</v>
      </c>
      <c r="Y30" s="185">
        <v>46045</v>
      </c>
      <c r="Z30" s="185">
        <v>46046</v>
      </c>
      <c r="AA30" s="185">
        <v>46047</v>
      </c>
      <c r="AB30" s="185">
        <v>46048</v>
      </c>
      <c r="AC30" s="185">
        <v>46049</v>
      </c>
      <c r="AD30" s="185">
        <v>46050</v>
      </c>
      <c r="AE30" s="185">
        <v>46051</v>
      </c>
      <c r="AF30" s="185">
        <v>46052</v>
      </c>
      <c r="AG30" s="185">
        <v>46053</v>
      </c>
    </row>
    <row r="31" spans="2:33" x14ac:dyDescent="0.2">
      <c r="B31" s="184" t="str">
        <v>Février</v>
      </c>
      <c r="C31" s="185">
        <v>46054</v>
      </c>
      <c r="D31" s="185">
        <v>46055</v>
      </c>
      <c r="E31" s="185">
        <v>46056</v>
      </c>
      <c r="F31" s="185">
        <v>46057</v>
      </c>
      <c r="G31" s="185">
        <v>46058</v>
      </c>
      <c r="H31" s="185">
        <v>46059</v>
      </c>
      <c r="I31" s="185">
        <v>46060</v>
      </c>
      <c r="J31" s="185">
        <v>46061</v>
      </c>
      <c r="K31" s="185">
        <v>46062</v>
      </c>
      <c r="L31" s="185">
        <v>46063</v>
      </c>
      <c r="M31" s="185">
        <v>46064</v>
      </c>
      <c r="N31" s="185">
        <v>46065</v>
      </c>
      <c r="O31" s="185">
        <v>46066</v>
      </c>
      <c r="P31" s="185">
        <v>46067</v>
      </c>
      <c r="Q31" s="185">
        <v>46068</v>
      </c>
      <c r="R31" s="185">
        <v>46069</v>
      </c>
      <c r="S31" s="185">
        <v>46070</v>
      </c>
      <c r="T31" s="185">
        <v>46071</v>
      </c>
      <c r="U31" s="185">
        <v>46072</v>
      </c>
      <c r="V31" s="185">
        <v>46073</v>
      </c>
      <c r="W31" s="185">
        <v>46074</v>
      </c>
      <c r="X31" s="185">
        <v>46075</v>
      </c>
      <c r="Y31" s="185">
        <v>46076</v>
      </c>
      <c r="Z31" s="185">
        <v>46077</v>
      </c>
      <c r="AA31" s="185">
        <v>46078</v>
      </c>
      <c r="AB31" s="185">
        <v>46079</v>
      </c>
      <c r="AC31" s="185">
        <v>46080</v>
      </c>
      <c r="AD31" s="185">
        <v>46081</v>
      </c>
      <c r="AE31" s="185" t="str">
        <v>-</v>
      </c>
      <c r="AF31" s="185" t="str">
        <v>-</v>
      </c>
      <c r="AG31" s="185" t="str">
        <v>-</v>
      </c>
    </row>
    <row r="32" spans="2:33" x14ac:dyDescent="0.2">
      <c r="B32" s="184" t="str">
        <v>Mars</v>
      </c>
      <c r="C32" s="185">
        <v>46082</v>
      </c>
      <c r="D32" s="185">
        <v>46083</v>
      </c>
      <c r="E32" s="185">
        <v>46084</v>
      </c>
      <c r="F32" s="185">
        <v>46085</v>
      </c>
      <c r="G32" s="185">
        <v>46086</v>
      </c>
      <c r="H32" s="185">
        <v>46087</v>
      </c>
      <c r="I32" s="185">
        <v>46088</v>
      </c>
      <c r="J32" s="185">
        <v>46089</v>
      </c>
      <c r="K32" s="185">
        <v>46090</v>
      </c>
      <c r="L32" s="185">
        <v>46091</v>
      </c>
      <c r="M32" s="185">
        <v>46092</v>
      </c>
      <c r="N32" s="185">
        <v>46093</v>
      </c>
      <c r="O32" s="185">
        <v>46094</v>
      </c>
      <c r="P32" s="185">
        <v>46095</v>
      </c>
      <c r="Q32" s="185">
        <v>46096</v>
      </c>
      <c r="R32" s="185">
        <v>46097</v>
      </c>
      <c r="S32" s="185">
        <v>46098</v>
      </c>
      <c r="T32" s="185">
        <v>46099</v>
      </c>
      <c r="U32" s="185">
        <v>46100</v>
      </c>
      <c r="V32" s="185">
        <v>46101</v>
      </c>
      <c r="W32" s="185">
        <v>46102</v>
      </c>
      <c r="X32" s="185">
        <v>46103</v>
      </c>
      <c r="Y32" s="185">
        <v>46104</v>
      </c>
      <c r="Z32" s="185">
        <v>46105</v>
      </c>
      <c r="AA32" s="185">
        <v>46106</v>
      </c>
      <c r="AB32" s="185">
        <v>46107</v>
      </c>
      <c r="AC32" s="185">
        <v>46108</v>
      </c>
      <c r="AD32" s="185">
        <v>46109</v>
      </c>
      <c r="AE32" s="185">
        <v>46110</v>
      </c>
      <c r="AF32" s="185">
        <v>46111</v>
      </c>
      <c r="AG32" s="185">
        <v>46112</v>
      </c>
    </row>
    <row r="33" spans="2:33" x14ac:dyDescent="0.2">
      <c r="B33" s="184" t="str">
        <v>Avril</v>
      </c>
      <c r="C33" s="185">
        <v>46113</v>
      </c>
      <c r="D33" s="185">
        <v>46114</v>
      </c>
      <c r="E33" s="185">
        <v>46115</v>
      </c>
      <c r="F33" s="185">
        <v>46116</v>
      </c>
      <c r="G33" s="185">
        <v>46117</v>
      </c>
      <c r="H33" s="185">
        <v>46118</v>
      </c>
      <c r="I33" s="185">
        <v>46119</v>
      </c>
      <c r="J33" s="185">
        <v>46120</v>
      </c>
      <c r="K33" s="185">
        <v>46121</v>
      </c>
      <c r="L33" s="185">
        <v>46122</v>
      </c>
      <c r="M33" s="185">
        <v>46123</v>
      </c>
      <c r="N33" s="185">
        <v>46124</v>
      </c>
      <c r="O33" s="185">
        <v>46125</v>
      </c>
      <c r="P33" s="185">
        <v>46126</v>
      </c>
      <c r="Q33" s="185">
        <v>46127</v>
      </c>
      <c r="R33" s="185">
        <v>46128</v>
      </c>
      <c r="S33" s="185">
        <v>46129</v>
      </c>
      <c r="T33" s="185">
        <v>46130</v>
      </c>
      <c r="U33" s="185">
        <v>46131</v>
      </c>
      <c r="V33" s="185">
        <v>46132</v>
      </c>
      <c r="W33" s="185">
        <v>46133</v>
      </c>
      <c r="X33" s="185">
        <v>46134</v>
      </c>
      <c r="Y33" s="185">
        <v>46135</v>
      </c>
      <c r="Z33" s="185">
        <v>46136</v>
      </c>
      <c r="AA33" s="185">
        <v>46137</v>
      </c>
      <c r="AB33" s="185">
        <v>46138</v>
      </c>
      <c r="AC33" s="185">
        <v>46139</v>
      </c>
      <c r="AD33" s="185">
        <v>46140</v>
      </c>
      <c r="AE33" s="185">
        <v>46141</v>
      </c>
      <c r="AF33" s="185">
        <v>46142</v>
      </c>
      <c r="AG33" s="185" t="str">
        <v>-</v>
      </c>
    </row>
    <row r="34" spans="2:33" x14ac:dyDescent="0.2">
      <c r="B34" s="184" t="str">
        <v>Mai</v>
      </c>
      <c r="C34" s="185">
        <v>46143</v>
      </c>
      <c r="D34" s="185">
        <v>46144</v>
      </c>
      <c r="E34" s="185">
        <v>46145</v>
      </c>
      <c r="F34" s="185">
        <v>46146</v>
      </c>
      <c r="G34" s="185">
        <v>46147</v>
      </c>
      <c r="H34" s="185">
        <v>46148</v>
      </c>
      <c r="I34" s="185">
        <v>46149</v>
      </c>
      <c r="J34" s="185">
        <v>46150</v>
      </c>
      <c r="K34" s="185">
        <v>46151</v>
      </c>
      <c r="L34" s="185">
        <v>46152</v>
      </c>
      <c r="M34" s="185">
        <v>46153</v>
      </c>
      <c r="N34" s="185">
        <v>46154</v>
      </c>
      <c r="O34" s="185">
        <v>46155</v>
      </c>
      <c r="P34" s="185">
        <v>46156</v>
      </c>
      <c r="Q34" s="185">
        <v>46157</v>
      </c>
      <c r="R34" s="185">
        <v>46158</v>
      </c>
      <c r="S34" s="185">
        <v>46159</v>
      </c>
      <c r="T34" s="185">
        <v>46160</v>
      </c>
      <c r="U34" s="185">
        <v>46161</v>
      </c>
      <c r="V34" s="185">
        <v>46162</v>
      </c>
      <c r="W34" s="185">
        <v>46163</v>
      </c>
      <c r="X34" s="185">
        <v>46164</v>
      </c>
      <c r="Y34" s="185">
        <v>46165</v>
      </c>
      <c r="Z34" s="185">
        <v>46166</v>
      </c>
      <c r="AA34" s="185">
        <v>46167</v>
      </c>
      <c r="AB34" s="185">
        <v>46168</v>
      </c>
      <c r="AC34" s="185">
        <v>46169</v>
      </c>
      <c r="AD34" s="185">
        <v>46170</v>
      </c>
      <c r="AE34" s="185">
        <v>46171</v>
      </c>
      <c r="AF34" s="185">
        <v>46172</v>
      </c>
      <c r="AG34" s="185">
        <v>46173</v>
      </c>
    </row>
    <row r="35" spans="2:33" x14ac:dyDescent="0.2">
      <c r="B35" s="184" t="str">
        <v>Juin</v>
      </c>
      <c r="C35" s="185">
        <v>46174</v>
      </c>
      <c r="D35" s="185">
        <v>46175</v>
      </c>
      <c r="E35" s="185">
        <v>46176</v>
      </c>
      <c r="F35" s="185">
        <v>46177</v>
      </c>
      <c r="G35" s="185">
        <v>46178</v>
      </c>
      <c r="H35" s="185">
        <v>46179</v>
      </c>
      <c r="I35" s="185">
        <v>46180</v>
      </c>
      <c r="J35" s="185">
        <v>46181</v>
      </c>
      <c r="K35" s="185">
        <v>46182</v>
      </c>
      <c r="L35" s="185">
        <v>46183</v>
      </c>
      <c r="M35" s="185">
        <v>46184</v>
      </c>
      <c r="N35" s="185">
        <v>46185</v>
      </c>
      <c r="O35" s="185">
        <v>46186</v>
      </c>
      <c r="P35" s="185">
        <v>46187</v>
      </c>
      <c r="Q35" s="185">
        <v>46188</v>
      </c>
      <c r="R35" s="185">
        <v>46189</v>
      </c>
      <c r="S35" s="185">
        <v>46190</v>
      </c>
      <c r="T35" s="185">
        <v>46191</v>
      </c>
      <c r="U35" s="185">
        <v>46192</v>
      </c>
      <c r="V35" s="185">
        <v>46193</v>
      </c>
      <c r="W35" s="185">
        <v>46194</v>
      </c>
      <c r="X35" s="185">
        <v>46195</v>
      </c>
      <c r="Y35" s="185">
        <v>46196</v>
      </c>
      <c r="Z35" s="185">
        <v>46197</v>
      </c>
      <c r="AA35" s="185">
        <v>46198</v>
      </c>
      <c r="AB35" s="185">
        <v>46199</v>
      </c>
      <c r="AC35" s="185">
        <v>46200</v>
      </c>
      <c r="AD35" s="185">
        <v>46201</v>
      </c>
      <c r="AE35" s="185">
        <v>46202</v>
      </c>
      <c r="AF35" s="185">
        <v>46203</v>
      </c>
      <c r="AG35" s="185" t="str">
        <v>-</v>
      </c>
    </row>
    <row r="36" spans="2:33" x14ac:dyDescent="0.2">
      <c r="B36" s="184" t="str">
        <v>Juillet</v>
      </c>
      <c r="C36" s="185">
        <v>46204</v>
      </c>
      <c r="D36" s="185">
        <v>46205</v>
      </c>
      <c r="E36" s="185">
        <v>46206</v>
      </c>
      <c r="F36" s="185">
        <v>46207</v>
      </c>
      <c r="G36" s="185">
        <v>46208</v>
      </c>
      <c r="H36" s="185">
        <v>46209</v>
      </c>
      <c r="I36" s="185">
        <v>46210</v>
      </c>
      <c r="J36" s="185">
        <v>46211</v>
      </c>
      <c r="K36" s="185">
        <v>46212</v>
      </c>
      <c r="L36" s="185">
        <v>46213</v>
      </c>
      <c r="M36" s="185">
        <v>46214</v>
      </c>
      <c r="N36" s="185">
        <v>46215</v>
      </c>
      <c r="O36" s="185">
        <v>46216</v>
      </c>
      <c r="P36" s="185">
        <v>46217</v>
      </c>
      <c r="Q36" s="185">
        <v>46218</v>
      </c>
      <c r="R36" s="185">
        <v>46219</v>
      </c>
      <c r="S36" s="185">
        <v>46220</v>
      </c>
      <c r="T36" s="185">
        <v>46221</v>
      </c>
      <c r="U36" s="185">
        <v>46222</v>
      </c>
      <c r="V36" s="185">
        <v>46223</v>
      </c>
      <c r="W36" s="185">
        <v>46224</v>
      </c>
      <c r="X36" s="185">
        <v>46225</v>
      </c>
      <c r="Y36" s="185">
        <v>46226</v>
      </c>
      <c r="Z36" s="185">
        <v>46227</v>
      </c>
      <c r="AA36" s="185">
        <v>46228</v>
      </c>
      <c r="AB36" s="185">
        <v>46229</v>
      </c>
      <c r="AC36" s="185">
        <v>46230</v>
      </c>
      <c r="AD36" s="185">
        <v>46231</v>
      </c>
      <c r="AE36" s="185">
        <v>46232</v>
      </c>
      <c r="AF36" s="185">
        <v>46233</v>
      </c>
      <c r="AG36" s="185">
        <v>46234</v>
      </c>
    </row>
    <row r="37" spans="2:33" x14ac:dyDescent="0.2">
      <c r="B37" s="184" t="str">
        <v>Août</v>
      </c>
      <c r="C37" s="185">
        <v>46235</v>
      </c>
      <c r="D37" s="185">
        <v>46236</v>
      </c>
      <c r="E37" s="185">
        <v>46237</v>
      </c>
      <c r="F37" s="185">
        <v>46238</v>
      </c>
      <c r="G37" s="185">
        <v>46239</v>
      </c>
      <c r="H37" s="185">
        <v>46240</v>
      </c>
      <c r="I37" s="185">
        <v>46241</v>
      </c>
      <c r="J37" s="185">
        <v>46242</v>
      </c>
      <c r="K37" s="185">
        <v>46243</v>
      </c>
      <c r="L37" s="185">
        <v>46244</v>
      </c>
      <c r="M37" s="185">
        <v>46245</v>
      </c>
      <c r="N37" s="185">
        <v>46246</v>
      </c>
      <c r="O37" s="185">
        <v>46247</v>
      </c>
      <c r="P37" s="185">
        <v>46248</v>
      </c>
      <c r="Q37" s="185">
        <v>46249</v>
      </c>
      <c r="R37" s="185">
        <v>46250</v>
      </c>
      <c r="S37" s="185">
        <v>46251</v>
      </c>
      <c r="T37" s="185">
        <v>46252</v>
      </c>
      <c r="U37" s="185">
        <v>46253</v>
      </c>
      <c r="V37" s="185">
        <v>46254</v>
      </c>
      <c r="W37" s="185">
        <v>46255</v>
      </c>
      <c r="X37" s="185">
        <v>46256</v>
      </c>
      <c r="Y37" s="185">
        <v>46257</v>
      </c>
      <c r="Z37" s="185">
        <v>46258</v>
      </c>
      <c r="AA37" s="185">
        <v>46259</v>
      </c>
      <c r="AB37" s="185">
        <v>46260</v>
      </c>
      <c r="AC37" s="185">
        <v>46261</v>
      </c>
      <c r="AD37" s="185">
        <v>46262</v>
      </c>
      <c r="AE37" s="185">
        <v>46263</v>
      </c>
      <c r="AF37" s="185">
        <v>46264</v>
      </c>
      <c r="AG37" s="185">
        <v>46265</v>
      </c>
    </row>
    <row r="38" spans="2:33" x14ac:dyDescent="0.2">
      <c r="B38" s="184" t="str">
        <v>Septembre</v>
      </c>
      <c r="C38" s="185">
        <v>46266</v>
      </c>
      <c r="D38" s="185">
        <v>46267</v>
      </c>
      <c r="E38" s="185">
        <v>46268</v>
      </c>
      <c r="F38" s="185">
        <v>46269</v>
      </c>
      <c r="G38" s="185">
        <v>46270</v>
      </c>
      <c r="H38" s="185">
        <v>46271</v>
      </c>
      <c r="I38" s="185">
        <v>46272</v>
      </c>
      <c r="J38" s="185">
        <v>46273</v>
      </c>
      <c r="K38" s="185">
        <v>46274</v>
      </c>
      <c r="L38" s="185">
        <v>46275</v>
      </c>
      <c r="M38" s="185">
        <v>46276</v>
      </c>
      <c r="N38" s="185">
        <v>46277</v>
      </c>
      <c r="O38" s="185">
        <v>46278</v>
      </c>
      <c r="P38" s="185">
        <v>46279</v>
      </c>
      <c r="Q38" s="185">
        <v>46280</v>
      </c>
      <c r="R38" s="185">
        <v>46281</v>
      </c>
      <c r="S38" s="185">
        <v>46282</v>
      </c>
      <c r="T38" s="185">
        <v>46283</v>
      </c>
      <c r="U38" s="185">
        <v>46284</v>
      </c>
      <c r="V38" s="185">
        <v>46285</v>
      </c>
      <c r="W38" s="185">
        <v>46286</v>
      </c>
      <c r="X38" s="185">
        <v>46287</v>
      </c>
      <c r="Y38" s="185">
        <v>46288</v>
      </c>
      <c r="Z38" s="185">
        <v>46289</v>
      </c>
      <c r="AA38" s="185">
        <v>46290</v>
      </c>
      <c r="AB38" s="185">
        <v>46291</v>
      </c>
      <c r="AC38" s="185">
        <v>46292</v>
      </c>
      <c r="AD38" s="185">
        <v>46293</v>
      </c>
      <c r="AE38" s="185">
        <v>46294</v>
      </c>
      <c r="AF38" s="185">
        <v>46295</v>
      </c>
      <c r="AG38" s="185" t="str">
        <v>-</v>
      </c>
    </row>
    <row r="39" spans="2:33" x14ac:dyDescent="0.2">
      <c r="B39" s="184" t="str">
        <v>Octobre</v>
      </c>
      <c r="C39" s="185">
        <v>46296</v>
      </c>
      <c r="D39" s="185">
        <v>46297</v>
      </c>
      <c r="E39" s="185">
        <v>46298</v>
      </c>
      <c r="F39" s="185">
        <v>46299</v>
      </c>
      <c r="G39" s="185">
        <v>46300</v>
      </c>
      <c r="H39" s="185">
        <v>46301</v>
      </c>
      <c r="I39" s="185">
        <v>46302</v>
      </c>
      <c r="J39" s="185">
        <v>46303</v>
      </c>
      <c r="K39" s="185">
        <v>46304</v>
      </c>
      <c r="L39" s="185">
        <v>46305</v>
      </c>
      <c r="M39" s="185">
        <v>46306</v>
      </c>
      <c r="N39" s="185">
        <v>46307</v>
      </c>
      <c r="O39" s="185">
        <v>46308</v>
      </c>
      <c r="P39" s="185">
        <v>46309</v>
      </c>
      <c r="Q39" s="185">
        <v>46310</v>
      </c>
      <c r="R39" s="185">
        <v>46311</v>
      </c>
      <c r="S39" s="185">
        <v>46312</v>
      </c>
      <c r="T39" s="185">
        <v>46313</v>
      </c>
      <c r="U39" s="185">
        <v>46314</v>
      </c>
      <c r="V39" s="185">
        <v>46315</v>
      </c>
      <c r="W39" s="185">
        <v>46316</v>
      </c>
      <c r="X39" s="185">
        <v>46317</v>
      </c>
      <c r="Y39" s="185">
        <v>46318</v>
      </c>
      <c r="Z39" s="185">
        <v>46319</v>
      </c>
      <c r="AA39" s="185">
        <v>46320</v>
      </c>
      <c r="AB39" s="185">
        <v>46321</v>
      </c>
      <c r="AC39" s="185">
        <v>46322</v>
      </c>
      <c r="AD39" s="185">
        <v>46323</v>
      </c>
      <c r="AE39" s="185">
        <v>46324</v>
      </c>
      <c r="AF39" s="185">
        <v>46325</v>
      </c>
      <c r="AG39" s="185">
        <v>46326</v>
      </c>
    </row>
    <row r="40" spans="2:33" x14ac:dyDescent="0.2">
      <c r="B40" s="184" t="str">
        <v>Novembre</v>
      </c>
      <c r="C40" s="185">
        <v>46327</v>
      </c>
      <c r="D40" s="185">
        <v>46328</v>
      </c>
      <c r="E40" s="185">
        <v>46329</v>
      </c>
      <c r="F40" s="185">
        <v>46330</v>
      </c>
      <c r="G40" s="185">
        <v>46331</v>
      </c>
      <c r="H40" s="185">
        <v>46332</v>
      </c>
      <c r="I40" s="185">
        <v>46333</v>
      </c>
      <c r="J40" s="185">
        <v>46334</v>
      </c>
      <c r="K40" s="185">
        <v>46335</v>
      </c>
      <c r="L40" s="185">
        <v>46336</v>
      </c>
      <c r="M40" s="185">
        <v>46337</v>
      </c>
      <c r="N40" s="185">
        <v>46338</v>
      </c>
      <c r="O40" s="185">
        <v>46339</v>
      </c>
      <c r="P40" s="185">
        <v>46340</v>
      </c>
      <c r="Q40" s="185">
        <v>46341</v>
      </c>
      <c r="R40" s="185">
        <v>46342</v>
      </c>
      <c r="S40" s="185">
        <v>46343</v>
      </c>
      <c r="T40" s="185">
        <v>46344</v>
      </c>
      <c r="U40" s="185">
        <v>46345</v>
      </c>
      <c r="V40" s="185">
        <v>46346</v>
      </c>
      <c r="W40" s="185">
        <v>46347</v>
      </c>
      <c r="X40" s="185">
        <v>46348</v>
      </c>
      <c r="Y40" s="185">
        <v>46349</v>
      </c>
      <c r="Z40" s="185">
        <v>46350</v>
      </c>
      <c r="AA40" s="185">
        <v>46351</v>
      </c>
      <c r="AB40" s="185">
        <v>46352</v>
      </c>
      <c r="AC40" s="185">
        <v>46353</v>
      </c>
      <c r="AD40" s="185">
        <v>46354</v>
      </c>
      <c r="AE40" s="185">
        <v>46355</v>
      </c>
      <c r="AF40" s="185">
        <v>46356</v>
      </c>
      <c r="AG40" s="185" t="str">
        <v>-</v>
      </c>
    </row>
    <row r="41" spans="2:33" x14ac:dyDescent="0.2">
      <c r="B41" s="184" t="str">
        <v>Décembre</v>
      </c>
      <c r="C41" s="185">
        <v>46357</v>
      </c>
      <c r="D41" s="185">
        <v>46358</v>
      </c>
      <c r="E41" s="185">
        <v>46359</v>
      </c>
      <c r="F41" s="185">
        <v>46360</v>
      </c>
      <c r="G41" s="185">
        <v>46361</v>
      </c>
      <c r="H41" s="185">
        <v>46362</v>
      </c>
      <c r="I41" s="185">
        <v>46363</v>
      </c>
      <c r="J41" s="185">
        <v>46364</v>
      </c>
      <c r="K41" s="185">
        <v>46365</v>
      </c>
      <c r="L41" s="185">
        <v>46366</v>
      </c>
      <c r="M41" s="185">
        <v>46367</v>
      </c>
      <c r="N41" s="185">
        <v>46368</v>
      </c>
      <c r="O41" s="185">
        <v>46369</v>
      </c>
      <c r="P41" s="185">
        <v>46370</v>
      </c>
      <c r="Q41" s="185">
        <v>46371</v>
      </c>
      <c r="R41" s="185">
        <v>46372</v>
      </c>
      <c r="S41" s="185">
        <v>46373</v>
      </c>
      <c r="T41" s="185">
        <v>46374</v>
      </c>
      <c r="U41" s="185">
        <v>46375</v>
      </c>
      <c r="V41" s="185">
        <v>46376</v>
      </c>
      <c r="W41" s="185">
        <v>46377</v>
      </c>
      <c r="X41" s="185">
        <v>46378</v>
      </c>
      <c r="Y41" s="185">
        <v>46379</v>
      </c>
      <c r="Z41" s="185">
        <v>46380</v>
      </c>
      <c r="AA41" s="185">
        <v>46381</v>
      </c>
      <c r="AB41" s="185">
        <v>46382</v>
      </c>
      <c r="AC41" s="185">
        <v>46383</v>
      </c>
      <c r="AD41" s="185">
        <v>46384</v>
      </c>
      <c r="AE41" s="185">
        <v>46385</v>
      </c>
      <c r="AF41" s="185">
        <v>46386</v>
      </c>
      <c r="AG41" s="185">
        <v>46387</v>
      </c>
    </row>
    <row r="42" spans="2:33" x14ac:dyDescent="0.2"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</row>
    <row r="43" spans="2:33" x14ac:dyDescent="0.2"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</row>
    <row r="44" spans="2:33" x14ac:dyDescent="0.2">
      <c r="B44" s="1">
        <f>$L$3</f>
        <v>2026</v>
      </c>
      <c r="C44" s="1" cm="1">
        <f t="array" ref="C44:AG44">_xlfn.MAKEARRAY(1,31,_xlfn.LAMBDA(_xlpm.r,_xlpm.c,_xlpm.c))</f>
        <v>1</v>
      </c>
      <c r="D44" s="1">
        <v>2</v>
      </c>
      <c r="E44" s="1">
        <v>3</v>
      </c>
      <c r="F44" s="1">
        <v>4</v>
      </c>
      <c r="G44" s="1">
        <v>5</v>
      </c>
      <c r="H44" s="1">
        <v>6</v>
      </c>
      <c r="I44" s="1">
        <v>7</v>
      </c>
      <c r="J44" s="1">
        <v>8</v>
      </c>
      <c r="K44" s="1">
        <v>9</v>
      </c>
      <c r="L44" s="1">
        <v>10</v>
      </c>
      <c r="M44" s="1">
        <v>11</v>
      </c>
      <c r="N44" s="1">
        <v>12</v>
      </c>
      <c r="O44" s="1">
        <v>13</v>
      </c>
      <c r="P44" s="1">
        <v>14</v>
      </c>
      <c r="Q44" s="1">
        <v>15</v>
      </c>
      <c r="R44" s="1">
        <v>16</v>
      </c>
      <c r="S44" s="1">
        <v>17</v>
      </c>
      <c r="T44" s="1">
        <v>18</v>
      </c>
      <c r="U44" s="1">
        <v>19</v>
      </c>
      <c r="V44" s="1">
        <v>20</v>
      </c>
      <c r="W44" s="1">
        <v>21</v>
      </c>
      <c r="X44" s="1">
        <v>22</v>
      </c>
      <c r="Y44" s="1">
        <v>23</v>
      </c>
      <c r="Z44" s="1">
        <v>24</v>
      </c>
      <c r="AA44" s="1">
        <v>25</v>
      </c>
      <c r="AB44" s="1">
        <v>26</v>
      </c>
      <c r="AC44" s="1">
        <v>27</v>
      </c>
      <c r="AD44" s="1">
        <v>28</v>
      </c>
      <c r="AE44" s="1">
        <v>29</v>
      </c>
      <c r="AF44" s="1">
        <v>30</v>
      </c>
      <c r="AG44" s="1">
        <v>31</v>
      </c>
    </row>
    <row r="45" spans="2:33" x14ac:dyDescent="0.2">
      <c r="B45" s="184" t="str" cm="1">
        <f t="array" ref="B45:B56">_xlfn.MAKEARRAY(12,1,_xlfn.LAMBDA(_xlpm.r,_xlpm.c,PROPER(TEXT(DATE(2000,_xlpm.r,1),"mmmm"))))</f>
        <v>Janvier</v>
      </c>
      <c r="C45" s="1" t="str" cm="1">
        <f t="array" ref="C45:AG56">_xlfn.LAMBDA(_xlpm.annee,_xlpm.jours,_xlpm.mois,IF(MONTH(DATE(_xlpm.annee,_xlpm.mois,_xlpm.jours))=_xlpm.mois,IFERROR(IF(WEEKDAY(DATE(_xlpm.annee,_xlpm.mois,_xlpm.jours),2)&gt;5,"Week-end",""),""),"-"))(INDEX($O$4:$O$13,$C$28),_xlfn.MAKEARRAY(1,31,_xlfn.LAMBDA(_xlpm.r,_xlpm.c,_xlpm.c)),_xlfn.MAKEARRAY(12,1,_xlfn.LAMBDA(_xlpm.r,_xlpm.c,_xlpm.r)))</f>
        <v/>
      </c>
      <c r="D45" s="1" t="str">
        <v/>
      </c>
      <c r="E45" s="1" t="str">
        <v>Week-end</v>
      </c>
      <c r="F45" s="1" t="str">
        <v>Week-end</v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 t="str">
        <v>Week-end</v>
      </c>
      <c r="M45" s="1" t="str">
        <v>Week-end</v>
      </c>
      <c r="N45" s="1" t="str">
        <v/>
      </c>
      <c r="O45" s="1" t="str">
        <v/>
      </c>
      <c r="P45" s="1" t="str">
        <v/>
      </c>
      <c r="Q45" s="1" t="str">
        <v/>
      </c>
      <c r="R45" s="1" t="str">
        <v/>
      </c>
      <c r="S45" s="1" t="str">
        <v>Week-end</v>
      </c>
      <c r="T45" s="1" t="str">
        <v>Week-end</v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  <c r="Z45" s="1" t="str">
        <v>Week-end</v>
      </c>
      <c r="AA45" s="1" t="str">
        <v>Week-end</v>
      </c>
      <c r="AB45" s="1" t="str">
        <v/>
      </c>
      <c r="AC45" s="1" t="str">
        <v/>
      </c>
      <c r="AD45" s="1" t="str">
        <v/>
      </c>
      <c r="AE45" s="1" t="str">
        <v/>
      </c>
      <c r="AF45" s="1" t="str">
        <v/>
      </c>
      <c r="AG45" s="1" t="str">
        <v>Week-end</v>
      </c>
    </row>
    <row r="46" spans="2:33" x14ac:dyDescent="0.2">
      <c r="B46" s="184" t="str">
        <v>Février</v>
      </c>
      <c r="C46" s="1" t="str">
        <v>Week-end</v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>Week-end</v>
      </c>
      <c r="J46" s="1" t="str">
        <v>Week-end</v>
      </c>
      <c r="K46" s="1" t="str">
        <v/>
      </c>
      <c r="L46" s="1" t="str">
        <v/>
      </c>
      <c r="M46" s="1" t="str">
        <v/>
      </c>
      <c r="N46" s="1" t="str">
        <v/>
      </c>
      <c r="O46" s="1" t="str">
        <v/>
      </c>
      <c r="P46" s="1" t="str">
        <v>Week-end</v>
      </c>
      <c r="Q46" s="1" t="str">
        <v>Week-end</v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>Week-end</v>
      </c>
      <c r="X46" s="1" t="str">
        <v>Week-end</v>
      </c>
      <c r="Y46" s="1" t="str">
        <v/>
      </c>
      <c r="Z46" s="1" t="str">
        <v/>
      </c>
      <c r="AA46" s="1" t="str">
        <v/>
      </c>
      <c r="AB46" s="1" t="str">
        <v/>
      </c>
      <c r="AC46" s="1" t="str">
        <v/>
      </c>
      <c r="AD46" s="1" t="str">
        <v>Week-end</v>
      </c>
      <c r="AE46" s="1" t="str">
        <v>-</v>
      </c>
      <c r="AF46" s="1" t="str">
        <v>-</v>
      </c>
      <c r="AG46" s="1" t="str">
        <v>-</v>
      </c>
    </row>
    <row r="47" spans="2:33" x14ac:dyDescent="0.2">
      <c r="B47" s="184" t="str">
        <v>Mars</v>
      </c>
      <c r="C47" s="1" t="str">
        <v>Week-end</v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>Week-end</v>
      </c>
      <c r="J47" s="1" t="str">
        <v>Week-end</v>
      </c>
      <c r="K47" s="1" t="str">
        <v/>
      </c>
      <c r="L47" s="1" t="str">
        <v/>
      </c>
      <c r="M47" s="1" t="str">
        <v/>
      </c>
      <c r="N47" s="1" t="str">
        <v/>
      </c>
      <c r="O47" s="1" t="str">
        <v/>
      </c>
      <c r="P47" s="1" t="str">
        <v>Week-end</v>
      </c>
      <c r="Q47" s="1" t="str">
        <v>Week-end</v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>Week-end</v>
      </c>
      <c r="X47" s="1" t="str">
        <v>Week-end</v>
      </c>
      <c r="Y47" s="1" t="str">
        <v/>
      </c>
      <c r="Z47" s="1" t="str">
        <v/>
      </c>
      <c r="AA47" s="1" t="str">
        <v/>
      </c>
      <c r="AB47" s="1" t="str">
        <v/>
      </c>
      <c r="AC47" s="1" t="str">
        <v/>
      </c>
      <c r="AD47" s="1" t="str">
        <v>Week-end</v>
      </c>
      <c r="AE47" s="1" t="str">
        <v>Week-end</v>
      </c>
      <c r="AF47" s="1" t="str">
        <v/>
      </c>
      <c r="AG47" s="1" t="str">
        <v/>
      </c>
    </row>
    <row r="48" spans="2:33" x14ac:dyDescent="0.2">
      <c r="B48" s="184" t="str">
        <v>Avril</v>
      </c>
      <c r="C48" s="1" t="str">
        <v/>
      </c>
      <c r="D48" s="1" t="str">
        <v/>
      </c>
      <c r="E48" s="1" t="str">
        <v/>
      </c>
      <c r="F48" s="1" t="str">
        <v>Week-end</v>
      </c>
      <c r="G48" s="1" t="str">
        <v>Week-end</v>
      </c>
      <c r="H48" s="1" t="str">
        <v/>
      </c>
      <c r="I48" s="1" t="str">
        <v/>
      </c>
      <c r="J48" s="1" t="str">
        <v/>
      </c>
      <c r="K48" s="1" t="str">
        <v/>
      </c>
      <c r="L48" s="1" t="str">
        <v/>
      </c>
      <c r="M48" s="1" t="str">
        <v>Week-end</v>
      </c>
      <c r="N48" s="1" t="str">
        <v>Week-end</v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>Week-end</v>
      </c>
      <c r="U48" s="1" t="str">
        <v>Week-end</v>
      </c>
      <c r="V48" s="1" t="str">
        <v/>
      </c>
      <c r="W48" s="1" t="str">
        <v/>
      </c>
      <c r="X48" s="1" t="str">
        <v/>
      </c>
      <c r="Y48" s="1" t="str">
        <v/>
      </c>
      <c r="Z48" s="1" t="str">
        <v/>
      </c>
      <c r="AA48" s="1" t="str">
        <v>Week-end</v>
      </c>
      <c r="AB48" s="1" t="str">
        <v>Week-end</v>
      </c>
      <c r="AC48" s="1" t="str">
        <v/>
      </c>
      <c r="AD48" s="1" t="str">
        <v/>
      </c>
      <c r="AE48" s="1" t="str">
        <v/>
      </c>
      <c r="AF48" s="1" t="str">
        <v/>
      </c>
      <c r="AG48" s="1" t="str">
        <v>-</v>
      </c>
    </row>
    <row r="49" spans="2:33" x14ac:dyDescent="0.2">
      <c r="B49" s="184" t="str">
        <v>Mai</v>
      </c>
      <c r="C49" s="1" t="str">
        <v/>
      </c>
      <c r="D49" s="1" t="str">
        <v>Week-end</v>
      </c>
      <c r="E49" s="1" t="str">
        <v>Week-end</v>
      </c>
      <c r="F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>Week-end</v>
      </c>
      <c r="L49" s="1" t="str">
        <v>Week-end</v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>Week-end</v>
      </c>
      <c r="S49" s="1" t="str">
        <v>Week-end</v>
      </c>
      <c r="T49" s="1" t="str"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>Week-end</v>
      </c>
      <c r="Z49" s="1" t="str">
        <v>Week-end</v>
      </c>
      <c r="AA49" s="1" t="str">
        <v/>
      </c>
      <c r="AB49" s="1" t="str">
        <v/>
      </c>
      <c r="AC49" s="1" t="str">
        <v/>
      </c>
      <c r="AD49" s="1" t="str">
        <v/>
      </c>
      <c r="AE49" s="1" t="str">
        <v/>
      </c>
      <c r="AF49" s="1" t="str">
        <v>Week-end</v>
      </c>
      <c r="AG49" s="1" t="str">
        <v>Week-end</v>
      </c>
    </row>
    <row r="50" spans="2:33" x14ac:dyDescent="0.2">
      <c r="B50" s="184" t="str">
        <v>Juin</v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  <c r="H50" s="1" t="str">
        <v>Week-end</v>
      </c>
      <c r="I50" s="1" t="str">
        <v>Week-end</v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>Week-end</v>
      </c>
      <c r="P50" s="1" t="str">
        <v>Week-end</v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>Week-end</v>
      </c>
      <c r="W50" s="1" t="str">
        <v>Week-end</v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>Week-end</v>
      </c>
      <c r="AD50" s="1" t="str">
        <v>Week-end</v>
      </c>
      <c r="AE50" s="1" t="str">
        <v/>
      </c>
      <c r="AF50" s="1" t="str">
        <v/>
      </c>
      <c r="AG50" s="1" t="str">
        <v>-</v>
      </c>
    </row>
    <row r="51" spans="2:33" x14ac:dyDescent="0.2">
      <c r="B51" s="184" t="str">
        <v>Juillet</v>
      </c>
      <c r="C51" s="1" t="str">
        <v/>
      </c>
      <c r="D51" s="1" t="str">
        <v/>
      </c>
      <c r="E51" s="1" t="str">
        <v/>
      </c>
      <c r="F51" s="1" t="str">
        <v>Week-end</v>
      </c>
      <c r="G51" s="1" t="str">
        <v>Week-end</v>
      </c>
      <c r="H51" s="1" t="str">
        <v/>
      </c>
      <c r="I51" s="1" t="str">
        <v/>
      </c>
      <c r="J51" s="1" t="str">
        <v/>
      </c>
      <c r="K51" s="1" t="str">
        <v/>
      </c>
      <c r="L51" s="1" t="str">
        <v/>
      </c>
      <c r="M51" s="1" t="str">
        <v>Week-end</v>
      </c>
      <c r="N51" s="1" t="str">
        <v>Week-end</v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>Week-end</v>
      </c>
      <c r="U51" s="1" t="str">
        <v>Week-end</v>
      </c>
      <c r="V51" s="1" t="str">
        <v/>
      </c>
      <c r="W51" s="1" t="str">
        <v/>
      </c>
      <c r="X51" s="1" t="str">
        <v/>
      </c>
      <c r="Y51" s="1" t="str">
        <v/>
      </c>
      <c r="Z51" s="1" t="str">
        <v/>
      </c>
      <c r="AA51" s="1" t="str">
        <v>Week-end</v>
      </c>
      <c r="AB51" s="1" t="str">
        <v>Week-end</v>
      </c>
      <c r="AC51" s="1" t="str">
        <v/>
      </c>
      <c r="AD51" s="1" t="str">
        <v/>
      </c>
      <c r="AE51" s="1" t="str">
        <v/>
      </c>
      <c r="AF51" s="1" t="str">
        <v/>
      </c>
      <c r="AG51" s="1" t="str">
        <v/>
      </c>
    </row>
    <row r="52" spans="2:33" x14ac:dyDescent="0.2">
      <c r="B52" s="184" t="str">
        <v>Août</v>
      </c>
      <c r="C52" s="1" t="str">
        <v>Week-end</v>
      </c>
      <c r="D52" s="1" t="str">
        <v>Week-end</v>
      </c>
      <c r="E52" s="1" t="str">
        <v/>
      </c>
      <c r="F52" s="1" t="str">
        <v/>
      </c>
      <c r="G52" s="1" t="str">
        <v/>
      </c>
      <c r="H52" s="1" t="str">
        <v/>
      </c>
      <c r="I52" s="1" t="str">
        <v/>
      </c>
      <c r="J52" s="1" t="str">
        <v>Week-end</v>
      </c>
      <c r="K52" s="1" t="str">
        <v>Week-end</v>
      </c>
      <c r="L52" s="1" t="str">
        <v/>
      </c>
      <c r="M52" s="1" t="str">
        <v/>
      </c>
      <c r="N52" s="1" t="str">
        <v/>
      </c>
      <c r="O52" s="1" t="str">
        <v/>
      </c>
      <c r="P52" s="1" t="str">
        <v/>
      </c>
      <c r="Q52" s="1" t="str">
        <v>Week-end</v>
      </c>
      <c r="R52" s="1" t="str">
        <v>Week-end</v>
      </c>
      <c r="S52" s="1" t="str">
        <v/>
      </c>
      <c r="T52" s="1" t="str">
        <v/>
      </c>
      <c r="U52" s="1" t="str">
        <v/>
      </c>
      <c r="V52" s="1" t="str">
        <v/>
      </c>
      <c r="W52" s="1" t="str">
        <v/>
      </c>
      <c r="X52" s="1" t="str">
        <v>Week-end</v>
      </c>
      <c r="Y52" s="1" t="str">
        <v>Week-end</v>
      </c>
      <c r="Z52" s="1" t="str">
        <v/>
      </c>
      <c r="AA52" s="1" t="str">
        <v/>
      </c>
      <c r="AB52" s="1" t="str">
        <v/>
      </c>
      <c r="AC52" s="1" t="str">
        <v/>
      </c>
      <c r="AD52" s="1" t="str">
        <v/>
      </c>
      <c r="AE52" s="1" t="str">
        <v>Week-end</v>
      </c>
      <c r="AF52" s="1" t="str">
        <v>Week-end</v>
      </c>
      <c r="AG52" s="1" t="str">
        <v/>
      </c>
    </row>
    <row r="53" spans="2:33" x14ac:dyDescent="0.2">
      <c r="B53" s="184" t="str">
        <v>Septembre</v>
      </c>
      <c r="C53" s="1" t="str">
        <v/>
      </c>
      <c r="D53" s="1" t="str">
        <v/>
      </c>
      <c r="E53" s="1" t="str">
        <v/>
      </c>
      <c r="F53" s="1" t="str">
        <v/>
      </c>
      <c r="G53" s="1" t="str">
        <v>Week-end</v>
      </c>
      <c r="H53" s="1" t="str">
        <v>Week-end</v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>Week-end</v>
      </c>
      <c r="O53" s="1" t="str">
        <v>Week-end</v>
      </c>
      <c r="P53" s="1" t="str">
        <v/>
      </c>
      <c r="Q53" s="1" t="str">
        <v/>
      </c>
      <c r="R53" s="1" t="str">
        <v/>
      </c>
      <c r="S53" s="1" t="str">
        <v/>
      </c>
      <c r="T53" s="1" t="str">
        <v/>
      </c>
      <c r="U53" s="1" t="str">
        <v>Week-end</v>
      </c>
      <c r="V53" s="1" t="str">
        <v>Week-end</v>
      </c>
      <c r="W53" s="1" t="str">
        <v/>
      </c>
      <c r="X53" s="1" t="str">
        <v/>
      </c>
      <c r="Y53" s="1" t="str">
        <v/>
      </c>
      <c r="Z53" s="1" t="str">
        <v/>
      </c>
      <c r="AA53" s="1" t="str">
        <v/>
      </c>
      <c r="AB53" s="1" t="str">
        <v>Week-end</v>
      </c>
      <c r="AC53" s="1" t="str">
        <v>Week-end</v>
      </c>
      <c r="AD53" s="1" t="str">
        <v/>
      </c>
      <c r="AE53" s="1" t="str">
        <v/>
      </c>
      <c r="AF53" s="1" t="str">
        <v/>
      </c>
      <c r="AG53" s="1" t="str">
        <v>-</v>
      </c>
    </row>
    <row r="54" spans="2:33" x14ac:dyDescent="0.2">
      <c r="B54" s="184" t="str">
        <v>Octobre</v>
      </c>
      <c r="C54" s="1" t="str">
        <v/>
      </c>
      <c r="D54" s="1" t="str">
        <v/>
      </c>
      <c r="E54" s="1" t="str">
        <v>Week-end</v>
      </c>
      <c r="F54" s="1" t="str">
        <v>Week-end</v>
      </c>
      <c r="G54" s="1" t="str">
        <v/>
      </c>
      <c r="H54" s="1" t="str">
        <v/>
      </c>
      <c r="I54" s="1" t="str">
        <v/>
      </c>
      <c r="J54" s="1" t="str">
        <v/>
      </c>
      <c r="K54" s="1" t="str">
        <v/>
      </c>
      <c r="L54" s="1" t="str">
        <v>Week-end</v>
      </c>
      <c r="M54" s="1" t="str">
        <v>Week-end</v>
      </c>
      <c r="N54" s="1" t="str">
        <v/>
      </c>
      <c r="O54" s="1" t="str">
        <v/>
      </c>
      <c r="P54" s="1" t="str">
        <v/>
      </c>
      <c r="Q54" s="1" t="str">
        <v/>
      </c>
      <c r="R54" s="1" t="str">
        <v/>
      </c>
      <c r="S54" s="1" t="str">
        <v>Week-end</v>
      </c>
      <c r="T54" s="1" t="str">
        <v>Week-end</v>
      </c>
      <c r="U54" s="1" t="str">
        <v/>
      </c>
      <c r="V54" s="1" t="str">
        <v/>
      </c>
      <c r="W54" s="1" t="str">
        <v/>
      </c>
      <c r="X54" s="1" t="str">
        <v/>
      </c>
      <c r="Y54" s="1" t="str">
        <v/>
      </c>
      <c r="Z54" s="1" t="str">
        <v>Week-end</v>
      </c>
      <c r="AA54" s="1" t="str">
        <v>Week-end</v>
      </c>
      <c r="AB54" s="1" t="str">
        <v/>
      </c>
      <c r="AC54" s="1" t="str">
        <v/>
      </c>
      <c r="AD54" s="1" t="str">
        <v/>
      </c>
      <c r="AE54" s="1" t="str">
        <v/>
      </c>
      <c r="AF54" s="1" t="str">
        <v/>
      </c>
      <c r="AG54" s="1" t="str">
        <v>Week-end</v>
      </c>
    </row>
    <row r="55" spans="2:33" x14ac:dyDescent="0.2">
      <c r="B55" s="184" t="str">
        <v>Novembre</v>
      </c>
      <c r="C55" s="1" t="str">
        <v>Week-end</v>
      </c>
      <c r="D55" s="1" t="str">
        <v/>
      </c>
      <c r="E55" s="1" t="str">
        <v/>
      </c>
      <c r="F55" s="1" t="str">
        <v/>
      </c>
      <c r="G55" s="1" t="str">
        <v/>
      </c>
      <c r="H55" s="1" t="str">
        <v/>
      </c>
      <c r="I55" s="1" t="str">
        <v>Week-end</v>
      </c>
      <c r="J55" s="1" t="str">
        <v>Week-end</v>
      </c>
      <c r="K55" s="1" t="str">
        <v/>
      </c>
      <c r="L55" s="1" t="str">
        <v/>
      </c>
      <c r="M55" s="1" t="str">
        <v/>
      </c>
      <c r="N55" s="1" t="str">
        <v/>
      </c>
      <c r="O55" s="1" t="str">
        <v/>
      </c>
      <c r="P55" s="1" t="str">
        <v>Week-end</v>
      </c>
      <c r="Q55" s="1" t="str">
        <v>Week-end</v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>Week-end</v>
      </c>
      <c r="X55" s="1" t="str">
        <v>Week-end</v>
      </c>
      <c r="Y55" s="1" t="str">
        <v/>
      </c>
      <c r="Z55" s="1" t="str">
        <v/>
      </c>
      <c r="AA55" s="1" t="str">
        <v/>
      </c>
      <c r="AB55" s="1" t="str">
        <v/>
      </c>
      <c r="AC55" s="1" t="str">
        <v/>
      </c>
      <c r="AD55" s="1" t="str">
        <v>Week-end</v>
      </c>
      <c r="AE55" s="1" t="str">
        <v>Week-end</v>
      </c>
      <c r="AF55" s="1" t="str">
        <v/>
      </c>
      <c r="AG55" s="1" t="str">
        <v>-</v>
      </c>
    </row>
    <row r="56" spans="2:33" x14ac:dyDescent="0.2">
      <c r="B56" s="184" t="str">
        <v>Décembre</v>
      </c>
      <c r="C56" s="1" t="str">
        <v/>
      </c>
      <c r="D56" s="1" t="str">
        <v/>
      </c>
      <c r="E56" s="1" t="str">
        <v/>
      </c>
      <c r="F56" s="1" t="str">
        <v/>
      </c>
      <c r="G56" s="1" t="str">
        <v>Week-end</v>
      </c>
      <c r="H56" s="1" t="str">
        <v>Week-end</v>
      </c>
      <c r="I56" s="1" t="str">
        <v/>
      </c>
      <c r="J56" s="1" t="str">
        <v/>
      </c>
      <c r="K56" s="1" t="str">
        <v/>
      </c>
      <c r="L56" s="1" t="str">
        <v/>
      </c>
      <c r="M56" s="1" t="str">
        <v/>
      </c>
      <c r="N56" s="1" t="str">
        <v>Week-end</v>
      </c>
      <c r="O56" s="1" t="str">
        <v>Week-end</v>
      </c>
      <c r="P56" s="1" t="str">
        <v/>
      </c>
      <c r="Q56" s="1" t="str">
        <v/>
      </c>
      <c r="R56" s="1" t="str">
        <v/>
      </c>
      <c r="S56" s="1" t="str">
        <v/>
      </c>
      <c r="T56" s="1" t="str">
        <v/>
      </c>
      <c r="U56" s="1" t="str">
        <v>Week-end</v>
      </c>
      <c r="V56" s="1" t="str">
        <v>Week-end</v>
      </c>
      <c r="W56" s="1" t="str">
        <v/>
      </c>
      <c r="X56" s="1" t="str">
        <v/>
      </c>
      <c r="Y56" s="1" t="str">
        <v/>
      </c>
      <c r="Z56" s="1" t="str">
        <v/>
      </c>
      <c r="AA56" s="1" t="str">
        <v/>
      </c>
      <c r="AB56" s="1" t="str">
        <v>Week-end</v>
      </c>
      <c r="AC56" s="1" t="str">
        <v>Week-end</v>
      </c>
      <c r="AD56" s="1" t="str">
        <v/>
      </c>
      <c r="AE56" s="1" t="str">
        <v/>
      </c>
      <c r="AF56" s="1" t="str">
        <v/>
      </c>
      <c r="AG56" s="1" t="str">
        <v/>
      </c>
    </row>
    <row r="59" spans="2:33" x14ac:dyDescent="0.2">
      <c r="B59" s="1">
        <f>$L$3</f>
        <v>2026</v>
      </c>
      <c r="C59" s="1" cm="1">
        <f t="array" ref="C59:AG59">_xlfn.MAKEARRAY(1,31,_xlfn.LAMBDA(_xlpm.r,_xlpm.c,_xlpm.c))</f>
        <v>1</v>
      </c>
      <c r="D59" s="1">
        <v>2</v>
      </c>
      <c r="E59" s="1">
        <v>3</v>
      </c>
      <c r="F59" s="1">
        <v>4</v>
      </c>
      <c r="G59" s="1">
        <v>5</v>
      </c>
      <c r="H59" s="1">
        <v>6</v>
      </c>
      <c r="I59" s="1">
        <v>7</v>
      </c>
      <c r="J59" s="1">
        <v>8</v>
      </c>
      <c r="K59" s="1">
        <v>9</v>
      </c>
      <c r="L59" s="1">
        <v>10</v>
      </c>
      <c r="M59" s="1">
        <v>11</v>
      </c>
      <c r="N59" s="1">
        <v>12</v>
      </c>
      <c r="O59" s="1">
        <v>13</v>
      </c>
      <c r="P59" s="1">
        <v>14</v>
      </c>
      <c r="Q59" s="1">
        <v>15</v>
      </c>
      <c r="R59" s="1">
        <v>16</v>
      </c>
      <c r="S59" s="1">
        <v>17</v>
      </c>
      <c r="T59" s="1">
        <v>18</v>
      </c>
      <c r="U59" s="1">
        <v>19</v>
      </c>
      <c r="V59" s="1">
        <v>20</v>
      </c>
      <c r="W59" s="1">
        <v>21</v>
      </c>
      <c r="X59" s="1">
        <v>22</v>
      </c>
      <c r="Y59" s="1">
        <v>23</v>
      </c>
      <c r="Z59" s="1">
        <v>24</v>
      </c>
      <c r="AA59" s="1">
        <v>25</v>
      </c>
      <c r="AB59" s="1">
        <v>26</v>
      </c>
      <c r="AC59" s="1">
        <v>27</v>
      </c>
      <c r="AD59" s="1">
        <v>28</v>
      </c>
      <c r="AE59" s="1">
        <v>29</v>
      </c>
      <c r="AF59" s="1">
        <v>30</v>
      </c>
      <c r="AG59" s="1">
        <v>31</v>
      </c>
    </row>
    <row r="60" spans="2:33" x14ac:dyDescent="0.2">
      <c r="B60" s="1" t="str" cm="1">
        <f t="array" ref="B60:B71">_xlfn.MAKEARRAY(12,1,_xlfn.LAMBDA(_xlpm.r,_xlpm.c,PROPER(TEXT(DATE(2000,_xlpm.r,1),"mmmm"))))</f>
        <v>Janvier</v>
      </c>
      <c r="C60" s="1" t="str" cm="1">
        <f t="array" ref="C60:AG71">_xlfn.LAMBDA(_xlpm.annee,_xlpm.jours,_xlpm.mois,IF(MONTH(DATE(_xlpm.annee,_xlpm.mois,_xlpm.jours))=_xlpm.mois,IFERROR(VLOOKUP(DATE(_xlpm.annee,_xlpm.mois,_xlpm.jours),$K$5:$L$16,2,FALSE),""),"-"))(INDEX($O$4:$O$13,$C$28),_xlfn.MAKEARRAY(1,31,_xlfn.LAMBDA(_xlpm.r,_xlpm.c,_xlpm.c)),_xlfn.MAKEARRAY(12,1,_xlfn.LAMBDA(_xlpm.r,_xlpm.c,_xlpm.r)))</f>
        <v>1er janvier</v>
      </c>
      <c r="D60" s="1" t="str">
        <v/>
      </c>
      <c r="E60" s="1" t="str">
        <v/>
      </c>
      <c r="F60" s="1" t="str">
        <v/>
      </c>
      <c r="G60" s="1" t="str">
        <v/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  <c r="Z60" s="1" t="str">
        <v/>
      </c>
      <c r="AA60" s="1" t="str">
        <v/>
      </c>
      <c r="AB60" s="1" t="str">
        <v/>
      </c>
      <c r="AC60" s="1" t="str">
        <v/>
      </c>
      <c r="AD60" s="1" t="str">
        <v/>
      </c>
      <c r="AE60" s="1" t="str">
        <v/>
      </c>
      <c r="AF60" s="1" t="str">
        <v/>
      </c>
      <c r="AG60" s="1" t="str">
        <v/>
      </c>
    </row>
    <row r="61" spans="2:33" x14ac:dyDescent="0.2">
      <c r="B61" s="1" t="str">
        <v>Février</v>
      </c>
      <c r="C61" s="1" t="str">
        <v/>
      </c>
      <c r="D61" s="1" t="str">
        <v/>
      </c>
      <c r="E61" s="1" t="str">
        <v/>
      </c>
      <c r="F61" s="1" t="str">
        <v/>
      </c>
      <c r="G61" s="1" t="str">
        <v/>
      </c>
      <c r="H61" s="1" t="str">
        <v/>
      </c>
      <c r="I61" s="1" t="str">
        <v/>
      </c>
      <c r="J61" s="1" t="str">
        <v/>
      </c>
      <c r="K61" s="1" t="str">
        <v/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  <c r="Z61" s="1" t="str">
        <v/>
      </c>
      <c r="AA61" s="1" t="str">
        <v/>
      </c>
      <c r="AB61" s="1" t="str">
        <v/>
      </c>
      <c r="AC61" s="1" t="str">
        <v/>
      </c>
      <c r="AD61" s="1" t="str">
        <v/>
      </c>
      <c r="AE61" s="1" t="str">
        <v>-</v>
      </c>
      <c r="AF61" s="1" t="str">
        <v>-</v>
      </c>
      <c r="AG61" s="1" t="str">
        <v>-</v>
      </c>
    </row>
    <row r="62" spans="2:33" x14ac:dyDescent="0.2">
      <c r="B62" s="1" t="str">
        <v>Mars</v>
      </c>
      <c r="C62" s="1" t="str">
        <v/>
      </c>
      <c r="D62" s="1" t="str">
        <v/>
      </c>
      <c r="E62" s="1" t="str">
        <v/>
      </c>
      <c r="F62" s="1" t="str">
        <v/>
      </c>
      <c r="G62" s="1" t="str">
        <v/>
      </c>
      <c r="H62" s="1" t="str">
        <v/>
      </c>
      <c r="I62" s="1" t="str">
        <v/>
      </c>
      <c r="J62" s="1" t="str">
        <v/>
      </c>
      <c r="K62" s="1" t="str">
        <v/>
      </c>
      <c r="L62" s="1" t="str">
        <v/>
      </c>
      <c r="M62" s="1" t="str">
        <v/>
      </c>
      <c r="N62" s="1" t="str">
        <v/>
      </c>
      <c r="O62" s="1" t="str">
        <v/>
      </c>
      <c r="P62" s="1" t="str">
        <v/>
      </c>
      <c r="Q62" s="1" t="str">
        <v/>
      </c>
      <c r="R62" s="1" t="str">
        <v/>
      </c>
      <c r="S62" s="1" t="str">
        <v/>
      </c>
      <c r="T62" s="1" t="str">
        <v/>
      </c>
      <c r="U62" s="1" t="str">
        <v/>
      </c>
      <c r="V62" s="1" t="str">
        <v/>
      </c>
      <c r="W62" s="1" t="str">
        <v/>
      </c>
      <c r="X62" s="1" t="str">
        <v/>
      </c>
      <c r="Y62" s="1" t="str">
        <v/>
      </c>
      <c r="Z62" s="1" t="str">
        <v/>
      </c>
      <c r="AA62" s="1" t="str">
        <v/>
      </c>
      <c r="AB62" s="1" t="str">
        <v/>
      </c>
      <c r="AC62" s="1" t="str">
        <v/>
      </c>
      <c r="AD62" s="1" t="str">
        <v/>
      </c>
      <c r="AE62" s="1" t="str">
        <v/>
      </c>
      <c r="AF62" s="1" t="str">
        <v/>
      </c>
      <c r="AG62" s="1" t="str">
        <v/>
      </c>
    </row>
    <row r="63" spans="2:33" x14ac:dyDescent="0.2">
      <c r="B63" s="1" t="str">
        <v>Avril</v>
      </c>
      <c r="C63" s="1" t="str">
        <v/>
      </c>
      <c r="D63" s="1" t="str">
        <v/>
      </c>
      <c r="E63" s="1" t="str">
        <v/>
      </c>
      <c r="F63" s="1" t="str">
        <v/>
      </c>
      <c r="G63" s="1" t="str">
        <v>Pâques</v>
      </c>
      <c r="H63" s="1" t="str">
        <v>Lundi de Pâques</v>
      </c>
      <c r="I63" s="1" t="str">
        <v/>
      </c>
      <c r="J63" s="1" t="str">
        <v/>
      </c>
      <c r="K63" s="1" t="str">
        <v/>
      </c>
      <c r="L63" s="1" t="str">
        <v/>
      </c>
      <c r="M63" s="1" t="str">
        <v/>
      </c>
      <c r="N63" s="1" t="str">
        <v/>
      </c>
      <c r="O63" s="1" t="str">
        <v/>
      </c>
      <c r="P63" s="1" t="str">
        <v/>
      </c>
      <c r="Q63" s="1" t="str">
        <v/>
      </c>
      <c r="R63" s="1" t="str">
        <v/>
      </c>
      <c r="S63" s="1" t="str">
        <v/>
      </c>
      <c r="T63" s="1" t="str">
        <v/>
      </c>
      <c r="U63" s="1" t="str">
        <v/>
      </c>
      <c r="V63" s="1" t="str">
        <v/>
      </c>
      <c r="W63" s="1" t="str">
        <v/>
      </c>
      <c r="X63" s="1" t="str">
        <v/>
      </c>
      <c r="Y63" s="1" t="str">
        <v/>
      </c>
      <c r="Z63" s="1" t="str">
        <v/>
      </c>
      <c r="AA63" s="1" t="str">
        <v/>
      </c>
      <c r="AB63" s="1" t="str">
        <v/>
      </c>
      <c r="AC63" s="1" t="str">
        <v/>
      </c>
      <c r="AD63" s="1" t="str">
        <v/>
      </c>
      <c r="AE63" s="1" t="str">
        <v/>
      </c>
      <c r="AF63" s="1" t="str">
        <v/>
      </c>
      <c r="AG63" s="1" t="str">
        <v>-</v>
      </c>
    </row>
    <row r="64" spans="2:33" x14ac:dyDescent="0.2">
      <c r="B64" s="1" t="str">
        <v>Mai</v>
      </c>
      <c r="C64" s="1" t="str">
        <v>1er mai</v>
      </c>
      <c r="D64" s="1" t="str">
        <v/>
      </c>
      <c r="E64" s="1" t="str">
        <v/>
      </c>
      <c r="F64" s="1" t="str">
        <v/>
      </c>
      <c r="G64" s="1" t="str">
        <v/>
      </c>
      <c r="H64" s="1" t="str">
        <v/>
      </c>
      <c r="I64" s="1" t="str">
        <v/>
      </c>
      <c r="J64" s="1" t="str">
        <v>8 mai</v>
      </c>
      <c r="K64" s="1" t="str">
        <v/>
      </c>
      <c r="L64" s="1" t="str">
        <v/>
      </c>
      <c r="M64" s="1" t="str">
        <v/>
      </c>
      <c r="N64" s="1" t="str">
        <v/>
      </c>
      <c r="O64" s="1" t="str">
        <v/>
      </c>
      <c r="P64" s="1" t="str">
        <v>Ascension</v>
      </c>
      <c r="Q64" s="1" t="str">
        <v/>
      </c>
      <c r="R64" s="1" t="str">
        <v/>
      </c>
      <c r="S64" s="1" t="str">
        <v/>
      </c>
      <c r="T64" s="1" t="str">
        <v/>
      </c>
      <c r="U64" s="1" t="str">
        <v/>
      </c>
      <c r="V64" s="1" t="str">
        <v/>
      </c>
      <c r="W64" s="1" t="str">
        <v/>
      </c>
      <c r="X64" s="1" t="str">
        <v/>
      </c>
      <c r="Y64" s="1" t="str">
        <v/>
      </c>
      <c r="Z64" s="1" t="str">
        <v/>
      </c>
      <c r="AA64" s="1" t="str">
        <v>Lundi de Pentecôte</v>
      </c>
      <c r="AB64" s="1" t="str">
        <v/>
      </c>
      <c r="AC64" s="1" t="str">
        <v/>
      </c>
      <c r="AD64" s="1" t="str">
        <v/>
      </c>
      <c r="AE64" s="1" t="str">
        <v/>
      </c>
      <c r="AF64" s="1" t="str">
        <v/>
      </c>
      <c r="AG64" s="1" t="str">
        <v/>
      </c>
    </row>
    <row r="65" spans="2:33" x14ac:dyDescent="0.2">
      <c r="B65" s="1" t="str">
        <v>Juin</v>
      </c>
      <c r="C65" s="1" t="str">
        <v/>
      </c>
      <c r="D65" s="1" t="str">
        <v/>
      </c>
      <c r="E65" s="1" t="str">
        <v/>
      </c>
      <c r="F65" s="1" t="str">
        <v/>
      </c>
      <c r="G65" s="1" t="str">
        <v/>
      </c>
      <c r="H65" s="1" t="str">
        <v/>
      </c>
      <c r="I65" s="1" t="str">
        <v/>
      </c>
      <c r="J65" s="1" t="str">
        <v/>
      </c>
      <c r="K65" s="1" t="str">
        <v/>
      </c>
      <c r="L65" s="1" t="str">
        <v/>
      </c>
      <c r="M65" s="1" t="str">
        <v/>
      </c>
      <c r="N65" s="1" t="str">
        <v/>
      </c>
      <c r="O65" s="1" t="str">
        <v/>
      </c>
      <c r="P65" s="1" t="str">
        <v/>
      </c>
      <c r="Q65" s="1" t="str">
        <v/>
      </c>
      <c r="R65" s="1" t="str">
        <v/>
      </c>
      <c r="S65" s="1" t="str">
        <v/>
      </c>
      <c r="T65" s="1" t="str">
        <v/>
      </c>
      <c r="U65" s="1" t="str">
        <v/>
      </c>
      <c r="V65" s="1" t="str">
        <v/>
      </c>
      <c r="W65" s="1" t="str">
        <v/>
      </c>
      <c r="X65" s="1" t="str">
        <v/>
      </c>
      <c r="Y65" s="1" t="str">
        <v/>
      </c>
      <c r="Z65" s="1" t="str">
        <v/>
      </c>
      <c r="AA65" s="1" t="str">
        <v/>
      </c>
      <c r="AB65" s="1" t="str">
        <v/>
      </c>
      <c r="AC65" s="1" t="str">
        <v/>
      </c>
      <c r="AD65" s="1" t="str">
        <v/>
      </c>
      <c r="AE65" s="1" t="str">
        <v/>
      </c>
      <c r="AF65" s="1" t="str">
        <v/>
      </c>
      <c r="AG65" s="1" t="str">
        <v>-</v>
      </c>
    </row>
    <row r="66" spans="2:33" x14ac:dyDescent="0.2">
      <c r="B66" s="1" t="str">
        <v>Juillet</v>
      </c>
      <c r="C66" s="1" t="str">
        <v/>
      </c>
      <c r="D66" s="1" t="str">
        <v/>
      </c>
      <c r="E66" s="1" t="str">
        <v/>
      </c>
      <c r="F66" s="1" t="str">
        <v/>
      </c>
      <c r="G66" s="1" t="str">
        <v/>
      </c>
      <c r="H66" s="1" t="str">
        <v/>
      </c>
      <c r="I66" s="1" t="str">
        <v/>
      </c>
      <c r="J66" s="1" t="str">
        <v/>
      </c>
      <c r="K66" s="1" t="str">
        <v/>
      </c>
      <c r="L66" s="1" t="str">
        <v/>
      </c>
      <c r="M66" s="1" t="str">
        <v/>
      </c>
      <c r="N66" s="1" t="str">
        <v/>
      </c>
      <c r="O66" s="1" t="str">
        <v/>
      </c>
      <c r="P66" s="1" t="str">
        <v>14 juillet</v>
      </c>
      <c r="Q66" s="1" t="str">
        <v/>
      </c>
      <c r="R66" s="1" t="str">
        <v/>
      </c>
      <c r="S66" s="1" t="str">
        <v/>
      </c>
      <c r="T66" s="1" t="str">
        <v/>
      </c>
      <c r="U66" s="1" t="str">
        <v/>
      </c>
      <c r="V66" s="1" t="str">
        <v/>
      </c>
      <c r="W66" s="1" t="str">
        <v/>
      </c>
      <c r="X66" s="1" t="str">
        <v/>
      </c>
      <c r="Y66" s="1" t="str">
        <v/>
      </c>
      <c r="Z66" s="1" t="str">
        <v/>
      </c>
      <c r="AA66" s="1" t="str">
        <v/>
      </c>
      <c r="AB66" s="1" t="str">
        <v/>
      </c>
      <c r="AC66" s="1" t="str">
        <v/>
      </c>
      <c r="AD66" s="1" t="str">
        <v/>
      </c>
      <c r="AE66" s="1" t="str">
        <v/>
      </c>
      <c r="AF66" s="1" t="str">
        <v/>
      </c>
      <c r="AG66" s="1" t="str">
        <v/>
      </c>
    </row>
    <row r="67" spans="2:33" x14ac:dyDescent="0.2">
      <c r="B67" s="1" t="str">
        <v>Août</v>
      </c>
      <c r="C67" s="1" t="str">
        <v/>
      </c>
      <c r="D67" s="1" t="str">
        <v/>
      </c>
      <c r="E67" s="1" t="str">
        <v/>
      </c>
      <c r="F67" s="1" t="str">
        <v/>
      </c>
      <c r="G67" s="1" t="str">
        <v/>
      </c>
      <c r="H67" s="1" t="str">
        <v/>
      </c>
      <c r="I67" s="1" t="str">
        <v/>
      </c>
      <c r="J67" s="1" t="str">
        <v/>
      </c>
      <c r="K67" s="1" t="str">
        <v/>
      </c>
      <c r="L67" s="1" t="str">
        <v/>
      </c>
      <c r="M67" s="1" t="str">
        <v/>
      </c>
      <c r="N67" s="1" t="str">
        <v/>
      </c>
      <c r="O67" s="1" t="str">
        <v/>
      </c>
      <c r="P67" s="1" t="str">
        <v/>
      </c>
      <c r="Q67" s="1" t="str">
        <v>Assomption</v>
      </c>
      <c r="R67" s="1" t="str">
        <v/>
      </c>
      <c r="S67" s="1" t="str">
        <v/>
      </c>
      <c r="T67" s="1" t="str">
        <v/>
      </c>
      <c r="U67" s="1" t="str">
        <v/>
      </c>
      <c r="V67" s="1" t="str">
        <v/>
      </c>
      <c r="W67" s="1" t="str">
        <v/>
      </c>
      <c r="X67" s="1" t="str">
        <v/>
      </c>
      <c r="Y67" s="1" t="str">
        <v/>
      </c>
      <c r="Z67" s="1" t="str">
        <v/>
      </c>
      <c r="AA67" s="1" t="str">
        <v/>
      </c>
      <c r="AB67" s="1" t="str">
        <v/>
      </c>
      <c r="AC67" s="1" t="str">
        <v/>
      </c>
      <c r="AD67" s="1" t="str">
        <v/>
      </c>
      <c r="AE67" s="1" t="str">
        <v/>
      </c>
      <c r="AF67" s="1" t="str">
        <v/>
      </c>
      <c r="AG67" s="1" t="str">
        <v/>
      </c>
    </row>
    <row r="68" spans="2:33" x14ac:dyDescent="0.2">
      <c r="B68" s="1" t="str">
        <v>Septembre</v>
      </c>
      <c r="C68" s="1" t="str">
        <v/>
      </c>
      <c r="D68" s="1" t="str">
        <v/>
      </c>
      <c r="E68" s="1" t="str">
        <v/>
      </c>
      <c r="F68" s="1" t="str">
        <v/>
      </c>
      <c r="G68" s="1" t="str">
        <v/>
      </c>
      <c r="H68" s="1" t="str">
        <v/>
      </c>
      <c r="I68" s="1" t="str">
        <v/>
      </c>
      <c r="J68" s="1" t="str">
        <v/>
      </c>
      <c r="K68" s="1" t="str">
        <v/>
      </c>
      <c r="L68" s="1" t="str">
        <v/>
      </c>
      <c r="M68" s="1" t="str">
        <v/>
      </c>
      <c r="N68" s="1" t="str">
        <v/>
      </c>
      <c r="O68" s="1" t="str">
        <v/>
      </c>
      <c r="P68" s="1" t="str">
        <v/>
      </c>
      <c r="Q68" s="1" t="str">
        <v/>
      </c>
      <c r="R68" s="1" t="str">
        <v/>
      </c>
      <c r="S68" s="1" t="str">
        <v/>
      </c>
      <c r="T68" s="1" t="str">
        <v/>
      </c>
      <c r="U68" s="1" t="str">
        <v/>
      </c>
      <c r="V68" s="1" t="str">
        <v/>
      </c>
      <c r="W68" s="1" t="str">
        <v/>
      </c>
      <c r="X68" s="1" t="str">
        <v/>
      </c>
      <c r="Y68" s="1" t="str">
        <v/>
      </c>
      <c r="Z68" s="1" t="str">
        <v/>
      </c>
      <c r="AA68" s="1" t="str">
        <v/>
      </c>
      <c r="AB68" s="1" t="str">
        <v/>
      </c>
      <c r="AC68" s="1" t="str">
        <v/>
      </c>
      <c r="AD68" s="1" t="str">
        <v/>
      </c>
      <c r="AE68" s="1" t="str">
        <v/>
      </c>
      <c r="AF68" s="1" t="str">
        <v/>
      </c>
      <c r="AG68" s="1" t="str">
        <v>-</v>
      </c>
    </row>
    <row r="69" spans="2:33" x14ac:dyDescent="0.2">
      <c r="B69" s="1" t="str">
        <v>Octobre</v>
      </c>
      <c r="C69" s="1" t="str">
        <v/>
      </c>
      <c r="D69" s="1" t="str">
        <v/>
      </c>
      <c r="E69" s="1" t="str">
        <v/>
      </c>
      <c r="F69" s="1" t="str">
        <v/>
      </c>
      <c r="G69" s="1" t="str">
        <v/>
      </c>
      <c r="H69" s="1" t="str">
        <v/>
      </c>
      <c r="I69" s="1" t="str">
        <v/>
      </c>
      <c r="J69" s="1" t="str">
        <v/>
      </c>
      <c r="K69" s="1" t="str">
        <v/>
      </c>
      <c r="L69" s="1" t="str">
        <v/>
      </c>
      <c r="M69" s="1" t="str">
        <v/>
      </c>
      <c r="N69" s="1" t="str">
        <v/>
      </c>
      <c r="O69" s="1" t="str">
        <v/>
      </c>
      <c r="P69" s="1" t="str">
        <v/>
      </c>
      <c r="Q69" s="1" t="str">
        <v/>
      </c>
      <c r="R69" s="1" t="str">
        <v/>
      </c>
      <c r="S69" s="1" t="str">
        <v/>
      </c>
      <c r="T69" s="1" t="str">
        <v/>
      </c>
      <c r="U69" s="1" t="str">
        <v/>
      </c>
      <c r="V69" s="1" t="str">
        <v/>
      </c>
      <c r="W69" s="1" t="str">
        <v/>
      </c>
      <c r="X69" s="1" t="str">
        <v/>
      </c>
      <c r="Y69" s="1" t="str">
        <v/>
      </c>
      <c r="Z69" s="1" t="str">
        <v/>
      </c>
      <c r="AA69" s="1" t="str">
        <v/>
      </c>
      <c r="AB69" s="1" t="str">
        <v/>
      </c>
      <c r="AC69" s="1" t="str">
        <v/>
      </c>
      <c r="AD69" s="1" t="str">
        <v/>
      </c>
      <c r="AE69" s="1" t="str">
        <v/>
      </c>
      <c r="AF69" s="1" t="str">
        <v/>
      </c>
      <c r="AG69" s="1" t="str">
        <v/>
      </c>
    </row>
    <row r="70" spans="2:33" x14ac:dyDescent="0.2">
      <c r="B70" s="1" t="str">
        <v>Novembre</v>
      </c>
      <c r="C70" s="1" t="str">
        <v>Toussaint</v>
      </c>
      <c r="D70" s="1" t="str">
        <v/>
      </c>
      <c r="E70" s="1" t="str">
        <v/>
      </c>
      <c r="F70" s="1" t="str">
        <v/>
      </c>
      <c r="G70" s="1" t="str">
        <v/>
      </c>
      <c r="H70" s="1" t="str">
        <v/>
      </c>
      <c r="I70" s="1" t="str">
        <v/>
      </c>
      <c r="J70" s="1" t="str">
        <v/>
      </c>
      <c r="K70" s="1" t="str">
        <v/>
      </c>
      <c r="L70" s="1" t="str">
        <v/>
      </c>
      <c r="M70" s="1" t="str">
        <v>11 novembre</v>
      </c>
      <c r="N70" s="1" t="str">
        <v/>
      </c>
      <c r="O70" s="1" t="str">
        <v/>
      </c>
      <c r="P70" s="1" t="str">
        <v/>
      </c>
      <c r="Q70" s="1" t="str">
        <v/>
      </c>
      <c r="R70" s="1" t="str">
        <v/>
      </c>
      <c r="S70" s="1" t="str">
        <v/>
      </c>
      <c r="T70" s="1" t="str">
        <v/>
      </c>
      <c r="U70" s="1" t="str">
        <v/>
      </c>
      <c r="V70" s="1" t="str">
        <v/>
      </c>
      <c r="W70" s="1" t="str">
        <v/>
      </c>
      <c r="X70" s="1" t="str">
        <v/>
      </c>
      <c r="Y70" s="1" t="str">
        <v/>
      </c>
      <c r="Z70" s="1" t="str">
        <v/>
      </c>
      <c r="AA70" s="1" t="str">
        <v/>
      </c>
      <c r="AB70" s="1" t="str">
        <v/>
      </c>
      <c r="AC70" s="1" t="str">
        <v/>
      </c>
      <c r="AD70" s="1" t="str">
        <v/>
      </c>
      <c r="AE70" s="1" t="str">
        <v/>
      </c>
      <c r="AF70" s="1" t="str">
        <v/>
      </c>
      <c r="AG70" s="1" t="str">
        <v>-</v>
      </c>
    </row>
    <row r="71" spans="2:33" x14ac:dyDescent="0.2">
      <c r="B71" s="1" t="str">
        <v>Décembre</v>
      </c>
      <c r="C71" s="1" t="str">
        <v/>
      </c>
      <c r="D71" s="1" t="str">
        <v/>
      </c>
      <c r="E71" s="1" t="str">
        <v/>
      </c>
      <c r="F71" s="1" t="str">
        <v/>
      </c>
      <c r="G71" s="1" t="str">
        <v/>
      </c>
      <c r="H71" s="1" t="str">
        <v/>
      </c>
      <c r="I71" s="1" t="str">
        <v/>
      </c>
      <c r="J71" s="1" t="str">
        <v/>
      </c>
      <c r="K71" s="1" t="str">
        <v/>
      </c>
      <c r="L71" s="1" t="str">
        <v/>
      </c>
      <c r="M71" s="1" t="str">
        <v/>
      </c>
      <c r="N71" s="1" t="str">
        <v/>
      </c>
      <c r="O71" s="1" t="str">
        <v/>
      </c>
      <c r="P71" s="1" t="str">
        <v/>
      </c>
      <c r="Q71" s="1" t="str">
        <v/>
      </c>
      <c r="R71" s="1" t="str">
        <v/>
      </c>
      <c r="S71" s="1" t="str">
        <v/>
      </c>
      <c r="T71" s="1" t="str">
        <v/>
      </c>
      <c r="U71" s="1" t="str">
        <v/>
      </c>
      <c r="V71" s="1" t="str">
        <v/>
      </c>
      <c r="W71" s="1" t="str">
        <v/>
      </c>
      <c r="X71" s="1" t="str">
        <v/>
      </c>
      <c r="Y71" s="1" t="str">
        <v/>
      </c>
      <c r="Z71" s="1" t="str">
        <v/>
      </c>
      <c r="AA71" s="1" t="str">
        <v>Jour de Noël</v>
      </c>
      <c r="AB71" s="1" t="str">
        <v/>
      </c>
      <c r="AC71" s="1" t="str">
        <v/>
      </c>
      <c r="AD71" s="1" t="str">
        <v/>
      </c>
      <c r="AE71" s="1" t="str">
        <v/>
      </c>
      <c r="AF71" s="1" t="str">
        <v/>
      </c>
      <c r="AG71" s="1" t="str">
        <v/>
      </c>
    </row>
    <row r="74" spans="2:33" x14ac:dyDescent="0.2">
      <c r="B74" s="1">
        <f>$L$3</f>
        <v>2026</v>
      </c>
      <c r="C74" s="1" cm="1">
        <f t="array" ref="C74:AG74">_xlfn.MAKEARRAY(1,31,_xlfn.LAMBDA(_xlpm.r,_xlpm.c,_xlpm.c))</f>
        <v>1</v>
      </c>
      <c r="D74" s="1">
        <v>2</v>
      </c>
      <c r="E74" s="1">
        <v>3</v>
      </c>
      <c r="F74" s="1">
        <v>4</v>
      </c>
      <c r="G74" s="1">
        <v>5</v>
      </c>
      <c r="H74" s="1">
        <v>6</v>
      </c>
      <c r="I74" s="1">
        <v>7</v>
      </c>
      <c r="J74" s="1">
        <v>8</v>
      </c>
      <c r="K74" s="1">
        <v>9</v>
      </c>
      <c r="L74" s="1">
        <v>10</v>
      </c>
      <c r="M74" s="1">
        <v>11</v>
      </c>
      <c r="N74" s="1">
        <v>12</v>
      </c>
      <c r="O74" s="1">
        <v>13</v>
      </c>
      <c r="P74" s="1">
        <v>14</v>
      </c>
      <c r="Q74" s="1">
        <v>15</v>
      </c>
      <c r="R74" s="1">
        <v>16</v>
      </c>
      <c r="S74" s="1">
        <v>17</v>
      </c>
      <c r="T74" s="1">
        <v>18</v>
      </c>
      <c r="U74" s="1">
        <v>19</v>
      </c>
      <c r="V74" s="1">
        <v>20</v>
      </c>
      <c r="W74" s="1">
        <v>21</v>
      </c>
      <c r="X74" s="1">
        <v>22</v>
      </c>
      <c r="Y74" s="1">
        <v>23</v>
      </c>
      <c r="Z74" s="1">
        <v>24</v>
      </c>
      <c r="AA74" s="1">
        <v>25</v>
      </c>
      <c r="AB74" s="1">
        <v>26</v>
      </c>
      <c r="AC74" s="1">
        <v>27</v>
      </c>
      <c r="AD74" s="1">
        <v>28</v>
      </c>
      <c r="AE74" s="1">
        <v>29</v>
      </c>
      <c r="AF74" s="1">
        <v>30</v>
      </c>
      <c r="AG74" s="1">
        <v>31</v>
      </c>
    </row>
    <row r="75" spans="2:33" x14ac:dyDescent="0.2">
      <c r="B75" s="1" t="str" cm="1">
        <f t="array" ref="B75:B86">_xlfn.MAKEARRAY(12,1,_xlfn.LAMBDA(_xlpm.r,_xlpm.c,PROPER(TEXT(DATE(2000,_xlpm.r,1),"mmmm"))))</f>
        <v>Janvier</v>
      </c>
      <c r="C75" s="190">
        <f>DATE($B$74,ROW()-74,C$74)</f>
        <v>46023</v>
      </c>
      <c r="D75" s="190">
        <f t="shared" ref="D75:AG83" si="1">DATE($B$74,ROW()-74,D$74)</f>
        <v>46024</v>
      </c>
      <c r="E75" s="190">
        <f t="shared" si="1"/>
        <v>46025</v>
      </c>
      <c r="F75" s="190">
        <f t="shared" si="1"/>
        <v>46026</v>
      </c>
      <c r="G75" s="190">
        <f t="shared" si="1"/>
        <v>46027</v>
      </c>
      <c r="H75" s="190">
        <f t="shared" si="1"/>
        <v>46028</v>
      </c>
      <c r="I75" s="190">
        <f t="shared" si="1"/>
        <v>46029</v>
      </c>
      <c r="J75" s="190">
        <f t="shared" si="1"/>
        <v>46030</v>
      </c>
      <c r="K75" s="190">
        <f t="shared" si="1"/>
        <v>46031</v>
      </c>
      <c r="L75" s="190">
        <f t="shared" si="1"/>
        <v>46032</v>
      </c>
      <c r="M75" s="190">
        <f t="shared" si="1"/>
        <v>46033</v>
      </c>
      <c r="N75" s="190">
        <f t="shared" si="1"/>
        <v>46034</v>
      </c>
      <c r="O75" s="190">
        <f t="shared" si="1"/>
        <v>46035</v>
      </c>
      <c r="P75" s="190">
        <f t="shared" si="1"/>
        <v>46036</v>
      </c>
      <c r="Q75" s="190">
        <f t="shared" si="1"/>
        <v>46037</v>
      </c>
      <c r="R75" s="190">
        <f t="shared" si="1"/>
        <v>46038</v>
      </c>
      <c r="S75" s="190">
        <f t="shared" si="1"/>
        <v>46039</v>
      </c>
      <c r="T75" s="190">
        <f t="shared" si="1"/>
        <v>46040</v>
      </c>
      <c r="U75" s="190">
        <f t="shared" si="1"/>
        <v>46041</v>
      </c>
      <c r="V75" s="190">
        <f t="shared" si="1"/>
        <v>46042</v>
      </c>
      <c r="W75" s="190">
        <f t="shared" si="1"/>
        <v>46043</v>
      </c>
      <c r="X75" s="190">
        <f t="shared" si="1"/>
        <v>46044</v>
      </c>
      <c r="Y75" s="190">
        <f t="shared" si="1"/>
        <v>46045</v>
      </c>
      <c r="Z75" s="190">
        <f t="shared" si="1"/>
        <v>46046</v>
      </c>
      <c r="AA75" s="190">
        <f t="shared" si="1"/>
        <v>46047</v>
      </c>
      <c r="AB75" s="190">
        <f t="shared" si="1"/>
        <v>46048</v>
      </c>
      <c r="AC75" s="190">
        <f t="shared" si="1"/>
        <v>46049</v>
      </c>
      <c r="AD75" s="190">
        <f t="shared" si="1"/>
        <v>46050</v>
      </c>
      <c r="AE75" s="190">
        <f t="shared" si="1"/>
        <v>46051</v>
      </c>
      <c r="AF75" s="190">
        <f t="shared" si="1"/>
        <v>46052</v>
      </c>
      <c r="AG75" s="190">
        <f t="shared" si="1"/>
        <v>46053</v>
      </c>
    </row>
    <row r="76" spans="2:33" x14ac:dyDescent="0.2">
      <c r="B76" s="1" t="str">
        <v>Février</v>
      </c>
      <c r="C76" s="190">
        <f t="shared" ref="C76:R86" si="2">DATE($B$74,ROW()-74,C$74)</f>
        <v>46054</v>
      </c>
      <c r="D76" s="190">
        <f t="shared" si="1"/>
        <v>46055</v>
      </c>
      <c r="E76" s="190">
        <f t="shared" si="1"/>
        <v>46056</v>
      </c>
      <c r="F76" s="190">
        <f t="shared" si="1"/>
        <v>46057</v>
      </c>
      <c r="G76" s="190">
        <f t="shared" si="1"/>
        <v>46058</v>
      </c>
      <c r="H76" s="190">
        <f t="shared" si="1"/>
        <v>46059</v>
      </c>
      <c r="I76" s="190">
        <f t="shared" si="1"/>
        <v>46060</v>
      </c>
      <c r="J76" s="190">
        <f t="shared" si="1"/>
        <v>46061</v>
      </c>
      <c r="K76" s="190">
        <f t="shared" si="1"/>
        <v>46062</v>
      </c>
      <c r="L76" s="190">
        <f t="shared" si="1"/>
        <v>46063</v>
      </c>
      <c r="M76" s="190">
        <f t="shared" si="1"/>
        <v>46064</v>
      </c>
      <c r="N76" s="190">
        <f t="shared" si="1"/>
        <v>46065</v>
      </c>
      <c r="O76" s="190">
        <f t="shared" si="1"/>
        <v>46066</v>
      </c>
      <c r="P76" s="190">
        <f t="shared" si="1"/>
        <v>46067</v>
      </c>
      <c r="Q76" s="190">
        <f t="shared" si="1"/>
        <v>46068</v>
      </c>
      <c r="R76" s="190">
        <f t="shared" si="1"/>
        <v>46069</v>
      </c>
      <c r="S76" s="190">
        <f t="shared" si="1"/>
        <v>46070</v>
      </c>
      <c r="T76" s="190">
        <f t="shared" si="1"/>
        <v>46071</v>
      </c>
      <c r="U76" s="190">
        <f t="shared" si="1"/>
        <v>46072</v>
      </c>
      <c r="V76" s="190">
        <f t="shared" si="1"/>
        <v>46073</v>
      </c>
      <c r="W76" s="190">
        <f t="shared" si="1"/>
        <v>46074</v>
      </c>
      <c r="X76" s="190">
        <f t="shared" si="1"/>
        <v>46075</v>
      </c>
      <c r="Y76" s="190">
        <f t="shared" si="1"/>
        <v>46076</v>
      </c>
      <c r="Z76" s="190">
        <f t="shared" si="1"/>
        <v>46077</v>
      </c>
      <c r="AA76" s="190">
        <f t="shared" si="1"/>
        <v>46078</v>
      </c>
      <c r="AB76" s="190">
        <f t="shared" si="1"/>
        <v>46079</v>
      </c>
      <c r="AC76" s="190">
        <f t="shared" si="1"/>
        <v>46080</v>
      </c>
      <c r="AD76" s="190">
        <f t="shared" si="1"/>
        <v>46081</v>
      </c>
      <c r="AE76" s="190">
        <f t="shared" si="1"/>
        <v>46082</v>
      </c>
      <c r="AF76" s="190">
        <f t="shared" si="1"/>
        <v>46083</v>
      </c>
      <c r="AG76" s="190">
        <f t="shared" si="1"/>
        <v>46084</v>
      </c>
    </row>
    <row r="77" spans="2:33" x14ac:dyDescent="0.2">
      <c r="B77" s="1" t="str">
        <v>Mars</v>
      </c>
      <c r="C77" s="190">
        <f t="shared" si="2"/>
        <v>46082</v>
      </c>
      <c r="D77" s="190">
        <f t="shared" si="1"/>
        <v>46083</v>
      </c>
      <c r="E77" s="190">
        <f t="shared" si="1"/>
        <v>46084</v>
      </c>
      <c r="F77" s="190">
        <f t="shared" si="1"/>
        <v>46085</v>
      </c>
      <c r="G77" s="190">
        <f t="shared" si="1"/>
        <v>46086</v>
      </c>
      <c r="H77" s="190">
        <f t="shared" si="1"/>
        <v>46087</v>
      </c>
      <c r="I77" s="190">
        <f t="shared" si="1"/>
        <v>46088</v>
      </c>
      <c r="J77" s="190">
        <f t="shared" si="1"/>
        <v>46089</v>
      </c>
      <c r="K77" s="190">
        <f t="shared" si="1"/>
        <v>46090</v>
      </c>
      <c r="L77" s="190">
        <f t="shared" si="1"/>
        <v>46091</v>
      </c>
      <c r="M77" s="190">
        <f t="shared" si="1"/>
        <v>46092</v>
      </c>
      <c r="N77" s="190">
        <f t="shared" si="1"/>
        <v>46093</v>
      </c>
      <c r="O77" s="190">
        <f t="shared" si="1"/>
        <v>46094</v>
      </c>
      <c r="P77" s="190">
        <f t="shared" si="1"/>
        <v>46095</v>
      </c>
      <c r="Q77" s="190">
        <f t="shared" si="1"/>
        <v>46096</v>
      </c>
      <c r="R77" s="190">
        <f t="shared" si="1"/>
        <v>46097</v>
      </c>
      <c r="S77" s="190">
        <f t="shared" si="1"/>
        <v>46098</v>
      </c>
      <c r="T77" s="190">
        <f t="shared" si="1"/>
        <v>46099</v>
      </c>
      <c r="U77" s="190">
        <f t="shared" si="1"/>
        <v>46100</v>
      </c>
      <c r="V77" s="190">
        <f t="shared" si="1"/>
        <v>46101</v>
      </c>
      <c r="W77" s="190">
        <f t="shared" si="1"/>
        <v>46102</v>
      </c>
      <c r="X77" s="190">
        <f t="shared" si="1"/>
        <v>46103</v>
      </c>
      <c r="Y77" s="190">
        <f t="shared" si="1"/>
        <v>46104</v>
      </c>
      <c r="Z77" s="190">
        <f t="shared" si="1"/>
        <v>46105</v>
      </c>
      <c r="AA77" s="190">
        <f t="shared" si="1"/>
        <v>46106</v>
      </c>
      <c r="AB77" s="190">
        <f t="shared" si="1"/>
        <v>46107</v>
      </c>
      <c r="AC77" s="190">
        <f t="shared" si="1"/>
        <v>46108</v>
      </c>
      <c r="AD77" s="190">
        <f t="shared" si="1"/>
        <v>46109</v>
      </c>
      <c r="AE77" s="190">
        <f t="shared" si="1"/>
        <v>46110</v>
      </c>
      <c r="AF77" s="190">
        <f t="shared" si="1"/>
        <v>46111</v>
      </c>
      <c r="AG77" s="190">
        <f t="shared" si="1"/>
        <v>46112</v>
      </c>
    </row>
    <row r="78" spans="2:33" x14ac:dyDescent="0.2">
      <c r="B78" s="1" t="str">
        <v>Avril</v>
      </c>
      <c r="C78" s="190">
        <f t="shared" si="2"/>
        <v>46113</v>
      </c>
      <c r="D78" s="190">
        <f t="shared" si="1"/>
        <v>46114</v>
      </c>
      <c r="E78" s="190">
        <f t="shared" si="1"/>
        <v>46115</v>
      </c>
      <c r="F78" s="190">
        <f t="shared" si="1"/>
        <v>46116</v>
      </c>
      <c r="G78" s="190">
        <f t="shared" si="1"/>
        <v>46117</v>
      </c>
      <c r="H78" s="190">
        <f t="shared" si="1"/>
        <v>46118</v>
      </c>
      <c r="I78" s="190">
        <f t="shared" si="1"/>
        <v>46119</v>
      </c>
      <c r="J78" s="190">
        <f t="shared" si="1"/>
        <v>46120</v>
      </c>
      <c r="K78" s="190">
        <f t="shared" si="1"/>
        <v>46121</v>
      </c>
      <c r="L78" s="190">
        <f t="shared" si="1"/>
        <v>46122</v>
      </c>
      <c r="M78" s="190">
        <f t="shared" si="1"/>
        <v>46123</v>
      </c>
      <c r="N78" s="190">
        <f t="shared" si="1"/>
        <v>46124</v>
      </c>
      <c r="O78" s="190">
        <f t="shared" si="1"/>
        <v>46125</v>
      </c>
      <c r="P78" s="190">
        <f t="shared" si="1"/>
        <v>46126</v>
      </c>
      <c r="Q78" s="190">
        <f t="shared" si="1"/>
        <v>46127</v>
      </c>
      <c r="R78" s="190">
        <f t="shared" si="1"/>
        <v>46128</v>
      </c>
      <c r="S78" s="190">
        <f t="shared" si="1"/>
        <v>46129</v>
      </c>
      <c r="T78" s="190">
        <f t="shared" si="1"/>
        <v>46130</v>
      </c>
      <c r="U78" s="190">
        <f t="shared" si="1"/>
        <v>46131</v>
      </c>
      <c r="V78" s="190">
        <f t="shared" si="1"/>
        <v>46132</v>
      </c>
      <c r="W78" s="190">
        <f t="shared" si="1"/>
        <v>46133</v>
      </c>
      <c r="X78" s="190">
        <f t="shared" si="1"/>
        <v>46134</v>
      </c>
      <c r="Y78" s="190">
        <f t="shared" si="1"/>
        <v>46135</v>
      </c>
      <c r="Z78" s="190">
        <f t="shared" si="1"/>
        <v>46136</v>
      </c>
      <c r="AA78" s="190">
        <f t="shared" si="1"/>
        <v>46137</v>
      </c>
      <c r="AB78" s="190">
        <f t="shared" si="1"/>
        <v>46138</v>
      </c>
      <c r="AC78" s="190">
        <f t="shared" si="1"/>
        <v>46139</v>
      </c>
      <c r="AD78" s="190">
        <f t="shared" si="1"/>
        <v>46140</v>
      </c>
      <c r="AE78" s="190">
        <f t="shared" si="1"/>
        <v>46141</v>
      </c>
      <c r="AF78" s="190">
        <f t="shared" si="1"/>
        <v>46142</v>
      </c>
      <c r="AG78" s="190">
        <f t="shared" si="1"/>
        <v>46143</v>
      </c>
    </row>
    <row r="79" spans="2:33" x14ac:dyDescent="0.2">
      <c r="B79" s="1" t="str">
        <v>Mai</v>
      </c>
      <c r="C79" s="190">
        <f t="shared" si="2"/>
        <v>46143</v>
      </c>
      <c r="D79" s="190">
        <f t="shared" si="1"/>
        <v>46144</v>
      </c>
      <c r="E79" s="190">
        <f t="shared" si="1"/>
        <v>46145</v>
      </c>
      <c r="F79" s="190">
        <f t="shared" si="1"/>
        <v>46146</v>
      </c>
      <c r="G79" s="190">
        <f t="shared" si="1"/>
        <v>46147</v>
      </c>
      <c r="H79" s="190">
        <f t="shared" si="1"/>
        <v>46148</v>
      </c>
      <c r="I79" s="190">
        <f t="shared" si="1"/>
        <v>46149</v>
      </c>
      <c r="J79" s="190">
        <f t="shared" si="1"/>
        <v>46150</v>
      </c>
      <c r="K79" s="190">
        <f t="shared" si="1"/>
        <v>46151</v>
      </c>
      <c r="L79" s="190">
        <f t="shared" si="1"/>
        <v>46152</v>
      </c>
      <c r="M79" s="190">
        <f t="shared" si="1"/>
        <v>46153</v>
      </c>
      <c r="N79" s="190">
        <f t="shared" si="1"/>
        <v>46154</v>
      </c>
      <c r="O79" s="190">
        <f t="shared" si="1"/>
        <v>46155</v>
      </c>
      <c r="P79" s="190">
        <f t="shared" si="1"/>
        <v>46156</v>
      </c>
      <c r="Q79" s="190">
        <f t="shared" si="1"/>
        <v>46157</v>
      </c>
      <c r="R79" s="190">
        <f t="shared" si="1"/>
        <v>46158</v>
      </c>
      <c r="S79" s="190">
        <f t="shared" si="1"/>
        <v>46159</v>
      </c>
      <c r="T79" s="190">
        <f t="shared" si="1"/>
        <v>46160</v>
      </c>
      <c r="U79" s="190">
        <f t="shared" si="1"/>
        <v>46161</v>
      </c>
      <c r="V79" s="190">
        <f t="shared" si="1"/>
        <v>46162</v>
      </c>
      <c r="W79" s="190">
        <f t="shared" si="1"/>
        <v>46163</v>
      </c>
      <c r="X79" s="190">
        <f t="shared" si="1"/>
        <v>46164</v>
      </c>
      <c r="Y79" s="190">
        <f t="shared" si="1"/>
        <v>46165</v>
      </c>
      <c r="Z79" s="190">
        <f t="shared" si="1"/>
        <v>46166</v>
      </c>
      <c r="AA79" s="190">
        <f t="shared" si="1"/>
        <v>46167</v>
      </c>
      <c r="AB79" s="190">
        <f t="shared" si="1"/>
        <v>46168</v>
      </c>
      <c r="AC79" s="190">
        <f t="shared" si="1"/>
        <v>46169</v>
      </c>
      <c r="AD79" s="190">
        <f t="shared" si="1"/>
        <v>46170</v>
      </c>
      <c r="AE79" s="190">
        <f t="shared" si="1"/>
        <v>46171</v>
      </c>
      <c r="AF79" s="190">
        <f t="shared" si="1"/>
        <v>46172</v>
      </c>
      <c r="AG79" s="190">
        <f t="shared" si="1"/>
        <v>46173</v>
      </c>
    </row>
    <row r="80" spans="2:33" x14ac:dyDescent="0.2">
      <c r="B80" s="1" t="str">
        <v>Juin</v>
      </c>
      <c r="C80" s="190">
        <f t="shared" si="2"/>
        <v>46174</v>
      </c>
      <c r="D80" s="190">
        <f t="shared" si="1"/>
        <v>46175</v>
      </c>
      <c r="E80" s="190">
        <f t="shared" si="1"/>
        <v>46176</v>
      </c>
      <c r="F80" s="190">
        <f t="shared" si="1"/>
        <v>46177</v>
      </c>
      <c r="G80" s="190">
        <f t="shared" si="1"/>
        <v>46178</v>
      </c>
      <c r="H80" s="190">
        <f t="shared" si="1"/>
        <v>46179</v>
      </c>
      <c r="I80" s="190">
        <f t="shared" si="1"/>
        <v>46180</v>
      </c>
      <c r="J80" s="190">
        <f t="shared" si="1"/>
        <v>46181</v>
      </c>
      <c r="K80" s="190">
        <f t="shared" si="1"/>
        <v>46182</v>
      </c>
      <c r="L80" s="190">
        <f t="shared" si="1"/>
        <v>46183</v>
      </c>
      <c r="M80" s="190">
        <f t="shared" si="1"/>
        <v>46184</v>
      </c>
      <c r="N80" s="190">
        <f t="shared" si="1"/>
        <v>46185</v>
      </c>
      <c r="O80" s="190">
        <f t="shared" si="1"/>
        <v>46186</v>
      </c>
      <c r="P80" s="190">
        <f t="shared" si="1"/>
        <v>46187</v>
      </c>
      <c r="Q80" s="190">
        <f t="shared" si="1"/>
        <v>46188</v>
      </c>
      <c r="R80" s="190">
        <f t="shared" si="1"/>
        <v>46189</v>
      </c>
      <c r="S80" s="190">
        <f t="shared" si="1"/>
        <v>46190</v>
      </c>
      <c r="T80" s="190">
        <f t="shared" si="1"/>
        <v>46191</v>
      </c>
      <c r="U80" s="190">
        <f t="shared" si="1"/>
        <v>46192</v>
      </c>
      <c r="V80" s="190">
        <f t="shared" si="1"/>
        <v>46193</v>
      </c>
      <c r="W80" s="190">
        <f t="shared" si="1"/>
        <v>46194</v>
      </c>
      <c r="X80" s="190">
        <f t="shared" si="1"/>
        <v>46195</v>
      </c>
      <c r="Y80" s="190">
        <f t="shared" si="1"/>
        <v>46196</v>
      </c>
      <c r="Z80" s="190">
        <f t="shared" si="1"/>
        <v>46197</v>
      </c>
      <c r="AA80" s="190">
        <f t="shared" si="1"/>
        <v>46198</v>
      </c>
      <c r="AB80" s="190">
        <f t="shared" si="1"/>
        <v>46199</v>
      </c>
      <c r="AC80" s="190">
        <f t="shared" si="1"/>
        <v>46200</v>
      </c>
      <c r="AD80" s="190">
        <f t="shared" si="1"/>
        <v>46201</v>
      </c>
      <c r="AE80" s="190">
        <f t="shared" si="1"/>
        <v>46202</v>
      </c>
      <c r="AF80" s="190">
        <f t="shared" si="1"/>
        <v>46203</v>
      </c>
      <c r="AG80" s="190">
        <f t="shared" si="1"/>
        <v>46204</v>
      </c>
    </row>
    <row r="81" spans="2:33" x14ac:dyDescent="0.2">
      <c r="B81" s="1" t="str">
        <v>Juillet</v>
      </c>
      <c r="C81" s="190">
        <f t="shared" si="2"/>
        <v>46204</v>
      </c>
      <c r="D81" s="190">
        <f t="shared" si="1"/>
        <v>46205</v>
      </c>
      <c r="E81" s="190">
        <f t="shared" si="1"/>
        <v>46206</v>
      </c>
      <c r="F81" s="190">
        <f t="shared" si="1"/>
        <v>46207</v>
      </c>
      <c r="G81" s="190">
        <f t="shared" si="1"/>
        <v>46208</v>
      </c>
      <c r="H81" s="190">
        <f t="shared" si="1"/>
        <v>46209</v>
      </c>
      <c r="I81" s="190">
        <f t="shared" si="1"/>
        <v>46210</v>
      </c>
      <c r="J81" s="190">
        <f t="shared" si="1"/>
        <v>46211</v>
      </c>
      <c r="K81" s="190">
        <f t="shared" si="1"/>
        <v>46212</v>
      </c>
      <c r="L81" s="190">
        <f t="shared" si="1"/>
        <v>46213</v>
      </c>
      <c r="M81" s="190">
        <f t="shared" si="1"/>
        <v>46214</v>
      </c>
      <c r="N81" s="190">
        <f t="shared" si="1"/>
        <v>46215</v>
      </c>
      <c r="O81" s="190">
        <f t="shared" si="1"/>
        <v>46216</v>
      </c>
      <c r="P81" s="190">
        <f t="shared" si="1"/>
        <v>46217</v>
      </c>
      <c r="Q81" s="190">
        <f t="shared" si="1"/>
        <v>46218</v>
      </c>
      <c r="R81" s="190">
        <f t="shared" si="1"/>
        <v>46219</v>
      </c>
      <c r="S81" s="190">
        <f t="shared" si="1"/>
        <v>46220</v>
      </c>
      <c r="T81" s="190">
        <f t="shared" si="1"/>
        <v>46221</v>
      </c>
      <c r="U81" s="190">
        <f t="shared" si="1"/>
        <v>46222</v>
      </c>
      <c r="V81" s="190">
        <f t="shared" si="1"/>
        <v>46223</v>
      </c>
      <c r="W81" s="190">
        <f t="shared" si="1"/>
        <v>46224</v>
      </c>
      <c r="X81" s="190">
        <f t="shared" si="1"/>
        <v>46225</v>
      </c>
      <c r="Y81" s="190">
        <f t="shared" si="1"/>
        <v>46226</v>
      </c>
      <c r="Z81" s="190">
        <f t="shared" si="1"/>
        <v>46227</v>
      </c>
      <c r="AA81" s="190">
        <f t="shared" si="1"/>
        <v>46228</v>
      </c>
      <c r="AB81" s="190">
        <f t="shared" si="1"/>
        <v>46229</v>
      </c>
      <c r="AC81" s="190">
        <f t="shared" si="1"/>
        <v>46230</v>
      </c>
      <c r="AD81" s="190">
        <f t="shared" si="1"/>
        <v>46231</v>
      </c>
      <c r="AE81" s="190">
        <f t="shared" si="1"/>
        <v>46232</v>
      </c>
      <c r="AF81" s="190">
        <f t="shared" si="1"/>
        <v>46233</v>
      </c>
      <c r="AG81" s="190">
        <f t="shared" si="1"/>
        <v>46234</v>
      </c>
    </row>
    <row r="82" spans="2:33" x14ac:dyDescent="0.2">
      <c r="B82" s="1" t="str">
        <v>Août</v>
      </c>
      <c r="C82" s="190">
        <f t="shared" si="2"/>
        <v>46235</v>
      </c>
      <c r="D82" s="190">
        <f t="shared" si="1"/>
        <v>46236</v>
      </c>
      <c r="E82" s="190">
        <f t="shared" si="1"/>
        <v>46237</v>
      </c>
      <c r="F82" s="190">
        <f t="shared" si="1"/>
        <v>46238</v>
      </c>
      <c r="G82" s="190">
        <f t="shared" si="1"/>
        <v>46239</v>
      </c>
      <c r="H82" s="190">
        <f t="shared" si="1"/>
        <v>46240</v>
      </c>
      <c r="I82" s="190">
        <f t="shared" si="1"/>
        <v>46241</v>
      </c>
      <c r="J82" s="190">
        <f t="shared" si="1"/>
        <v>46242</v>
      </c>
      <c r="K82" s="190">
        <f t="shared" si="1"/>
        <v>46243</v>
      </c>
      <c r="L82" s="190">
        <f t="shared" si="1"/>
        <v>46244</v>
      </c>
      <c r="M82" s="190">
        <f t="shared" si="1"/>
        <v>46245</v>
      </c>
      <c r="N82" s="190">
        <f t="shared" si="1"/>
        <v>46246</v>
      </c>
      <c r="O82" s="190">
        <f t="shared" si="1"/>
        <v>46247</v>
      </c>
      <c r="P82" s="190">
        <f t="shared" si="1"/>
        <v>46248</v>
      </c>
      <c r="Q82" s="190">
        <f t="shared" si="1"/>
        <v>46249</v>
      </c>
      <c r="R82" s="190">
        <f t="shared" si="1"/>
        <v>46250</v>
      </c>
      <c r="S82" s="190">
        <f t="shared" si="1"/>
        <v>46251</v>
      </c>
      <c r="T82" s="190">
        <f t="shared" si="1"/>
        <v>46252</v>
      </c>
      <c r="U82" s="190">
        <f t="shared" si="1"/>
        <v>46253</v>
      </c>
      <c r="V82" s="190">
        <f t="shared" si="1"/>
        <v>46254</v>
      </c>
      <c r="W82" s="190">
        <f t="shared" si="1"/>
        <v>46255</v>
      </c>
      <c r="X82" s="190">
        <f t="shared" si="1"/>
        <v>46256</v>
      </c>
      <c r="Y82" s="190">
        <f t="shared" si="1"/>
        <v>46257</v>
      </c>
      <c r="Z82" s="190">
        <f t="shared" si="1"/>
        <v>46258</v>
      </c>
      <c r="AA82" s="190">
        <f t="shared" si="1"/>
        <v>46259</v>
      </c>
      <c r="AB82" s="190">
        <f t="shared" si="1"/>
        <v>46260</v>
      </c>
      <c r="AC82" s="190">
        <f t="shared" si="1"/>
        <v>46261</v>
      </c>
      <c r="AD82" s="190">
        <f t="shared" si="1"/>
        <v>46262</v>
      </c>
      <c r="AE82" s="190">
        <f t="shared" si="1"/>
        <v>46263</v>
      </c>
      <c r="AF82" s="190">
        <f t="shared" si="1"/>
        <v>46264</v>
      </c>
      <c r="AG82" s="190">
        <f t="shared" si="1"/>
        <v>46265</v>
      </c>
    </row>
    <row r="83" spans="2:33" x14ac:dyDescent="0.2">
      <c r="B83" s="1" t="str">
        <v>Septembre</v>
      </c>
      <c r="C83" s="190">
        <f t="shared" si="2"/>
        <v>46266</v>
      </c>
      <c r="D83" s="190">
        <f t="shared" si="1"/>
        <v>46267</v>
      </c>
      <c r="E83" s="190">
        <f t="shared" si="1"/>
        <v>46268</v>
      </c>
      <c r="F83" s="190">
        <f t="shared" si="1"/>
        <v>46269</v>
      </c>
      <c r="G83" s="190">
        <f t="shared" si="1"/>
        <v>46270</v>
      </c>
      <c r="H83" s="190">
        <f t="shared" si="1"/>
        <v>46271</v>
      </c>
      <c r="I83" s="190">
        <f t="shared" si="1"/>
        <v>46272</v>
      </c>
      <c r="J83" s="190">
        <f t="shared" si="1"/>
        <v>46273</v>
      </c>
      <c r="K83" s="190">
        <f t="shared" si="1"/>
        <v>46274</v>
      </c>
      <c r="L83" s="190">
        <f t="shared" si="1"/>
        <v>46275</v>
      </c>
      <c r="M83" s="190">
        <f t="shared" si="1"/>
        <v>46276</v>
      </c>
      <c r="N83" s="190">
        <f t="shared" si="1"/>
        <v>46277</v>
      </c>
      <c r="O83" s="190">
        <f t="shared" si="1"/>
        <v>46278</v>
      </c>
      <c r="P83" s="190">
        <f t="shared" si="1"/>
        <v>46279</v>
      </c>
      <c r="Q83" s="190">
        <f t="shared" si="1"/>
        <v>46280</v>
      </c>
      <c r="R83" s="190">
        <f t="shared" si="1"/>
        <v>46281</v>
      </c>
      <c r="S83" s="190">
        <f t="shared" ref="S83:AG86" si="3">DATE($B$74,ROW()-74,S$74)</f>
        <v>46282</v>
      </c>
      <c r="T83" s="190">
        <f t="shared" si="3"/>
        <v>46283</v>
      </c>
      <c r="U83" s="190">
        <f t="shared" si="3"/>
        <v>46284</v>
      </c>
      <c r="V83" s="190">
        <f t="shared" si="3"/>
        <v>46285</v>
      </c>
      <c r="W83" s="190">
        <f t="shared" si="3"/>
        <v>46286</v>
      </c>
      <c r="X83" s="190">
        <f t="shared" si="3"/>
        <v>46287</v>
      </c>
      <c r="Y83" s="190">
        <f t="shared" si="3"/>
        <v>46288</v>
      </c>
      <c r="Z83" s="190">
        <f t="shared" si="3"/>
        <v>46289</v>
      </c>
      <c r="AA83" s="190">
        <f t="shared" si="3"/>
        <v>46290</v>
      </c>
      <c r="AB83" s="190">
        <f t="shared" si="3"/>
        <v>46291</v>
      </c>
      <c r="AC83" s="190">
        <f t="shared" si="3"/>
        <v>46292</v>
      </c>
      <c r="AD83" s="190">
        <f t="shared" si="3"/>
        <v>46293</v>
      </c>
      <c r="AE83" s="190">
        <f t="shared" si="3"/>
        <v>46294</v>
      </c>
      <c r="AF83" s="190">
        <f t="shared" si="3"/>
        <v>46295</v>
      </c>
      <c r="AG83" s="190">
        <f t="shared" si="3"/>
        <v>46296</v>
      </c>
    </row>
    <row r="84" spans="2:33" x14ac:dyDescent="0.2">
      <c r="B84" s="1" t="str">
        <v>Octobre</v>
      </c>
      <c r="C84" s="190">
        <f t="shared" si="2"/>
        <v>46296</v>
      </c>
      <c r="D84" s="190">
        <f t="shared" si="2"/>
        <v>46297</v>
      </c>
      <c r="E84" s="190">
        <f t="shared" si="2"/>
        <v>46298</v>
      </c>
      <c r="F84" s="190">
        <f t="shared" si="2"/>
        <v>46299</v>
      </c>
      <c r="G84" s="190">
        <f t="shared" si="2"/>
        <v>46300</v>
      </c>
      <c r="H84" s="190">
        <f t="shared" si="2"/>
        <v>46301</v>
      </c>
      <c r="I84" s="190">
        <f t="shared" si="2"/>
        <v>46302</v>
      </c>
      <c r="J84" s="190">
        <f t="shared" si="2"/>
        <v>46303</v>
      </c>
      <c r="K84" s="190">
        <f t="shared" si="2"/>
        <v>46304</v>
      </c>
      <c r="L84" s="190">
        <f t="shared" si="2"/>
        <v>46305</v>
      </c>
      <c r="M84" s="190">
        <f t="shared" si="2"/>
        <v>46306</v>
      </c>
      <c r="N84" s="190">
        <f t="shared" si="2"/>
        <v>46307</v>
      </c>
      <c r="O84" s="190">
        <f t="shared" si="2"/>
        <v>46308</v>
      </c>
      <c r="P84" s="190">
        <f t="shared" si="2"/>
        <v>46309</v>
      </c>
      <c r="Q84" s="190">
        <f t="shared" si="2"/>
        <v>46310</v>
      </c>
      <c r="R84" s="190">
        <f t="shared" si="2"/>
        <v>46311</v>
      </c>
      <c r="S84" s="190">
        <f t="shared" si="3"/>
        <v>46312</v>
      </c>
      <c r="T84" s="190">
        <f t="shared" si="3"/>
        <v>46313</v>
      </c>
      <c r="U84" s="190">
        <f t="shared" si="3"/>
        <v>46314</v>
      </c>
      <c r="V84" s="190">
        <f t="shared" si="3"/>
        <v>46315</v>
      </c>
      <c r="W84" s="190">
        <f t="shared" si="3"/>
        <v>46316</v>
      </c>
      <c r="X84" s="190">
        <f t="shared" si="3"/>
        <v>46317</v>
      </c>
      <c r="Y84" s="190">
        <f t="shared" si="3"/>
        <v>46318</v>
      </c>
      <c r="Z84" s="190">
        <f t="shared" si="3"/>
        <v>46319</v>
      </c>
      <c r="AA84" s="190">
        <f t="shared" si="3"/>
        <v>46320</v>
      </c>
      <c r="AB84" s="190">
        <f t="shared" si="3"/>
        <v>46321</v>
      </c>
      <c r="AC84" s="190">
        <f t="shared" si="3"/>
        <v>46322</v>
      </c>
      <c r="AD84" s="190">
        <f t="shared" si="3"/>
        <v>46323</v>
      </c>
      <c r="AE84" s="190">
        <f t="shared" si="3"/>
        <v>46324</v>
      </c>
      <c r="AF84" s="190">
        <f t="shared" si="3"/>
        <v>46325</v>
      </c>
      <c r="AG84" s="190">
        <f t="shared" si="3"/>
        <v>46326</v>
      </c>
    </row>
    <row r="85" spans="2:33" x14ac:dyDescent="0.2">
      <c r="B85" s="1" t="str">
        <v>Novembre</v>
      </c>
      <c r="C85" s="190">
        <f t="shared" si="2"/>
        <v>46327</v>
      </c>
      <c r="D85" s="190">
        <f t="shared" si="2"/>
        <v>46328</v>
      </c>
      <c r="E85" s="190">
        <f t="shared" si="2"/>
        <v>46329</v>
      </c>
      <c r="F85" s="190">
        <f t="shared" si="2"/>
        <v>46330</v>
      </c>
      <c r="G85" s="190">
        <f t="shared" si="2"/>
        <v>46331</v>
      </c>
      <c r="H85" s="190">
        <f t="shared" si="2"/>
        <v>46332</v>
      </c>
      <c r="I85" s="190">
        <f t="shared" si="2"/>
        <v>46333</v>
      </c>
      <c r="J85" s="190">
        <f t="shared" si="2"/>
        <v>46334</v>
      </c>
      <c r="K85" s="190">
        <f t="shared" si="2"/>
        <v>46335</v>
      </c>
      <c r="L85" s="190">
        <f t="shared" si="2"/>
        <v>46336</v>
      </c>
      <c r="M85" s="190">
        <f t="shared" si="2"/>
        <v>46337</v>
      </c>
      <c r="N85" s="190">
        <f t="shared" si="2"/>
        <v>46338</v>
      </c>
      <c r="O85" s="190">
        <f t="shared" si="2"/>
        <v>46339</v>
      </c>
      <c r="P85" s="190">
        <f t="shared" si="2"/>
        <v>46340</v>
      </c>
      <c r="Q85" s="190">
        <f t="shared" si="2"/>
        <v>46341</v>
      </c>
      <c r="R85" s="190">
        <f t="shared" si="2"/>
        <v>46342</v>
      </c>
      <c r="S85" s="190">
        <f t="shared" si="3"/>
        <v>46343</v>
      </c>
      <c r="T85" s="190">
        <f t="shared" si="3"/>
        <v>46344</v>
      </c>
      <c r="U85" s="190">
        <f t="shared" si="3"/>
        <v>46345</v>
      </c>
      <c r="V85" s="190">
        <f t="shared" si="3"/>
        <v>46346</v>
      </c>
      <c r="W85" s="190">
        <f t="shared" si="3"/>
        <v>46347</v>
      </c>
      <c r="X85" s="190">
        <f t="shared" si="3"/>
        <v>46348</v>
      </c>
      <c r="Y85" s="190">
        <f t="shared" si="3"/>
        <v>46349</v>
      </c>
      <c r="Z85" s="190">
        <f t="shared" si="3"/>
        <v>46350</v>
      </c>
      <c r="AA85" s="190">
        <f t="shared" si="3"/>
        <v>46351</v>
      </c>
      <c r="AB85" s="190">
        <f t="shared" si="3"/>
        <v>46352</v>
      </c>
      <c r="AC85" s="190">
        <f t="shared" si="3"/>
        <v>46353</v>
      </c>
      <c r="AD85" s="190">
        <f t="shared" si="3"/>
        <v>46354</v>
      </c>
      <c r="AE85" s="190">
        <f t="shared" si="3"/>
        <v>46355</v>
      </c>
      <c r="AF85" s="190">
        <f t="shared" si="3"/>
        <v>46356</v>
      </c>
      <c r="AG85" s="190">
        <f t="shared" si="3"/>
        <v>46357</v>
      </c>
    </row>
    <row r="86" spans="2:33" x14ac:dyDescent="0.2">
      <c r="B86" s="1" t="str">
        <v>Décembre</v>
      </c>
      <c r="C86" s="190">
        <f t="shared" si="2"/>
        <v>46357</v>
      </c>
      <c r="D86" s="190">
        <f t="shared" si="2"/>
        <v>46358</v>
      </c>
      <c r="E86" s="190">
        <f t="shared" si="2"/>
        <v>46359</v>
      </c>
      <c r="F86" s="190">
        <f t="shared" si="2"/>
        <v>46360</v>
      </c>
      <c r="G86" s="190">
        <f t="shared" si="2"/>
        <v>46361</v>
      </c>
      <c r="H86" s="190">
        <f t="shared" si="2"/>
        <v>46362</v>
      </c>
      <c r="I86" s="190">
        <f t="shared" si="2"/>
        <v>46363</v>
      </c>
      <c r="J86" s="190">
        <f t="shared" si="2"/>
        <v>46364</v>
      </c>
      <c r="K86" s="190">
        <f t="shared" si="2"/>
        <v>46365</v>
      </c>
      <c r="L86" s="190">
        <f t="shared" si="2"/>
        <v>46366</v>
      </c>
      <c r="M86" s="190">
        <f t="shared" si="2"/>
        <v>46367</v>
      </c>
      <c r="N86" s="190">
        <f t="shared" si="2"/>
        <v>46368</v>
      </c>
      <c r="O86" s="190">
        <f t="shared" si="2"/>
        <v>46369</v>
      </c>
      <c r="P86" s="190">
        <f t="shared" si="2"/>
        <v>46370</v>
      </c>
      <c r="Q86" s="190">
        <f t="shared" si="2"/>
        <v>46371</v>
      </c>
      <c r="R86" s="190">
        <f t="shared" si="2"/>
        <v>46372</v>
      </c>
      <c r="S86" s="190">
        <f t="shared" si="3"/>
        <v>46373</v>
      </c>
      <c r="T86" s="190">
        <f t="shared" si="3"/>
        <v>46374</v>
      </c>
      <c r="U86" s="190">
        <f t="shared" si="3"/>
        <v>46375</v>
      </c>
      <c r="V86" s="190">
        <f t="shared" si="3"/>
        <v>46376</v>
      </c>
      <c r="W86" s="190">
        <f t="shared" si="3"/>
        <v>46377</v>
      </c>
      <c r="X86" s="190">
        <f t="shared" si="3"/>
        <v>46378</v>
      </c>
      <c r="Y86" s="190">
        <f t="shared" si="3"/>
        <v>46379</v>
      </c>
      <c r="Z86" s="190">
        <f t="shared" si="3"/>
        <v>46380</v>
      </c>
      <c r="AA86" s="190">
        <f t="shared" si="3"/>
        <v>46381</v>
      </c>
      <c r="AB86" s="190">
        <f t="shared" si="3"/>
        <v>46382</v>
      </c>
      <c r="AC86" s="190">
        <f t="shared" si="3"/>
        <v>46383</v>
      </c>
      <c r="AD86" s="190">
        <f t="shared" si="3"/>
        <v>46384</v>
      </c>
      <c r="AE86" s="190">
        <f t="shared" si="3"/>
        <v>46385</v>
      </c>
      <c r="AF86" s="190">
        <f t="shared" si="3"/>
        <v>46386</v>
      </c>
      <c r="AG86" s="190">
        <f t="shared" si="3"/>
        <v>46387</v>
      </c>
    </row>
    <row r="87" spans="2:33" x14ac:dyDescent="0.2"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</row>
    <row r="88" spans="2:33" x14ac:dyDescent="0.2"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</row>
    <row r="89" spans="2:33" x14ac:dyDescent="0.2">
      <c r="B89" s="1">
        <f>$L$3</f>
        <v>2026</v>
      </c>
      <c r="C89" s="1" cm="1">
        <f t="array" ref="C89:AG89">_xlfn.MAKEARRAY(1,31,_xlfn.LAMBDA(_xlpm.r,_xlpm.c,_xlpm.c))</f>
        <v>1</v>
      </c>
      <c r="D89" s="1">
        <v>2</v>
      </c>
      <c r="E89" s="1">
        <v>3</v>
      </c>
      <c r="F89" s="1">
        <v>4</v>
      </c>
      <c r="G89" s="1">
        <v>5</v>
      </c>
      <c r="H89" s="1">
        <v>6</v>
      </c>
      <c r="I89" s="1">
        <v>7</v>
      </c>
      <c r="J89" s="1">
        <v>8</v>
      </c>
      <c r="K89" s="1">
        <v>9</v>
      </c>
      <c r="L89" s="1">
        <v>10</v>
      </c>
      <c r="M89" s="1">
        <v>11</v>
      </c>
      <c r="N89" s="1">
        <v>12</v>
      </c>
      <c r="O89" s="1">
        <v>13</v>
      </c>
      <c r="P89" s="1">
        <v>14</v>
      </c>
      <c r="Q89" s="1">
        <v>15</v>
      </c>
      <c r="R89" s="1">
        <v>16</v>
      </c>
      <c r="S89" s="1">
        <v>17</v>
      </c>
      <c r="T89" s="1">
        <v>18</v>
      </c>
      <c r="U89" s="1">
        <v>19</v>
      </c>
      <c r="V89" s="1">
        <v>20</v>
      </c>
      <c r="W89" s="1">
        <v>21</v>
      </c>
      <c r="X89" s="1">
        <v>22</v>
      </c>
      <c r="Y89" s="1">
        <v>23</v>
      </c>
      <c r="Z89" s="1">
        <v>24</v>
      </c>
      <c r="AA89" s="1">
        <v>25</v>
      </c>
      <c r="AB89" s="1">
        <v>26</v>
      </c>
      <c r="AC89" s="1">
        <v>27</v>
      </c>
      <c r="AD89" s="1">
        <v>28</v>
      </c>
      <c r="AE89" s="1">
        <v>29</v>
      </c>
      <c r="AF89" s="1">
        <v>30</v>
      </c>
      <c r="AG89" s="1">
        <v>31</v>
      </c>
    </row>
    <row r="90" spans="2:33" x14ac:dyDescent="0.2">
      <c r="B90" s="1" t="str" cm="1">
        <f t="array" ref="B90:B101">_xlfn.MAKEARRAY(12,1,_xlfn.LAMBDA(_xlpm.r,_xlpm.c,PROPER(TEXT(DATE(2000,_xlpm.r,1),"mmmm"))))</f>
        <v>Janvier</v>
      </c>
      <c r="C90" s="1" t="str" cm="1">
        <f t="array" ref="C90:AG101">_xlfn.LAMBDA(_xlpm.annee,_xlpm.jours,_xlpm.mois,
  IF(MONTH(DATE(_xlpm.annee,_xlpm.mois,_xlpm.jours))=_xlpm.mois,
    IFERROR(VLOOKUP(DATE(_xlpm.annee,_xlpm.mois,_xlpm.jours),$K$5:$L$16,2,FALSE),IFERROR(IF(WEEKDAY(DATE(_xlpm.annee,_xlpm.mois,_xlpm.jours),2)&gt;5,"Week-end",""),"")),"-")
    )(INDEX($O$4:$O$13,$C$28),_xlfn.MAKEARRAY(1,31,_xlfn.LAMBDA(_xlpm.r,_xlpm.c,_xlpm.c)),_xlfn.MAKEARRAY(12,1,_xlfn.LAMBDA(_xlpm.r,_xlpm.c,_xlpm.r)))</f>
        <v>1er janvier</v>
      </c>
      <c r="D90" s="1" t="str">
        <v/>
      </c>
      <c r="E90" s="1" t="str">
        <v>Week-end</v>
      </c>
      <c r="F90" s="1" t="str">
        <v>Week-end</v>
      </c>
      <c r="G90" s="1" t="str">
        <v/>
      </c>
      <c r="H90" s="1" t="str">
        <v/>
      </c>
      <c r="I90" s="1" t="str">
        <v/>
      </c>
      <c r="J90" s="1" t="str">
        <v/>
      </c>
      <c r="K90" s="1" t="str">
        <v/>
      </c>
      <c r="L90" s="1" t="str">
        <v>Week-end</v>
      </c>
      <c r="M90" s="1" t="str">
        <v>Week-end</v>
      </c>
      <c r="N90" s="1" t="str">
        <v/>
      </c>
      <c r="O90" s="1" t="str">
        <v/>
      </c>
      <c r="P90" s="1" t="str">
        <v/>
      </c>
      <c r="Q90" s="1" t="str">
        <v/>
      </c>
      <c r="R90" s="1" t="str">
        <v/>
      </c>
      <c r="S90" s="1" t="str">
        <v>Week-end</v>
      </c>
      <c r="T90" s="1" t="str">
        <v>Week-end</v>
      </c>
      <c r="U90" s="1" t="str">
        <v/>
      </c>
      <c r="V90" s="1" t="str">
        <v/>
      </c>
      <c r="W90" s="1" t="str">
        <v/>
      </c>
      <c r="X90" s="1" t="str">
        <v/>
      </c>
      <c r="Y90" s="1" t="str">
        <v/>
      </c>
      <c r="Z90" s="1" t="str">
        <v>Week-end</v>
      </c>
      <c r="AA90" s="1" t="str">
        <v>Week-end</v>
      </c>
      <c r="AB90" s="1" t="str">
        <v/>
      </c>
      <c r="AC90" s="1" t="str">
        <v/>
      </c>
      <c r="AD90" s="1" t="str">
        <v/>
      </c>
      <c r="AE90" s="1" t="str">
        <v/>
      </c>
      <c r="AF90" s="1" t="str">
        <v/>
      </c>
      <c r="AG90" s="1" t="str">
        <v>Week-end</v>
      </c>
    </row>
    <row r="91" spans="2:33" x14ac:dyDescent="0.2">
      <c r="B91" s="1" t="str">
        <v>Février</v>
      </c>
      <c r="C91" s="1" t="str">
        <v>Week-end</v>
      </c>
      <c r="D91" s="1" t="str">
        <v/>
      </c>
      <c r="E91" s="1" t="str">
        <v/>
      </c>
      <c r="F91" s="1" t="str">
        <v/>
      </c>
      <c r="G91" s="1" t="str">
        <v/>
      </c>
      <c r="H91" s="1" t="str">
        <v/>
      </c>
      <c r="I91" s="1" t="str">
        <v>Week-end</v>
      </c>
      <c r="J91" s="1" t="str">
        <v>Week-end</v>
      </c>
      <c r="K91" s="1" t="str">
        <v/>
      </c>
      <c r="L91" s="1" t="str">
        <v/>
      </c>
      <c r="M91" s="1" t="str">
        <v/>
      </c>
      <c r="N91" s="1" t="str">
        <v/>
      </c>
      <c r="O91" s="1" t="str">
        <v/>
      </c>
      <c r="P91" s="1" t="str">
        <v>Week-end</v>
      </c>
      <c r="Q91" s="1" t="str">
        <v>Week-end</v>
      </c>
      <c r="R91" s="1" t="str">
        <v/>
      </c>
      <c r="S91" s="1" t="str">
        <v/>
      </c>
      <c r="T91" s="1" t="str">
        <v/>
      </c>
      <c r="U91" s="1" t="str">
        <v/>
      </c>
      <c r="V91" s="1" t="str">
        <v/>
      </c>
      <c r="W91" s="1" t="str">
        <v>Week-end</v>
      </c>
      <c r="X91" s="1" t="str">
        <v>Week-end</v>
      </c>
      <c r="Y91" s="1" t="str">
        <v/>
      </c>
      <c r="Z91" s="1" t="str">
        <v/>
      </c>
      <c r="AA91" s="1" t="str">
        <v/>
      </c>
      <c r="AB91" s="1" t="str">
        <v/>
      </c>
      <c r="AC91" s="1" t="str">
        <v/>
      </c>
      <c r="AD91" s="1" t="str">
        <v>Week-end</v>
      </c>
      <c r="AE91" s="1" t="str">
        <v>-</v>
      </c>
      <c r="AF91" s="1" t="str">
        <v>-</v>
      </c>
      <c r="AG91" s="1" t="str">
        <v>-</v>
      </c>
    </row>
    <row r="92" spans="2:33" x14ac:dyDescent="0.2">
      <c r="B92" s="1" t="str">
        <v>Mars</v>
      </c>
      <c r="C92" s="1" t="str">
        <v>Week-end</v>
      </c>
      <c r="D92" s="1" t="str">
        <v/>
      </c>
      <c r="E92" s="1" t="str">
        <v/>
      </c>
      <c r="F92" s="1" t="str">
        <v/>
      </c>
      <c r="G92" s="1" t="str">
        <v/>
      </c>
      <c r="H92" s="1" t="str">
        <v/>
      </c>
      <c r="I92" s="1" t="str">
        <v>Week-end</v>
      </c>
      <c r="J92" s="1" t="str">
        <v>Week-end</v>
      </c>
      <c r="K92" s="1" t="str">
        <v/>
      </c>
      <c r="L92" s="1" t="str">
        <v/>
      </c>
      <c r="M92" s="1" t="str">
        <v/>
      </c>
      <c r="N92" s="1" t="str">
        <v/>
      </c>
      <c r="O92" s="1" t="str">
        <v/>
      </c>
      <c r="P92" s="1" t="str">
        <v>Week-end</v>
      </c>
      <c r="Q92" s="1" t="str">
        <v>Week-end</v>
      </c>
      <c r="R92" s="1" t="str">
        <v/>
      </c>
      <c r="S92" s="1" t="str">
        <v/>
      </c>
      <c r="T92" s="1" t="str">
        <v/>
      </c>
      <c r="U92" s="1" t="str">
        <v/>
      </c>
      <c r="V92" s="1" t="str">
        <v/>
      </c>
      <c r="W92" s="1" t="str">
        <v>Week-end</v>
      </c>
      <c r="X92" s="1" t="str">
        <v>Week-end</v>
      </c>
      <c r="Y92" s="1" t="str">
        <v/>
      </c>
      <c r="Z92" s="1" t="str">
        <v/>
      </c>
      <c r="AA92" s="1" t="str">
        <v/>
      </c>
      <c r="AB92" s="1" t="str">
        <v/>
      </c>
      <c r="AC92" s="1" t="str">
        <v/>
      </c>
      <c r="AD92" s="1" t="str">
        <v>Week-end</v>
      </c>
      <c r="AE92" s="1" t="str">
        <v>Week-end</v>
      </c>
      <c r="AF92" s="1" t="str">
        <v/>
      </c>
      <c r="AG92" s="1" t="str">
        <v/>
      </c>
    </row>
    <row r="93" spans="2:33" x14ac:dyDescent="0.2">
      <c r="B93" s="1" t="str">
        <v>Avril</v>
      </c>
      <c r="C93" s="1" t="str">
        <v/>
      </c>
      <c r="D93" s="1" t="str">
        <v/>
      </c>
      <c r="E93" s="1" t="str">
        <v/>
      </c>
      <c r="F93" s="1" t="str">
        <v>Week-end</v>
      </c>
      <c r="G93" s="1" t="str">
        <v>Pâques</v>
      </c>
      <c r="H93" s="1" t="str">
        <v>Lundi de Pâques</v>
      </c>
      <c r="I93" s="1" t="str">
        <v/>
      </c>
      <c r="J93" s="1" t="str">
        <v/>
      </c>
      <c r="K93" s="1" t="str">
        <v/>
      </c>
      <c r="L93" s="1" t="str">
        <v/>
      </c>
      <c r="M93" s="1" t="str">
        <v>Week-end</v>
      </c>
      <c r="N93" s="1" t="str">
        <v>Week-end</v>
      </c>
      <c r="O93" s="1" t="str">
        <v/>
      </c>
      <c r="P93" s="1" t="str">
        <v/>
      </c>
      <c r="Q93" s="1" t="str">
        <v/>
      </c>
      <c r="R93" s="1" t="str">
        <v/>
      </c>
      <c r="S93" s="1" t="str">
        <v/>
      </c>
      <c r="T93" s="1" t="str">
        <v>Week-end</v>
      </c>
      <c r="U93" s="1" t="str">
        <v>Week-end</v>
      </c>
      <c r="V93" s="1" t="str">
        <v/>
      </c>
      <c r="W93" s="1" t="str">
        <v/>
      </c>
      <c r="X93" s="1" t="str">
        <v/>
      </c>
      <c r="Y93" s="1" t="str">
        <v/>
      </c>
      <c r="Z93" s="1" t="str">
        <v/>
      </c>
      <c r="AA93" s="1" t="str">
        <v>Week-end</v>
      </c>
      <c r="AB93" s="1" t="str">
        <v>Week-end</v>
      </c>
      <c r="AC93" s="1" t="str">
        <v/>
      </c>
      <c r="AD93" s="1" t="str">
        <v/>
      </c>
      <c r="AE93" s="1" t="str">
        <v/>
      </c>
      <c r="AF93" s="1" t="str">
        <v/>
      </c>
      <c r="AG93" s="1" t="str">
        <v>-</v>
      </c>
    </row>
    <row r="94" spans="2:33" x14ac:dyDescent="0.2">
      <c r="B94" s="1" t="str">
        <v>Mai</v>
      </c>
      <c r="C94" s="1" t="str">
        <v>1er mai</v>
      </c>
      <c r="D94" s="1" t="str">
        <v>Week-end</v>
      </c>
      <c r="E94" s="1" t="str">
        <v>Week-end</v>
      </c>
      <c r="F94" s="1" t="str">
        <v/>
      </c>
      <c r="G94" s="1" t="str">
        <v/>
      </c>
      <c r="H94" s="1" t="str">
        <v/>
      </c>
      <c r="I94" s="1" t="str">
        <v/>
      </c>
      <c r="J94" s="1" t="str">
        <v>8 mai</v>
      </c>
      <c r="K94" s="1" t="str">
        <v>Week-end</v>
      </c>
      <c r="L94" s="1" t="str">
        <v>Week-end</v>
      </c>
      <c r="M94" s="1" t="str">
        <v/>
      </c>
      <c r="N94" s="1" t="str">
        <v/>
      </c>
      <c r="O94" s="1" t="str">
        <v/>
      </c>
      <c r="P94" s="1" t="str">
        <v>Ascension</v>
      </c>
      <c r="Q94" s="1" t="str">
        <v/>
      </c>
      <c r="R94" s="1" t="str">
        <v>Week-end</v>
      </c>
      <c r="S94" s="1" t="str">
        <v>Week-end</v>
      </c>
      <c r="T94" s="1" t="str">
        <v/>
      </c>
      <c r="U94" s="1" t="str">
        <v/>
      </c>
      <c r="V94" s="1" t="str">
        <v/>
      </c>
      <c r="W94" s="1" t="str">
        <v/>
      </c>
      <c r="X94" s="1" t="str">
        <v/>
      </c>
      <c r="Y94" s="1" t="str">
        <v>Week-end</v>
      </c>
      <c r="Z94" s="1" t="str">
        <v>Week-end</v>
      </c>
      <c r="AA94" s="1" t="str">
        <v>Lundi de Pentecôte</v>
      </c>
      <c r="AB94" s="1" t="str">
        <v/>
      </c>
      <c r="AC94" s="1" t="str">
        <v/>
      </c>
      <c r="AD94" s="1" t="str">
        <v/>
      </c>
      <c r="AE94" s="1" t="str">
        <v/>
      </c>
      <c r="AF94" s="1" t="str">
        <v>Week-end</v>
      </c>
      <c r="AG94" s="1" t="str">
        <v>Week-end</v>
      </c>
    </row>
    <row r="95" spans="2:33" x14ac:dyDescent="0.2">
      <c r="B95" s="1" t="str">
        <v>Juin</v>
      </c>
      <c r="C95" s="1" t="str">
        <v/>
      </c>
      <c r="D95" s="1" t="str">
        <v/>
      </c>
      <c r="E95" s="1" t="str">
        <v/>
      </c>
      <c r="F95" s="1" t="str">
        <v/>
      </c>
      <c r="G95" s="1" t="str">
        <v/>
      </c>
      <c r="H95" s="1" t="str">
        <v>Week-end</v>
      </c>
      <c r="I95" s="1" t="str">
        <v>Week-end</v>
      </c>
      <c r="J95" s="1" t="str">
        <v/>
      </c>
      <c r="K95" s="1" t="str">
        <v/>
      </c>
      <c r="L95" s="1" t="str">
        <v/>
      </c>
      <c r="M95" s="1" t="str">
        <v/>
      </c>
      <c r="N95" s="1" t="str">
        <v/>
      </c>
      <c r="O95" s="1" t="str">
        <v>Week-end</v>
      </c>
      <c r="P95" s="1" t="str">
        <v>Week-end</v>
      </c>
      <c r="Q95" s="1" t="str">
        <v/>
      </c>
      <c r="R95" s="1" t="str">
        <v/>
      </c>
      <c r="S95" s="1" t="str">
        <v/>
      </c>
      <c r="T95" s="1" t="str">
        <v/>
      </c>
      <c r="U95" s="1" t="str">
        <v/>
      </c>
      <c r="V95" s="1" t="str">
        <v>Week-end</v>
      </c>
      <c r="W95" s="1" t="str">
        <v>Week-end</v>
      </c>
      <c r="X95" s="1" t="str">
        <v/>
      </c>
      <c r="Y95" s="1" t="str">
        <v/>
      </c>
      <c r="Z95" s="1" t="str">
        <v/>
      </c>
      <c r="AA95" s="1" t="str">
        <v/>
      </c>
      <c r="AB95" s="1" t="str">
        <v/>
      </c>
      <c r="AC95" s="1" t="str">
        <v>Week-end</v>
      </c>
      <c r="AD95" s="1" t="str">
        <v>Week-end</v>
      </c>
      <c r="AE95" s="1" t="str">
        <v/>
      </c>
      <c r="AF95" s="1" t="str">
        <v/>
      </c>
      <c r="AG95" s="1" t="str">
        <v>-</v>
      </c>
    </row>
    <row r="96" spans="2:33" x14ac:dyDescent="0.2">
      <c r="B96" s="1" t="str">
        <v>Juillet</v>
      </c>
      <c r="C96" s="1" t="str">
        <v/>
      </c>
      <c r="D96" s="1" t="str">
        <v/>
      </c>
      <c r="E96" s="1" t="str">
        <v/>
      </c>
      <c r="F96" s="1" t="str">
        <v>Week-end</v>
      </c>
      <c r="G96" s="1" t="str">
        <v>Week-end</v>
      </c>
      <c r="H96" s="1" t="str">
        <v/>
      </c>
      <c r="I96" s="1" t="str">
        <v/>
      </c>
      <c r="J96" s="1" t="str">
        <v/>
      </c>
      <c r="K96" s="1" t="str">
        <v/>
      </c>
      <c r="L96" s="1" t="str">
        <v/>
      </c>
      <c r="M96" s="1" t="str">
        <v>Week-end</v>
      </c>
      <c r="N96" s="1" t="str">
        <v>Week-end</v>
      </c>
      <c r="O96" s="1" t="str">
        <v/>
      </c>
      <c r="P96" s="1" t="str">
        <v>14 juillet</v>
      </c>
      <c r="Q96" s="1" t="str">
        <v/>
      </c>
      <c r="R96" s="1" t="str">
        <v/>
      </c>
      <c r="S96" s="1" t="str">
        <v/>
      </c>
      <c r="T96" s="1" t="str">
        <v>Week-end</v>
      </c>
      <c r="U96" s="1" t="str">
        <v>Week-end</v>
      </c>
      <c r="V96" s="1" t="str">
        <v/>
      </c>
      <c r="W96" s="1" t="str">
        <v/>
      </c>
      <c r="X96" s="1" t="str">
        <v/>
      </c>
      <c r="Y96" s="1" t="str">
        <v/>
      </c>
      <c r="Z96" s="1" t="str">
        <v/>
      </c>
      <c r="AA96" s="1" t="str">
        <v>Week-end</v>
      </c>
      <c r="AB96" s="1" t="str">
        <v>Week-end</v>
      </c>
      <c r="AC96" s="1" t="str">
        <v/>
      </c>
      <c r="AD96" s="1" t="str">
        <v/>
      </c>
      <c r="AE96" s="1" t="str">
        <v/>
      </c>
      <c r="AF96" s="1" t="str">
        <v/>
      </c>
      <c r="AG96" s="1" t="str">
        <v/>
      </c>
    </row>
    <row r="97" spans="2:33" x14ac:dyDescent="0.2">
      <c r="B97" s="1" t="str">
        <v>Août</v>
      </c>
      <c r="C97" s="1" t="str">
        <v>Week-end</v>
      </c>
      <c r="D97" s="1" t="str">
        <v>Week-end</v>
      </c>
      <c r="E97" s="1" t="str">
        <v/>
      </c>
      <c r="F97" s="1" t="str">
        <v/>
      </c>
      <c r="G97" s="1" t="str">
        <v/>
      </c>
      <c r="H97" s="1" t="str">
        <v/>
      </c>
      <c r="I97" s="1" t="str">
        <v/>
      </c>
      <c r="J97" s="1" t="str">
        <v>Week-end</v>
      </c>
      <c r="K97" s="1" t="str">
        <v>Week-end</v>
      </c>
      <c r="L97" s="1" t="str">
        <v/>
      </c>
      <c r="M97" s="1" t="str">
        <v/>
      </c>
      <c r="N97" s="1" t="str">
        <v/>
      </c>
      <c r="O97" s="1" t="str">
        <v/>
      </c>
      <c r="P97" s="1" t="str">
        <v/>
      </c>
      <c r="Q97" s="1" t="str">
        <v>Assomption</v>
      </c>
      <c r="R97" s="1" t="str">
        <v>Week-end</v>
      </c>
      <c r="S97" s="1" t="str">
        <v/>
      </c>
      <c r="T97" s="1" t="str">
        <v/>
      </c>
      <c r="U97" s="1" t="str">
        <v/>
      </c>
      <c r="V97" s="1" t="str">
        <v/>
      </c>
      <c r="W97" s="1" t="str">
        <v/>
      </c>
      <c r="X97" s="1" t="str">
        <v>Week-end</v>
      </c>
      <c r="Y97" s="1" t="str">
        <v>Week-end</v>
      </c>
      <c r="Z97" s="1" t="str">
        <v/>
      </c>
      <c r="AA97" s="1" t="str">
        <v/>
      </c>
      <c r="AB97" s="1" t="str">
        <v/>
      </c>
      <c r="AC97" s="1" t="str">
        <v/>
      </c>
      <c r="AD97" s="1" t="str">
        <v/>
      </c>
      <c r="AE97" s="1" t="str">
        <v>Week-end</v>
      </c>
      <c r="AF97" s="1" t="str">
        <v>Week-end</v>
      </c>
      <c r="AG97" s="1" t="str">
        <v/>
      </c>
    </row>
    <row r="98" spans="2:33" x14ac:dyDescent="0.2">
      <c r="B98" s="1" t="str">
        <v>Septembre</v>
      </c>
      <c r="C98" s="1" t="str">
        <v/>
      </c>
      <c r="D98" s="1" t="str">
        <v/>
      </c>
      <c r="E98" s="1" t="str">
        <v/>
      </c>
      <c r="F98" s="1" t="str">
        <v/>
      </c>
      <c r="G98" s="1" t="str">
        <v>Week-end</v>
      </c>
      <c r="H98" s="1" t="str">
        <v>Week-end</v>
      </c>
      <c r="I98" s="1" t="str">
        <v/>
      </c>
      <c r="J98" s="1" t="str">
        <v/>
      </c>
      <c r="K98" s="1" t="str">
        <v/>
      </c>
      <c r="L98" s="1" t="str">
        <v/>
      </c>
      <c r="M98" s="1" t="str">
        <v/>
      </c>
      <c r="N98" s="1" t="str">
        <v>Week-end</v>
      </c>
      <c r="O98" s="1" t="str">
        <v>Week-end</v>
      </c>
      <c r="P98" s="1" t="str">
        <v/>
      </c>
      <c r="Q98" s="1" t="str">
        <v/>
      </c>
      <c r="R98" s="1" t="str">
        <v/>
      </c>
      <c r="S98" s="1" t="str">
        <v/>
      </c>
      <c r="T98" s="1" t="str">
        <v/>
      </c>
      <c r="U98" s="1" t="str">
        <v>Week-end</v>
      </c>
      <c r="V98" s="1" t="str">
        <v>Week-end</v>
      </c>
      <c r="W98" s="1" t="str">
        <v/>
      </c>
      <c r="X98" s="1" t="str">
        <v/>
      </c>
      <c r="Y98" s="1" t="str">
        <v/>
      </c>
      <c r="Z98" s="1" t="str">
        <v/>
      </c>
      <c r="AA98" s="1" t="str">
        <v/>
      </c>
      <c r="AB98" s="1" t="str">
        <v>Week-end</v>
      </c>
      <c r="AC98" s="1" t="str">
        <v>Week-end</v>
      </c>
      <c r="AD98" s="1" t="str">
        <v/>
      </c>
      <c r="AE98" s="1" t="str">
        <v/>
      </c>
      <c r="AF98" s="1" t="str">
        <v/>
      </c>
      <c r="AG98" s="1" t="str">
        <v>-</v>
      </c>
    </row>
    <row r="99" spans="2:33" x14ac:dyDescent="0.2">
      <c r="B99" s="1" t="str">
        <v>Octobre</v>
      </c>
      <c r="C99" s="1" t="str">
        <v/>
      </c>
      <c r="D99" s="1" t="str">
        <v/>
      </c>
      <c r="E99" s="1" t="str">
        <v>Week-end</v>
      </c>
      <c r="F99" s="1" t="str">
        <v>Week-end</v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  <c r="L99" s="1" t="str">
        <v>Week-end</v>
      </c>
      <c r="M99" s="1" t="str">
        <v>Week-end</v>
      </c>
      <c r="N99" s="1" t="str">
        <v/>
      </c>
      <c r="O99" s="1" t="str">
        <v/>
      </c>
      <c r="P99" s="1" t="str">
        <v/>
      </c>
      <c r="Q99" s="1" t="str">
        <v/>
      </c>
      <c r="R99" s="1" t="str">
        <v/>
      </c>
      <c r="S99" s="1" t="str">
        <v>Week-end</v>
      </c>
      <c r="T99" s="1" t="str">
        <v>Week-end</v>
      </c>
      <c r="U99" s="1" t="str">
        <v/>
      </c>
      <c r="V99" s="1" t="str">
        <v/>
      </c>
      <c r="W99" s="1" t="str">
        <v/>
      </c>
      <c r="X99" s="1" t="str">
        <v/>
      </c>
      <c r="Y99" s="1" t="str">
        <v/>
      </c>
      <c r="Z99" s="1" t="str">
        <v>Week-end</v>
      </c>
      <c r="AA99" s="1" t="str">
        <v>Week-end</v>
      </c>
      <c r="AB99" s="1" t="str">
        <v/>
      </c>
      <c r="AC99" s="1" t="str">
        <v/>
      </c>
      <c r="AD99" s="1" t="str">
        <v/>
      </c>
      <c r="AE99" s="1" t="str">
        <v/>
      </c>
      <c r="AF99" s="1" t="str">
        <v/>
      </c>
      <c r="AG99" s="1" t="str">
        <v>Week-end</v>
      </c>
    </row>
    <row r="100" spans="2:33" x14ac:dyDescent="0.2">
      <c r="B100" s="1" t="str">
        <v>Novembre</v>
      </c>
      <c r="C100" s="1" t="str">
        <v>Toussaint</v>
      </c>
      <c r="D100" s="1" t="str">
        <v/>
      </c>
      <c r="E100" s="1" t="str">
        <v/>
      </c>
      <c r="F100" s="1" t="str">
        <v/>
      </c>
      <c r="G100" s="1" t="str">
        <v/>
      </c>
      <c r="H100" s="1" t="str">
        <v/>
      </c>
      <c r="I100" s="1" t="str">
        <v>Week-end</v>
      </c>
      <c r="J100" s="1" t="str">
        <v>Week-end</v>
      </c>
      <c r="K100" s="1" t="str">
        <v/>
      </c>
      <c r="L100" s="1" t="str">
        <v/>
      </c>
      <c r="M100" s="1" t="str">
        <v>11 novembre</v>
      </c>
      <c r="N100" s="1" t="str">
        <v/>
      </c>
      <c r="O100" s="1" t="str">
        <v/>
      </c>
      <c r="P100" s="1" t="str">
        <v>Week-end</v>
      </c>
      <c r="Q100" s="1" t="str">
        <v>Week-end</v>
      </c>
      <c r="R100" s="1" t="str">
        <v/>
      </c>
      <c r="S100" s="1" t="str">
        <v/>
      </c>
      <c r="T100" s="1" t="str">
        <v/>
      </c>
      <c r="U100" s="1" t="str">
        <v/>
      </c>
      <c r="V100" s="1" t="str">
        <v/>
      </c>
      <c r="W100" s="1" t="str">
        <v>Week-end</v>
      </c>
      <c r="X100" s="1" t="str">
        <v>Week-end</v>
      </c>
      <c r="Y100" s="1" t="str">
        <v/>
      </c>
      <c r="Z100" s="1" t="str">
        <v/>
      </c>
      <c r="AA100" s="1" t="str">
        <v/>
      </c>
      <c r="AB100" s="1" t="str">
        <v/>
      </c>
      <c r="AC100" s="1" t="str">
        <v/>
      </c>
      <c r="AD100" s="1" t="str">
        <v>Week-end</v>
      </c>
      <c r="AE100" s="1" t="str">
        <v>Week-end</v>
      </c>
      <c r="AF100" s="1" t="str">
        <v/>
      </c>
      <c r="AG100" s="1" t="str">
        <v>-</v>
      </c>
    </row>
    <row r="101" spans="2:33" x14ac:dyDescent="0.2">
      <c r="B101" s="1" t="str">
        <v>Décembre</v>
      </c>
      <c r="C101" s="1" t="str">
        <v/>
      </c>
      <c r="D101" s="1" t="str">
        <v/>
      </c>
      <c r="E101" s="1" t="str">
        <v/>
      </c>
      <c r="F101" s="1" t="str">
        <v/>
      </c>
      <c r="G101" s="1" t="str">
        <v>Week-end</v>
      </c>
      <c r="H101" s="1" t="str">
        <v>Week-end</v>
      </c>
      <c r="I101" s="1" t="str">
        <v/>
      </c>
      <c r="J101" s="1" t="str">
        <v/>
      </c>
      <c r="K101" s="1" t="str">
        <v/>
      </c>
      <c r="L101" s="1" t="str">
        <v/>
      </c>
      <c r="M101" s="1" t="str">
        <v/>
      </c>
      <c r="N101" s="1" t="str">
        <v>Week-end</v>
      </c>
      <c r="O101" s="1" t="str">
        <v>Week-end</v>
      </c>
      <c r="P101" s="1" t="str">
        <v/>
      </c>
      <c r="Q101" s="1" t="str">
        <v/>
      </c>
      <c r="R101" s="1" t="str">
        <v/>
      </c>
      <c r="S101" s="1" t="str">
        <v/>
      </c>
      <c r="T101" s="1" t="str">
        <v/>
      </c>
      <c r="U101" s="1" t="str">
        <v>Week-end</v>
      </c>
      <c r="V101" s="1" t="str">
        <v>Week-end</v>
      </c>
      <c r="W101" s="1" t="str">
        <v/>
      </c>
      <c r="X101" s="1" t="str">
        <v/>
      </c>
      <c r="Y101" s="1" t="str">
        <v/>
      </c>
      <c r="Z101" s="1" t="str">
        <v/>
      </c>
      <c r="AA101" s="1" t="str">
        <v>Jour de Noël</v>
      </c>
      <c r="AB101" s="1" t="str">
        <v>Week-end</v>
      </c>
      <c r="AC101" s="1" t="str">
        <v>Week-end</v>
      </c>
      <c r="AD101" s="1" t="str">
        <v/>
      </c>
      <c r="AE101" s="1" t="str">
        <v/>
      </c>
      <c r="AF101" s="1" t="str">
        <v/>
      </c>
      <c r="AG101" s="1" t="str">
        <v/>
      </c>
    </row>
    <row r="104" spans="2:33" x14ac:dyDescent="0.2">
      <c r="B104" s="1">
        <f>$L$3</f>
        <v>2026</v>
      </c>
      <c r="C104" s="1" cm="1">
        <f t="array" ref="C104:AG104">_xlfn.MAKEARRAY(1,31,_xlfn.LAMBDA(_xlpm.r,_xlpm.c,_xlpm.c))</f>
        <v>1</v>
      </c>
      <c r="D104" s="1">
        <v>2</v>
      </c>
      <c r="E104" s="1">
        <v>3</v>
      </c>
      <c r="F104" s="1">
        <v>4</v>
      </c>
      <c r="G104" s="1">
        <v>5</v>
      </c>
      <c r="H104" s="1">
        <v>6</v>
      </c>
      <c r="I104" s="1">
        <v>7</v>
      </c>
      <c r="J104" s="1">
        <v>8</v>
      </c>
      <c r="K104" s="1">
        <v>9</v>
      </c>
      <c r="L104" s="1">
        <v>10</v>
      </c>
      <c r="M104" s="1">
        <v>11</v>
      </c>
      <c r="N104" s="1">
        <v>12</v>
      </c>
      <c r="O104" s="1">
        <v>13</v>
      </c>
      <c r="P104" s="1">
        <v>14</v>
      </c>
      <c r="Q104" s="1">
        <v>15</v>
      </c>
      <c r="R104" s="1">
        <v>16</v>
      </c>
      <c r="S104" s="1">
        <v>17</v>
      </c>
      <c r="T104" s="1">
        <v>18</v>
      </c>
      <c r="U104" s="1">
        <v>19</v>
      </c>
      <c r="V104" s="1">
        <v>20</v>
      </c>
      <c r="W104" s="1">
        <v>21</v>
      </c>
      <c r="X104" s="1">
        <v>22</v>
      </c>
      <c r="Y104" s="1">
        <v>23</v>
      </c>
      <c r="Z104" s="1">
        <v>24</v>
      </c>
      <c r="AA104" s="1">
        <v>25</v>
      </c>
      <c r="AB104" s="1">
        <v>26</v>
      </c>
      <c r="AC104" s="1">
        <v>27</v>
      </c>
      <c r="AD104" s="1">
        <v>28</v>
      </c>
      <c r="AE104" s="1">
        <v>29</v>
      </c>
      <c r="AF104" s="1">
        <v>30</v>
      </c>
      <c r="AG104" s="1">
        <v>31</v>
      </c>
    </row>
    <row r="105" spans="2:33" x14ac:dyDescent="0.2">
      <c r="B105" s="1" t="str" cm="1">
        <f t="array" ref="B105:B116">_xlfn.MAKEARRAY(12,1,_xlfn.LAMBDA(_xlpm.r,_xlpm.c,PROPER(TEXT(DATE(2000,_xlpm.r,1),"mmmm"))))</f>
        <v>Janvier</v>
      </c>
      <c r="C105" s="1" t="str" cm="1">
        <f t="array" ref="C105:AG116">_xlfn.MAKEARRAY(12,31,_xlfn.LAMBDA(_xlpm.r,_xlpm.c,IF(MONTH(DATE($B$104,_xlpm.r,_xlpm.c))=_xlpm.r,UPPER(LEFT(TEXT(DATE($B$104,_xlpm.r,_xlpm.c),"JJJJ"),1)),"")))</f>
        <v>J</v>
      </c>
      <c r="D105" s="1" t="str">
        <v>V</v>
      </c>
      <c r="E105" s="1" t="str">
        <v>S</v>
      </c>
      <c r="F105" s="1" t="str">
        <v>D</v>
      </c>
      <c r="G105" s="1" t="str">
        <v>L</v>
      </c>
      <c r="H105" s="1" t="str">
        <v>M</v>
      </c>
      <c r="I105" s="1" t="str">
        <v>M</v>
      </c>
      <c r="J105" s="1" t="str">
        <v>J</v>
      </c>
      <c r="K105" s="1" t="str">
        <v>V</v>
      </c>
      <c r="L105" s="1" t="str">
        <v>S</v>
      </c>
      <c r="M105" s="1" t="str">
        <v>D</v>
      </c>
      <c r="N105" s="1" t="str">
        <v>L</v>
      </c>
      <c r="O105" s="1" t="str">
        <v>M</v>
      </c>
      <c r="P105" s="1" t="str">
        <v>M</v>
      </c>
      <c r="Q105" s="1" t="str">
        <v>J</v>
      </c>
      <c r="R105" s="1" t="str">
        <v>V</v>
      </c>
      <c r="S105" s="1" t="str">
        <v>S</v>
      </c>
      <c r="T105" s="1" t="str">
        <v>D</v>
      </c>
      <c r="U105" s="1" t="str">
        <v>L</v>
      </c>
      <c r="V105" s="1" t="str">
        <v>M</v>
      </c>
      <c r="W105" s="1" t="str">
        <v>M</v>
      </c>
      <c r="X105" s="1" t="str">
        <v>J</v>
      </c>
      <c r="Y105" s="1" t="str">
        <v>V</v>
      </c>
      <c r="Z105" s="1" t="str">
        <v>S</v>
      </c>
      <c r="AA105" s="1" t="str">
        <v>D</v>
      </c>
      <c r="AB105" s="1" t="str">
        <v>L</v>
      </c>
      <c r="AC105" s="1" t="str">
        <v>M</v>
      </c>
      <c r="AD105" s="1" t="str">
        <v>M</v>
      </c>
      <c r="AE105" s="1" t="str">
        <v>J</v>
      </c>
      <c r="AF105" s="1" t="str">
        <v>V</v>
      </c>
      <c r="AG105" s="1" t="str">
        <v>S</v>
      </c>
    </row>
    <row r="106" spans="2:33" x14ac:dyDescent="0.2">
      <c r="B106" s="1" t="str">
        <v>Février</v>
      </c>
      <c r="C106" s="1" t="str">
        <v>D</v>
      </c>
      <c r="D106" s="1" t="str">
        <v>L</v>
      </c>
      <c r="E106" s="1" t="str">
        <v>M</v>
      </c>
      <c r="F106" s="1" t="str">
        <v>M</v>
      </c>
      <c r="G106" s="1" t="str">
        <v>J</v>
      </c>
      <c r="H106" s="1" t="str">
        <v>V</v>
      </c>
      <c r="I106" s="1" t="str">
        <v>S</v>
      </c>
      <c r="J106" s="1" t="str">
        <v>D</v>
      </c>
      <c r="K106" s="1" t="str">
        <v>L</v>
      </c>
      <c r="L106" s="1" t="str">
        <v>M</v>
      </c>
      <c r="M106" s="1" t="str">
        <v>M</v>
      </c>
      <c r="N106" s="1" t="str">
        <v>J</v>
      </c>
      <c r="O106" s="1" t="str">
        <v>V</v>
      </c>
      <c r="P106" s="1" t="str">
        <v>S</v>
      </c>
      <c r="Q106" s="1" t="str">
        <v>D</v>
      </c>
      <c r="R106" s="1" t="str">
        <v>L</v>
      </c>
      <c r="S106" s="1" t="str">
        <v>M</v>
      </c>
      <c r="T106" s="1" t="str">
        <v>M</v>
      </c>
      <c r="U106" s="1" t="str">
        <v>J</v>
      </c>
      <c r="V106" s="1" t="str">
        <v>V</v>
      </c>
      <c r="W106" s="1" t="str">
        <v>S</v>
      </c>
      <c r="X106" s="1" t="str">
        <v>D</v>
      </c>
      <c r="Y106" s="1" t="str">
        <v>L</v>
      </c>
      <c r="Z106" s="1" t="str">
        <v>M</v>
      </c>
      <c r="AA106" s="1" t="str">
        <v>M</v>
      </c>
      <c r="AB106" s="1" t="str">
        <v>J</v>
      </c>
      <c r="AC106" s="1" t="str">
        <v>V</v>
      </c>
      <c r="AD106" s="1" t="str">
        <v>S</v>
      </c>
      <c r="AE106" s="1" t="str">
        <v/>
      </c>
      <c r="AF106" s="1" t="str">
        <v/>
      </c>
      <c r="AG106" s="1" t="str">
        <v/>
      </c>
    </row>
    <row r="107" spans="2:33" x14ac:dyDescent="0.2">
      <c r="B107" s="1" t="str">
        <v>Mars</v>
      </c>
      <c r="C107" s="1" t="str">
        <v>D</v>
      </c>
      <c r="D107" s="1" t="str">
        <v>L</v>
      </c>
      <c r="E107" s="1" t="str">
        <v>M</v>
      </c>
      <c r="F107" s="1" t="str">
        <v>M</v>
      </c>
      <c r="G107" s="1" t="str">
        <v>J</v>
      </c>
      <c r="H107" s="1" t="str">
        <v>V</v>
      </c>
      <c r="I107" s="1" t="str">
        <v>S</v>
      </c>
      <c r="J107" s="1" t="str">
        <v>D</v>
      </c>
      <c r="K107" s="1" t="str">
        <v>L</v>
      </c>
      <c r="L107" s="1" t="str">
        <v>M</v>
      </c>
      <c r="M107" s="1" t="str">
        <v>M</v>
      </c>
      <c r="N107" s="1" t="str">
        <v>J</v>
      </c>
      <c r="O107" s="1" t="str">
        <v>V</v>
      </c>
      <c r="P107" s="1" t="str">
        <v>S</v>
      </c>
      <c r="Q107" s="1" t="str">
        <v>D</v>
      </c>
      <c r="R107" s="1" t="str">
        <v>L</v>
      </c>
      <c r="S107" s="1" t="str">
        <v>M</v>
      </c>
      <c r="T107" s="1" t="str">
        <v>M</v>
      </c>
      <c r="U107" s="1" t="str">
        <v>J</v>
      </c>
      <c r="V107" s="1" t="str">
        <v>V</v>
      </c>
      <c r="W107" s="1" t="str">
        <v>S</v>
      </c>
      <c r="X107" s="1" t="str">
        <v>D</v>
      </c>
      <c r="Y107" s="1" t="str">
        <v>L</v>
      </c>
      <c r="Z107" s="1" t="str">
        <v>M</v>
      </c>
      <c r="AA107" s="1" t="str">
        <v>M</v>
      </c>
      <c r="AB107" s="1" t="str">
        <v>J</v>
      </c>
      <c r="AC107" s="1" t="str">
        <v>V</v>
      </c>
      <c r="AD107" s="1" t="str">
        <v>S</v>
      </c>
      <c r="AE107" s="1" t="str">
        <v>D</v>
      </c>
      <c r="AF107" s="1" t="str">
        <v>L</v>
      </c>
      <c r="AG107" s="1" t="str">
        <v>M</v>
      </c>
    </row>
    <row r="108" spans="2:33" x14ac:dyDescent="0.2">
      <c r="B108" s="1" t="str">
        <v>Avril</v>
      </c>
      <c r="C108" s="1" t="str">
        <v>M</v>
      </c>
      <c r="D108" s="1" t="str">
        <v>J</v>
      </c>
      <c r="E108" s="1" t="str">
        <v>V</v>
      </c>
      <c r="F108" s="1" t="str">
        <v>S</v>
      </c>
      <c r="G108" s="1" t="str">
        <v>D</v>
      </c>
      <c r="H108" s="1" t="str">
        <v>L</v>
      </c>
      <c r="I108" s="1" t="str">
        <v>M</v>
      </c>
      <c r="J108" s="1" t="str">
        <v>M</v>
      </c>
      <c r="K108" s="1" t="str">
        <v>J</v>
      </c>
      <c r="L108" s="1" t="str">
        <v>V</v>
      </c>
      <c r="M108" s="1" t="str">
        <v>S</v>
      </c>
      <c r="N108" s="1" t="str">
        <v>D</v>
      </c>
      <c r="O108" s="1" t="str">
        <v>L</v>
      </c>
      <c r="P108" s="1" t="str">
        <v>M</v>
      </c>
      <c r="Q108" s="1" t="str">
        <v>M</v>
      </c>
      <c r="R108" s="1" t="str">
        <v>J</v>
      </c>
      <c r="S108" s="1" t="str">
        <v>V</v>
      </c>
      <c r="T108" s="1" t="str">
        <v>S</v>
      </c>
      <c r="U108" s="1" t="str">
        <v>D</v>
      </c>
      <c r="V108" s="1" t="str">
        <v>L</v>
      </c>
      <c r="W108" s="1" t="str">
        <v>M</v>
      </c>
      <c r="X108" s="1" t="str">
        <v>M</v>
      </c>
      <c r="Y108" s="1" t="str">
        <v>J</v>
      </c>
      <c r="Z108" s="1" t="str">
        <v>V</v>
      </c>
      <c r="AA108" s="1" t="str">
        <v>S</v>
      </c>
      <c r="AB108" s="1" t="str">
        <v>D</v>
      </c>
      <c r="AC108" s="1" t="str">
        <v>L</v>
      </c>
      <c r="AD108" s="1" t="str">
        <v>M</v>
      </c>
      <c r="AE108" s="1" t="str">
        <v>M</v>
      </c>
      <c r="AF108" s="1" t="str">
        <v>J</v>
      </c>
      <c r="AG108" s="1" t="str">
        <v/>
      </c>
    </row>
    <row r="109" spans="2:33" x14ac:dyDescent="0.2">
      <c r="B109" s="1" t="str">
        <v>Mai</v>
      </c>
      <c r="C109" s="1" t="str">
        <v>V</v>
      </c>
      <c r="D109" s="1" t="str">
        <v>S</v>
      </c>
      <c r="E109" s="1" t="str">
        <v>D</v>
      </c>
      <c r="F109" s="1" t="str">
        <v>L</v>
      </c>
      <c r="G109" s="1" t="str">
        <v>M</v>
      </c>
      <c r="H109" s="1" t="str">
        <v>M</v>
      </c>
      <c r="I109" s="1" t="str">
        <v>J</v>
      </c>
      <c r="J109" s="1" t="str">
        <v>V</v>
      </c>
      <c r="K109" s="1" t="str">
        <v>S</v>
      </c>
      <c r="L109" s="1" t="str">
        <v>D</v>
      </c>
      <c r="M109" s="1" t="str">
        <v>L</v>
      </c>
      <c r="N109" s="1" t="str">
        <v>M</v>
      </c>
      <c r="O109" s="1" t="str">
        <v>M</v>
      </c>
      <c r="P109" s="1" t="str">
        <v>J</v>
      </c>
      <c r="Q109" s="1" t="str">
        <v>V</v>
      </c>
      <c r="R109" s="1" t="str">
        <v>S</v>
      </c>
      <c r="S109" s="1" t="str">
        <v>D</v>
      </c>
      <c r="T109" s="1" t="str">
        <v>L</v>
      </c>
      <c r="U109" s="1" t="str">
        <v>M</v>
      </c>
      <c r="V109" s="1" t="str">
        <v>M</v>
      </c>
      <c r="W109" s="1" t="str">
        <v>J</v>
      </c>
      <c r="X109" s="1" t="str">
        <v>V</v>
      </c>
      <c r="Y109" s="1" t="str">
        <v>S</v>
      </c>
      <c r="Z109" s="1" t="str">
        <v>D</v>
      </c>
      <c r="AA109" s="1" t="str">
        <v>L</v>
      </c>
      <c r="AB109" s="1" t="str">
        <v>M</v>
      </c>
      <c r="AC109" s="1" t="str">
        <v>M</v>
      </c>
      <c r="AD109" s="1" t="str">
        <v>J</v>
      </c>
      <c r="AE109" s="1" t="str">
        <v>V</v>
      </c>
      <c r="AF109" s="1" t="str">
        <v>S</v>
      </c>
      <c r="AG109" s="1" t="str">
        <v>D</v>
      </c>
    </row>
    <row r="110" spans="2:33" x14ac:dyDescent="0.2">
      <c r="B110" s="1" t="str">
        <v>Juin</v>
      </c>
      <c r="C110" s="1" t="str">
        <v>L</v>
      </c>
      <c r="D110" s="1" t="str">
        <v>M</v>
      </c>
      <c r="E110" s="1" t="str">
        <v>M</v>
      </c>
      <c r="F110" s="1" t="str">
        <v>J</v>
      </c>
      <c r="G110" s="1" t="str">
        <v>V</v>
      </c>
      <c r="H110" s="1" t="str">
        <v>S</v>
      </c>
      <c r="I110" s="1" t="str">
        <v>D</v>
      </c>
      <c r="J110" s="1" t="str">
        <v>L</v>
      </c>
      <c r="K110" s="1" t="str">
        <v>M</v>
      </c>
      <c r="L110" s="1" t="str">
        <v>M</v>
      </c>
      <c r="M110" s="1" t="str">
        <v>J</v>
      </c>
      <c r="N110" s="1" t="str">
        <v>V</v>
      </c>
      <c r="O110" s="1" t="str">
        <v>S</v>
      </c>
      <c r="P110" s="1" t="str">
        <v>D</v>
      </c>
      <c r="Q110" s="1" t="str">
        <v>L</v>
      </c>
      <c r="R110" s="1" t="str">
        <v>M</v>
      </c>
      <c r="S110" s="1" t="str">
        <v>M</v>
      </c>
      <c r="T110" s="1" t="str">
        <v>J</v>
      </c>
      <c r="U110" s="1" t="str">
        <v>V</v>
      </c>
      <c r="V110" s="1" t="str">
        <v>S</v>
      </c>
      <c r="W110" s="1" t="str">
        <v>D</v>
      </c>
      <c r="X110" s="1" t="str">
        <v>L</v>
      </c>
      <c r="Y110" s="1" t="str">
        <v>M</v>
      </c>
      <c r="Z110" s="1" t="str">
        <v>M</v>
      </c>
      <c r="AA110" s="1" t="str">
        <v>J</v>
      </c>
      <c r="AB110" s="1" t="str">
        <v>V</v>
      </c>
      <c r="AC110" s="1" t="str">
        <v>S</v>
      </c>
      <c r="AD110" s="1" t="str">
        <v>D</v>
      </c>
      <c r="AE110" s="1" t="str">
        <v>L</v>
      </c>
      <c r="AF110" s="1" t="str">
        <v>M</v>
      </c>
      <c r="AG110" s="1" t="str">
        <v/>
      </c>
    </row>
    <row r="111" spans="2:33" x14ac:dyDescent="0.2">
      <c r="B111" s="1" t="str">
        <v>Juillet</v>
      </c>
      <c r="C111" s="1" t="str">
        <v>M</v>
      </c>
      <c r="D111" s="1" t="str">
        <v>J</v>
      </c>
      <c r="E111" s="1" t="str">
        <v>V</v>
      </c>
      <c r="F111" s="1" t="str">
        <v>S</v>
      </c>
      <c r="G111" s="1" t="str">
        <v>D</v>
      </c>
      <c r="H111" s="1" t="str">
        <v>L</v>
      </c>
      <c r="I111" s="1" t="str">
        <v>M</v>
      </c>
      <c r="J111" s="1" t="str">
        <v>M</v>
      </c>
      <c r="K111" s="1" t="str">
        <v>J</v>
      </c>
      <c r="L111" s="1" t="str">
        <v>V</v>
      </c>
      <c r="M111" s="1" t="str">
        <v>S</v>
      </c>
      <c r="N111" s="1" t="str">
        <v>D</v>
      </c>
      <c r="O111" s="1" t="str">
        <v>L</v>
      </c>
      <c r="P111" s="1" t="str">
        <v>M</v>
      </c>
      <c r="Q111" s="1" t="str">
        <v>M</v>
      </c>
      <c r="R111" s="1" t="str">
        <v>J</v>
      </c>
      <c r="S111" s="1" t="str">
        <v>V</v>
      </c>
      <c r="T111" s="1" t="str">
        <v>S</v>
      </c>
      <c r="U111" s="1" t="str">
        <v>D</v>
      </c>
      <c r="V111" s="1" t="str">
        <v>L</v>
      </c>
      <c r="W111" s="1" t="str">
        <v>M</v>
      </c>
      <c r="X111" s="1" t="str">
        <v>M</v>
      </c>
      <c r="Y111" s="1" t="str">
        <v>J</v>
      </c>
      <c r="Z111" s="1" t="str">
        <v>V</v>
      </c>
      <c r="AA111" s="1" t="str">
        <v>S</v>
      </c>
      <c r="AB111" s="1" t="str">
        <v>D</v>
      </c>
      <c r="AC111" s="1" t="str">
        <v>L</v>
      </c>
      <c r="AD111" s="1" t="str">
        <v>M</v>
      </c>
      <c r="AE111" s="1" t="str">
        <v>M</v>
      </c>
      <c r="AF111" s="1" t="str">
        <v>J</v>
      </c>
      <c r="AG111" s="1" t="str">
        <v>V</v>
      </c>
    </row>
    <row r="112" spans="2:33" x14ac:dyDescent="0.2">
      <c r="B112" s="1" t="str">
        <v>Août</v>
      </c>
      <c r="C112" s="1" t="str">
        <v>S</v>
      </c>
      <c r="D112" s="1" t="str">
        <v>D</v>
      </c>
      <c r="E112" s="1" t="str">
        <v>L</v>
      </c>
      <c r="F112" s="1" t="str">
        <v>M</v>
      </c>
      <c r="G112" s="1" t="str">
        <v>M</v>
      </c>
      <c r="H112" s="1" t="str">
        <v>J</v>
      </c>
      <c r="I112" s="1" t="str">
        <v>V</v>
      </c>
      <c r="J112" s="1" t="str">
        <v>S</v>
      </c>
      <c r="K112" s="1" t="str">
        <v>D</v>
      </c>
      <c r="L112" s="1" t="str">
        <v>L</v>
      </c>
      <c r="M112" s="1" t="str">
        <v>M</v>
      </c>
      <c r="N112" s="1" t="str">
        <v>M</v>
      </c>
      <c r="O112" s="1" t="str">
        <v>J</v>
      </c>
      <c r="P112" s="1" t="str">
        <v>V</v>
      </c>
      <c r="Q112" s="1" t="str">
        <v>S</v>
      </c>
      <c r="R112" s="1" t="str">
        <v>D</v>
      </c>
      <c r="S112" s="1" t="str">
        <v>L</v>
      </c>
      <c r="T112" s="1" t="str">
        <v>M</v>
      </c>
      <c r="U112" s="1" t="str">
        <v>M</v>
      </c>
      <c r="V112" s="1" t="str">
        <v>J</v>
      </c>
      <c r="W112" s="1" t="str">
        <v>V</v>
      </c>
      <c r="X112" s="1" t="str">
        <v>S</v>
      </c>
      <c r="Y112" s="1" t="str">
        <v>D</v>
      </c>
      <c r="Z112" s="1" t="str">
        <v>L</v>
      </c>
      <c r="AA112" s="1" t="str">
        <v>M</v>
      </c>
      <c r="AB112" s="1" t="str">
        <v>M</v>
      </c>
      <c r="AC112" s="1" t="str">
        <v>J</v>
      </c>
      <c r="AD112" s="1" t="str">
        <v>V</v>
      </c>
      <c r="AE112" s="1" t="str">
        <v>S</v>
      </c>
      <c r="AF112" s="1" t="str">
        <v>D</v>
      </c>
      <c r="AG112" s="1" t="str">
        <v>L</v>
      </c>
    </row>
    <row r="113" spans="2:33" x14ac:dyDescent="0.2">
      <c r="B113" s="1" t="str">
        <v>Septembre</v>
      </c>
      <c r="C113" s="1" t="str">
        <v>M</v>
      </c>
      <c r="D113" s="1" t="str">
        <v>M</v>
      </c>
      <c r="E113" s="1" t="str">
        <v>J</v>
      </c>
      <c r="F113" s="1" t="str">
        <v>V</v>
      </c>
      <c r="G113" s="1" t="str">
        <v>S</v>
      </c>
      <c r="H113" s="1" t="str">
        <v>D</v>
      </c>
      <c r="I113" s="1" t="str">
        <v>L</v>
      </c>
      <c r="J113" s="1" t="str">
        <v>M</v>
      </c>
      <c r="K113" s="1" t="str">
        <v>M</v>
      </c>
      <c r="L113" s="1" t="str">
        <v>J</v>
      </c>
      <c r="M113" s="1" t="str">
        <v>V</v>
      </c>
      <c r="N113" s="1" t="str">
        <v>S</v>
      </c>
      <c r="O113" s="1" t="str">
        <v>D</v>
      </c>
      <c r="P113" s="1" t="str">
        <v>L</v>
      </c>
      <c r="Q113" s="1" t="str">
        <v>M</v>
      </c>
      <c r="R113" s="1" t="str">
        <v>M</v>
      </c>
      <c r="S113" s="1" t="str">
        <v>J</v>
      </c>
      <c r="T113" s="1" t="str">
        <v>V</v>
      </c>
      <c r="U113" s="1" t="str">
        <v>S</v>
      </c>
      <c r="V113" s="1" t="str">
        <v>D</v>
      </c>
      <c r="W113" s="1" t="str">
        <v>L</v>
      </c>
      <c r="X113" s="1" t="str">
        <v>M</v>
      </c>
      <c r="Y113" s="1" t="str">
        <v>M</v>
      </c>
      <c r="Z113" s="1" t="str">
        <v>J</v>
      </c>
      <c r="AA113" s="1" t="str">
        <v>V</v>
      </c>
      <c r="AB113" s="1" t="str">
        <v>S</v>
      </c>
      <c r="AC113" s="1" t="str">
        <v>D</v>
      </c>
      <c r="AD113" s="1" t="str">
        <v>L</v>
      </c>
      <c r="AE113" s="1" t="str">
        <v>M</v>
      </c>
      <c r="AF113" s="1" t="str">
        <v>M</v>
      </c>
      <c r="AG113" s="1" t="str">
        <v/>
      </c>
    </row>
    <row r="114" spans="2:33" x14ac:dyDescent="0.2">
      <c r="B114" s="1" t="str">
        <v>Octobre</v>
      </c>
      <c r="C114" s="1" t="str">
        <v>J</v>
      </c>
      <c r="D114" s="1" t="str">
        <v>V</v>
      </c>
      <c r="E114" s="1" t="str">
        <v>S</v>
      </c>
      <c r="F114" s="1" t="str">
        <v>D</v>
      </c>
      <c r="G114" s="1" t="str">
        <v>L</v>
      </c>
      <c r="H114" s="1" t="str">
        <v>M</v>
      </c>
      <c r="I114" s="1" t="str">
        <v>M</v>
      </c>
      <c r="J114" s="1" t="str">
        <v>J</v>
      </c>
      <c r="K114" s="1" t="str">
        <v>V</v>
      </c>
      <c r="L114" s="1" t="str">
        <v>S</v>
      </c>
      <c r="M114" s="1" t="str">
        <v>D</v>
      </c>
      <c r="N114" s="1" t="str">
        <v>L</v>
      </c>
      <c r="O114" s="1" t="str">
        <v>M</v>
      </c>
      <c r="P114" s="1" t="str">
        <v>M</v>
      </c>
      <c r="Q114" s="1" t="str">
        <v>J</v>
      </c>
      <c r="R114" s="1" t="str">
        <v>V</v>
      </c>
      <c r="S114" s="1" t="str">
        <v>S</v>
      </c>
      <c r="T114" s="1" t="str">
        <v>D</v>
      </c>
      <c r="U114" s="1" t="str">
        <v>L</v>
      </c>
      <c r="V114" s="1" t="str">
        <v>M</v>
      </c>
      <c r="W114" s="1" t="str">
        <v>M</v>
      </c>
      <c r="X114" s="1" t="str">
        <v>J</v>
      </c>
      <c r="Y114" s="1" t="str">
        <v>V</v>
      </c>
      <c r="Z114" s="1" t="str">
        <v>S</v>
      </c>
      <c r="AA114" s="1" t="str">
        <v>D</v>
      </c>
      <c r="AB114" s="1" t="str">
        <v>L</v>
      </c>
      <c r="AC114" s="1" t="str">
        <v>M</v>
      </c>
      <c r="AD114" s="1" t="str">
        <v>M</v>
      </c>
      <c r="AE114" s="1" t="str">
        <v>J</v>
      </c>
      <c r="AF114" s="1" t="str">
        <v>V</v>
      </c>
      <c r="AG114" s="1" t="str">
        <v>S</v>
      </c>
    </row>
    <row r="115" spans="2:33" x14ac:dyDescent="0.2">
      <c r="B115" s="1" t="str">
        <v>Novembre</v>
      </c>
      <c r="C115" s="1" t="str">
        <v>D</v>
      </c>
      <c r="D115" s="1" t="str">
        <v>L</v>
      </c>
      <c r="E115" s="1" t="str">
        <v>M</v>
      </c>
      <c r="F115" s="1" t="str">
        <v>M</v>
      </c>
      <c r="G115" s="1" t="str">
        <v>J</v>
      </c>
      <c r="H115" s="1" t="str">
        <v>V</v>
      </c>
      <c r="I115" s="1" t="str">
        <v>S</v>
      </c>
      <c r="J115" s="1" t="str">
        <v>D</v>
      </c>
      <c r="K115" s="1" t="str">
        <v>L</v>
      </c>
      <c r="L115" s="1" t="str">
        <v>M</v>
      </c>
      <c r="M115" s="1" t="str">
        <v>M</v>
      </c>
      <c r="N115" s="1" t="str">
        <v>J</v>
      </c>
      <c r="O115" s="1" t="str">
        <v>V</v>
      </c>
      <c r="P115" s="1" t="str">
        <v>S</v>
      </c>
      <c r="Q115" s="1" t="str">
        <v>D</v>
      </c>
      <c r="R115" s="1" t="str">
        <v>L</v>
      </c>
      <c r="S115" s="1" t="str">
        <v>M</v>
      </c>
      <c r="T115" s="1" t="str">
        <v>M</v>
      </c>
      <c r="U115" s="1" t="str">
        <v>J</v>
      </c>
      <c r="V115" s="1" t="str">
        <v>V</v>
      </c>
      <c r="W115" s="1" t="str">
        <v>S</v>
      </c>
      <c r="X115" s="1" t="str">
        <v>D</v>
      </c>
      <c r="Y115" s="1" t="str">
        <v>L</v>
      </c>
      <c r="Z115" s="1" t="str">
        <v>M</v>
      </c>
      <c r="AA115" s="1" t="str">
        <v>M</v>
      </c>
      <c r="AB115" s="1" t="str">
        <v>J</v>
      </c>
      <c r="AC115" s="1" t="str">
        <v>V</v>
      </c>
      <c r="AD115" s="1" t="str">
        <v>S</v>
      </c>
      <c r="AE115" s="1" t="str">
        <v>D</v>
      </c>
      <c r="AF115" s="1" t="str">
        <v>L</v>
      </c>
      <c r="AG115" s="1" t="str">
        <v/>
      </c>
    </row>
    <row r="116" spans="2:33" x14ac:dyDescent="0.2">
      <c r="B116" s="1" t="str">
        <v>Décembre</v>
      </c>
      <c r="C116" s="1" t="str">
        <v>M</v>
      </c>
      <c r="D116" s="1" t="str">
        <v>M</v>
      </c>
      <c r="E116" s="1" t="str">
        <v>J</v>
      </c>
      <c r="F116" s="1" t="str">
        <v>V</v>
      </c>
      <c r="G116" s="1" t="str">
        <v>S</v>
      </c>
      <c r="H116" s="1" t="str">
        <v>D</v>
      </c>
      <c r="I116" s="1" t="str">
        <v>L</v>
      </c>
      <c r="J116" s="1" t="str">
        <v>M</v>
      </c>
      <c r="K116" s="1" t="str">
        <v>M</v>
      </c>
      <c r="L116" s="1" t="str">
        <v>J</v>
      </c>
      <c r="M116" s="1" t="str">
        <v>V</v>
      </c>
      <c r="N116" s="1" t="str">
        <v>S</v>
      </c>
      <c r="O116" s="1" t="str">
        <v>D</v>
      </c>
      <c r="P116" s="1" t="str">
        <v>L</v>
      </c>
      <c r="Q116" s="1" t="str">
        <v>M</v>
      </c>
      <c r="R116" s="1" t="str">
        <v>M</v>
      </c>
      <c r="S116" s="1" t="str">
        <v>J</v>
      </c>
      <c r="T116" s="1" t="str">
        <v>V</v>
      </c>
      <c r="U116" s="1" t="str">
        <v>S</v>
      </c>
      <c r="V116" s="1" t="str">
        <v>D</v>
      </c>
      <c r="W116" s="1" t="str">
        <v>L</v>
      </c>
      <c r="X116" s="1" t="str">
        <v>M</v>
      </c>
      <c r="Y116" s="1" t="str">
        <v>M</v>
      </c>
      <c r="Z116" s="1" t="str">
        <v>J</v>
      </c>
      <c r="AA116" s="1" t="str">
        <v>V</v>
      </c>
      <c r="AB116" s="1" t="str">
        <v>S</v>
      </c>
      <c r="AC116" s="1" t="str">
        <v>D</v>
      </c>
      <c r="AD116" s="1" t="str">
        <v>L</v>
      </c>
      <c r="AE116" s="1" t="str">
        <v>M</v>
      </c>
      <c r="AF116" s="1" t="str">
        <v>M</v>
      </c>
      <c r="AG116" s="1" t="str">
        <v>J</v>
      </c>
    </row>
    <row r="119" spans="2:33" x14ac:dyDescent="0.2">
      <c r="B119" s="1">
        <f>$L$3</f>
        <v>2026</v>
      </c>
      <c r="C119" s="1" cm="1">
        <f t="array" ref="C119:AG119">_xlfn.MAKEARRAY(1,31,_xlfn.LAMBDA(_xlpm.r,_xlpm.c,_xlpm.c))</f>
        <v>1</v>
      </c>
      <c r="D119" s="1">
        <v>2</v>
      </c>
      <c r="E119" s="1">
        <v>3</v>
      </c>
      <c r="F119" s="1">
        <v>4</v>
      </c>
      <c r="G119" s="1">
        <v>5</v>
      </c>
      <c r="H119" s="1">
        <v>6</v>
      </c>
      <c r="I119" s="1">
        <v>7</v>
      </c>
      <c r="J119" s="1">
        <v>8</v>
      </c>
      <c r="K119" s="1">
        <v>9</v>
      </c>
      <c r="L119" s="1">
        <v>10</v>
      </c>
      <c r="M119" s="1">
        <v>11</v>
      </c>
      <c r="N119" s="1">
        <v>12</v>
      </c>
      <c r="O119" s="1">
        <v>13</v>
      </c>
      <c r="P119" s="1">
        <v>14</v>
      </c>
      <c r="Q119" s="1">
        <v>15</v>
      </c>
      <c r="R119" s="1">
        <v>16</v>
      </c>
      <c r="S119" s="1">
        <v>17</v>
      </c>
      <c r="T119" s="1">
        <v>18</v>
      </c>
      <c r="U119" s="1">
        <v>19</v>
      </c>
      <c r="V119" s="1">
        <v>20</v>
      </c>
      <c r="W119" s="1">
        <v>21</v>
      </c>
      <c r="X119" s="1">
        <v>22</v>
      </c>
      <c r="Y119" s="1">
        <v>23</v>
      </c>
      <c r="Z119" s="1">
        <v>24</v>
      </c>
      <c r="AA119" s="1">
        <v>25</v>
      </c>
      <c r="AB119" s="1">
        <v>26</v>
      </c>
      <c r="AC119" s="1">
        <v>27</v>
      </c>
      <c r="AD119" s="1">
        <v>28</v>
      </c>
      <c r="AE119" s="1">
        <v>29</v>
      </c>
      <c r="AF119" s="1">
        <v>30</v>
      </c>
      <c r="AG119" s="1">
        <v>31</v>
      </c>
    </row>
    <row r="120" spans="2:33" x14ac:dyDescent="0.2">
      <c r="B120" s="1">
        <v>1</v>
      </c>
      <c r="C120" s="1" t="str" cm="1">
        <f t="array" ref="C120:AG121">_xlfn.MAKEARRAY(2,31,_xlfn.LAMBDA(_xlpm.r,_xlpm.c,IF(MONTH(DATE($B$119,_xlpm.r,_xlpm.c))=_xlpm.r,UPPER(LEFT(TEXT(DATE($B$119,_xlpm.r,_xlpm.c),"JJJJ"),1)),"")))</f>
        <v>J</v>
      </c>
      <c r="D120" s="1" t="str">
        <v>V</v>
      </c>
      <c r="E120" s="1" t="str">
        <v>S</v>
      </c>
      <c r="F120" s="1" t="str">
        <v>D</v>
      </c>
      <c r="G120" s="1" t="str">
        <v>L</v>
      </c>
      <c r="H120" s="1" t="str">
        <v>M</v>
      </c>
      <c r="I120" s="1" t="str">
        <v>M</v>
      </c>
      <c r="J120" s="1" t="str">
        <v>J</v>
      </c>
      <c r="K120" s="1" t="str">
        <v>V</v>
      </c>
      <c r="L120" s="1" t="str">
        <v>S</v>
      </c>
      <c r="M120" s="1" t="str">
        <v>D</v>
      </c>
      <c r="N120" s="1" t="str">
        <v>L</v>
      </c>
      <c r="O120" s="1" t="str">
        <v>M</v>
      </c>
      <c r="P120" s="1" t="str">
        <v>M</v>
      </c>
      <c r="Q120" s="1" t="str">
        <v>J</v>
      </c>
      <c r="R120" s="1" t="str">
        <v>V</v>
      </c>
      <c r="S120" s="1" t="str">
        <v>S</v>
      </c>
      <c r="T120" s="1" t="str">
        <v>D</v>
      </c>
      <c r="U120" s="1" t="str">
        <v>L</v>
      </c>
      <c r="V120" s="1" t="str">
        <v>M</v>
      </c>
      <c r="W120" s="1" t="str">
        <v>M</v>
      </c>
      <c r="X120" s="1" t="str">
        <v>J</v>
      </c>
      <c r="Y120" s="1" t="str">
        <v>V</v>
      </c>
      <c r="Z120" s="1" t="str">
        <v>S</v>
      </c>
      <c r="AA120" s="1" t="str">
        <v>D</v>
      </c>
      <c r="AB120" s="1" t="str">
        <v>L</v>
      </c>
      <c r="AC120" s="1" t="str">
        <v>M</v>
      </c>
      <c r="AD120" s="1" t="str">
        <v>M</v>
      </c>
      <c r="AE120" s="1" t="str">
        <v>J</v>
      </c>
      <c r="AF120" s="1" t="str">
        <v>V</v>
      </c>
      <c r="AG120" s="1" t="str">
        <v>S</v>
      </c>
    </row>
    <row r="121" spans="2:33" x14ac:dyDescent="0.2">
      <c r="C121" s="1" t="str">
        <v>D</v>
      </c>
      <c r="D121" s="1" t="str">
        <v>L</v>
      </c>
      <c r="E121" s="1" t="str">
        <v>M</v>
      </c>
      <c r="F121" s="1" t="str">
        <v>M</v>
      </c>
      <c r="G121" s="1" t="str">
        <v>J</v>
      </c>
      <c r="H121" s="1" t="str">
        <v>V</v>
      </c>
      <c r="I121" s="1" t="str">
        <v>S</v>
      </c>
      <c r="J121" s="1" t="str">
        <v>D</v>
      </c>
      <c r="K121" s="1" t="str">
        <v>L</v>
      </c>
      <c r="L121" s="1" t="str">
        <v>M</v>
      </c>
      <c r="M121" s="1" t="str">
        <v>M</v>
      </c>
      <c r="N121" s="1" t="str">
        <v>J</v>
      </c>
      <c r="O121" s="1" t="str">
        <v>V</v>
      </c>
      <c r="P121" s="1" t="str">
        <v>S</v>
      </c>
      <c r="Q121" s="1" t="str">
        <v>D</v>
      </c>
      <c r="R121" s="1" t="str">
        <v>L</v>
      </c>
      <c r="S121" s="1" t="str">
        <v>M</v>
      </c>
      <c r="T121" s="1" t="str">
        <v>M</v>
      </c>
      <c r="U121" s="1" t="str">
        <v>J</v>
      </c>
      <c r="V121" s="1" t="str">
        <v>V</v>
      </c>
      <c r="W121" s="1" t="str">
        <v>S</v>
      </c>
      <c r="X121" s="1" t="str">
        <v>D</v>
      </c>
      <c r="Y121" s="1" t="str">
        <v>L</v>
      </c>
      <c r="Z121" s="1" t="str">
        <v>M</v>
      </c>
      <c r="AA121" s="1" t="str">
        <v>M</v>
      </c>
      <c r="AB121" s="1" t="str">
        <v>J</v>
      </c>
      <c r="AC121" s="1" t="str">
        <v>V</v>
      </c>
      <c r="AD121" s="1" t="str">
        <v>S</v>
      </c>
      <c r="AE121" s="1" t="str">
        <v/>
      </c>
      <c r="AF121" s="1" t="str">
        <v/>
      </c>
      <c r="AG121" s="1" t="str">
        <v/>
      </c>
    </row>
    <row r="123" spans="2:33" x14ac:dyDescent="0.2">
      <c r="B123" s="1" cm="1">
        <f t="array" ref="B123:B124">_xlfn.MAKEARRAY(2,1,_xlfn.LAMBDA(_xlpm.r,_xlpm.c,$B$120))</f>
        <v>1</v>
      </c>
      <c r="C123" s="142" cm="1">
        <f t="array" ref="C123:AG124">_xlfn.MAKEARRAY(2,31,_xlfn.LAMBDA(_xlpm.r,_xlpm.c,IF(MONTH(DATE($B$119,$B$120,_xlpm.c))=$B$120,
IF(ISEVEN(_xlpm.r+1),_xlpm.c,UPPER(LEFT(TEXT(DATE($B$119,$B$120,_xlpm.c),"JJJJ"),1))),"")))</f>
        <v>1</v>
      </c>
      <c r="D123" s="142">
        <v>2</v>
      </c>
      <c r="E123" s="142">
        <v>3</v>
      </c>
      <c r="F123" s="142">
        <v>4</v>
      </c>
      <c r="G123" s="142">
        <v>5</v>
      </c>
      <c r="H123" s="142">
        <v>6</v>
      </c>
      <c r="I123" s="142">
        <v>7</v>
      </c>
      <c r="J123" s="142">
        <v>8</v>
      </c>
      <c r="K123" s="142">
        <v>9</v>
      </c>
      <c r="L123" s="142">
        <v>10</v>
      </c>
      <c r="M123" s="142">
        <v>11</v>
      </c>
      <c r="N123" s="142">
        <v>12</v>
      </c>
      <c r="O123" s="142">
        <v>13</v>
      </c>
      <c r="P123" s="142">
        <v>14</v>
      </c>
      <c r="Q123" s="142">
        <v>15</v>
      </c>
      <c r="R123" s="142">
        <v>16</v>
      </c>
      <c r="S123" s="142">
        <v>17</v>
      </c>
      <c r="T123" s="142">
        <v>18</v>
      </c>
      <c r="U123" s="142">
        <v>19</v>
      </c>
      <c r="V123" s="142">
        <v>20</v>
      </c>
      <c r="W123" s="142">
        <v>21</v>
      </c>
      <c r="X123" s="142">
        <v>22</v>
      </c>
      <c r="Y123" s="142">
        <v>23</v>
      </c>
      <c r="Z123" s="142">
        <v>24</v>
      </c>
      <c r="AA123" s="142">
        <v>25</v>
      </c>
      <c r="AB123" s="142">
        <v>26</v>
      </c>
      <c r="AC123" s="142">
        <v>27</v>
      </c>
      <c r="AD123" s="142">
        <v>28</v>
      </c>
      <c r="AE123" s="142">
        <v>29</v>
      </c>
      <c r="AF123" s="142">
        <v>30</v>
      </c>
      <c r="AG123" s="142">
        <v>31</v>
      </c>
    </row>
    <row r="124" spans="2:33" x14ac:dyDescent="0.2">
      <c r="B124" s="1">
        <v>1</v>
      </c>
      <c r="C124" s="142" t="str">
        <v>J</v>
      </c>
      <c r="D124" s="142" t="str">
        <v>V</v>
      </c>
      <c r="E124" s="142" t="str">
        <v>S</v>
      </c>
      <c r="F124" s="142" t="str">
        <v>D</v>
      </c>
      <c r="G124" s="142" t="str">
        <v>L</v>
      </c>
      <c r="H124" s="142" t="str">
        <v>M</v>
      </c>
      <c r="I124" s="142" t="str">
        <v>M</v>
      </c>
      <c r="J124" s="142" t="str">
        <v>J</v>
      </c>
      <c r="K124" s="142" t="str">
        <v>V</v>
      </c>
      <c r="L124" s="142" t="str">
        <v>S</v>
      </c>
      <c r="M124" s="142" t="str">
        <v>D</v>
      </c>
      <c r="N124" s="142" t="str">
        <v>L</v>
      </c>
      <c r="O124" s="142" t="str">
        <v>M</v>
      </c>
      <c r="P124" s="142" t="str">
        <v>M</v>
      </c>
      <c r="Q124" s="142" t="str">
        <v>J</v>
      </c>
      <c r="R124" s="142" t="str">
        <v>V</v>
      </c>
      <c r="S124" s="142" t="str">
        <v>S</v>
      </c>
      <c r="T124" s="142" t="str">
        <v>D</v>
      </c>
      <c r="U124" s="142" t="str">
        <v>L</v>
      </c>
      <c r="V124" s="142" t="str">
        <v>M</v>
      </c>
      <c r="W124" s="142" t="str">
        <v>M</v>
      </c>
      <c r="X124" s="142" t="str">
        <v>J</v>
      </c>
      <c r="Y124" s="142" t="str">
        <v>V</v>
      </c>
      <c r="Z124" s="142" t="str">
        <v>S</v>
      </c>
      <c r="AA124" s="142" t="str">
        <v>D</v>
      </c>
      <c r="AB124" s="142" t="str">
        <v>L</v>
      </c>
      <c r="AC124" s="142" t="str">
        <v>M</v>
      </c>
      <c r="AD124" s="142" t="str">
        <v>M</v>
      </c>
      <c r="AE124" s="142" t="str">
        <v>J</v>
      </c>
      <c r="AF124" s="142" t="str">
        <v>V</v>
      </c>
      <c r="AG124" s="142" t="str">
        <v>S</v>
      </c>
    </row>
    <row r="125" spans="2:33" x14ac:dyDescent="0.2"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</row>
    <row r="126" spans="2:33" x14ac:dyDescent="0.2"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</row>
    <row r="127" spans="2:33" x14ac:dyDescent="0.2"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</row>
    <row r="128" spans="2:33" x14ac:dyDescent="0.2"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</row>
    <row r="129" spans="3:33" x14ac:dyDescent="0.2"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</row>
    <row r="130" spans="3:33" x14ac:dyDescent="0.2">
      <c r="C130" s="142"/>
      <c r="D130" s="142">
        <v>1</v>
      </c>
      <c r="E130" s="249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</row>
    <row r="131" spans="3:33" x14ac:dyDescent="0.2">
      <c r="C131" s="142"/>
      <c r="D131" s="142">
        <v>2</v>
      </c>
      <c r="E131" s="249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</row>
    <row r="132" spans="3:33" x14ac:dyDescent="0.2">
      <c r="C132" s="142"/>
      <c r="D132" s="142">
        <v>3</v>
      </c>
      <c r="E132" s="249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</row>
    <row r="133" spans="3:33" x14ac:dyDescent="0.2">
      <c r="C133" s="142"/>
      <c r="D133" s="142">
        <v>4</v>
      </c>
      <c r="E133" s="249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</row>
    <row r="134" spans="3:33" x14ac:dyDescent="0.2">
      <c r="C134" s="142"/>
      <c r="D134" s="142">
        <v>5</v>
      </c>
      <c r="E134" s="249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</row>
    <row r="135" spans="3:33" x14ac:dyDescent="0.2"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</row>
    <row r="136" spans="3:33" x14ac:dyDescent="0.2"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</row>
    <row r="137" spans="3:33" x14ac:dyDescent="0.2"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</row>
    <row r="138" spans="3:33" x14ac:dyDescent="0.2"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</row>
    <row r="139" spans="3:33" x14ac:dyDescent="0.2"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</row>
    <row r="140" spans="3:33" x14ac:dyDescent="0.2"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</row>
    <row r="141" spans="3:33" x14ac:dyDescent="0.2"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</row>
    <row r="142" spans="3:33" x14ac:dyDescent="0.2"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</row>
    <row r="143" spans="3:33" x14ac:dyDescent="0.2"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</row>
    <row r="144" spans="3:33" x14ac:dyDescent="0.2"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</row>
    <row r="145" spans="3:33" x14ac:dyDescent="0.2"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</row>
    <row r="146" spans="3:33" x14ac:dyDescent="0.2"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1</xdr:col>
                    <xdr:colOff>1323975</xdr:colOff>
                    <xdr:row>26</xdr:row>
                    <xdr:rowOff>114300</xdr:rowOff>
                  </from>
                  <to>
                    <xdr:col>3</xdr:col>
                    <xdr:colOff>9525</xdr:colOff>
                    <xdr:row>28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0287-7E64-4CAF-AB16-A187B74ECC29}">
  <dimension ref="A1:F302"/>
  <sheetViews>
    <sheetView workbookViewId="0">
      <selection activeCell="F3" sqref="F3"/>
    </sheetView>
  </sheetViews>
  <sheetFormatPr baseColWidth="10" defaultRowHeight="15" x14ac:dyDescent="0.25"/>
  <cols>
    <col min="2" max="2" width="12.7109375" bestFit="1" customWidth="1"/>
    <col min="4" max="4" width="17.42578125" bestFit="1" customWidth="1"/>
  </cols>
  <sheetData>
    <row r="1" spans="1:6" x14ac:dyDescent="0.25">
      <c r="B1" s="244" t="s">
        <v>232</v>
      </c>
      <c r="D1" s="244" t="s">
        <v>233</v>
      </c>
      <c r="F1" s="244" t="s">
        <v>234</v>
      </c>
    </row>
    <row r="2" spans="1:6" x14ac:dyDescent="0.25">
      <c r="A2">
        <f>ROW()-1</f>
        <v>1</v>
      </c>
      <c r="B2" t="str">
        <f>Tableaux!H2 &amp; "," &amp; Tableaux!I2</f>
        <v>Lvl from,Cost</v>
      </c>
      <c r="C2">
        <f>ROW()-1</f>
        <v>1</v>
      </c>
      <c r="D2" t="str">
        <f>Tableaux!A2 &amp; "," &amp; Tableaux!B2 &amp; "," &amp; Tableaux!C2</f>
        <v>Lvl from,Lvl to,Cost</v>
      </c>
      <c r="E2">
        <f>ROW()-1</f>
        <v>1</v>
      </c>
      <c r="F2" t="str">
        <f>Palmon!B2 &amp; "," &amp; Palmon!C2 &amp; "," &amp; Palmon!D2 &amp; "," &amp; Palmon!E2 &amp; "," &amp; Palmon!G2 &amp; "," &amp; Palmon!H2 &amp; "," &amp; Palmon!I2 &amp; ",Star 1,Star 2,Star 3,Star 4,Star 5,Comp 1,Comp 2,Comp 3,Comp 4,Comp 5," &amp; Palmon!U2 &amp; "," &amp; Palmon!V2 &amp; "," &amp; Palmon!X2 &amp; "," &amp; Palmon!Y2 &amp; "," &amp; Palmon!AA2 &amp; "," &amp; Palmon!AB2 &amp; "," &amp; Palmon!AC2 &amp; "," &amp; Palmon!AE2 &amp; "," &amp; Palmon!AF2 &amp; ",Mutation 1,Mutation 2"</f>
        <v>Name,Type,Skill,Level,Step,Stars,Stock,Star 1,Star 2,Star 3,Star 4,Star 5,Comp 1,Comp 2,Comp 3,Comp 4,Comp 5,Achievement,Needs,Cost to max,Upgradable,RankPower,Rank,Team,URL,URL Mutation,Mutation 1,Mutation 2</v>
      </c>
    </row>
    <row r="3" spans="1:6" x14ac:dyDescent="0.25">
      <c r="A3">
        <f t="shared" ref="A3:E33" si="0">ROW()-1</f>
        <v>2</v>
      </c>
      <c r="B3" t="str">
        <f>Tableaux!H3 &amp; "," &amp; Tableaux!I3</f>
        <v>0,0</v>
      </c>
      <c r="C3">
        <f t="shared" si="0"/>
        <v>2</v>
      </c>
      <c r="D3" t="str">
        <f>Tableaux!A3 &amp; "," &amp; Tableaux!B3 &amp; "," &amp; Tableaux!C3</f>
        <v>0,1,0</v>
      </c>
      <c r="E3">
        <f t="shared" si="0"/>
        <v>2</v>
      </c>
      <c r="F3" t="str">
        <f>Palmon!B3 &amp; "," &amp; Palmon!C3 &amp; "," &amp; Palmon!D3 &amp; "," &amp; Palmon!E3 &amp; "," &amp; Palmon!G3 &amp; "," &amp; SUBSTITUTE(Palmon!H3,",",".") &amp; "," &amp; Palmon!I3 &amp; "," &amp; SUBSTITUTE(Palmon!P3,",",".") &amp; "," &amp; SUBSTITUTE(Palmon!Q3,",",".") &amp; "," &amp; SUBSTITUTE(Palmon!R3,",",".") &amp; "," &amp; SUBSTITUTE(Palmon!S3,",",".") &amp; "," &amp; SUBSTITUTE(Palmon!T3,",",".") &amp; "," &amp; Palmon!J3 &amp; "," &amp; Palmon!K3 &amp; "," &amp; Palmon!L3 &amp; "," &amp; Palmon!M3 &amp; "," &amp; Palmon!N3 &amp; "," &amp; SUBSTITUTE(Palmon!U3,",",".") &amp; "," &amp; Palmon!V3 &amp; "," &amp; Palmon!X3 &amp; "," &amp; Palmon!Y3 &amp; "," &amp; Palmon!AA3 &amp; "," &amp; Palmon!AB3 &amp; "," &amp; Palmon!AC3 &amp; "," &amp; Palmon!AE3 &amp; "," &amp; Palmon!AF3 &amp; "," &amp; Palmon!AI3 &amp; "," &amp; Palmon!AJ3</f>
        <v>Bufonobi,Water,Attack,270,5,5,0,1,1,1,1,1,30,30,30,Max,10,1,0,1515640000,1,5270,2,1,https://encrypted-tbn0.gstatic.com/images?q=tbn:ANd9GcRXczs_Bjhslhr7Mf2HENU6MTyGpz0RJEMjNA&amp;s, ,,Shadowkaeru</v>
      </c>
    </row>
    <row r="4" spans="1:6" x14ac:dyDescent="0.25">
      <c r="A4">
        <f t="shared" si="0"/>
        <v>3</v>
      </c>
      <c r="B4" t="str">
        <f>Tableaux!H4 &amp; "," &amp; Tableaux!I4</f>
        <v>1,100</v>
      </c>
      <c r="C4">
        <f t="shared" si="0"/>
        <v>3</v>
      </c>
      <c r="D4" t="str">
        <f>Tableaux!A4 &amp; "," &amp; Tableaux!B4 &amp; "," &amp; Tableaux!C4</f>
        <v>1,2,100</v>
      </c>
      <c r="E4">
        <f t="shared" si="0"/>
        <v>3</v>
      </c>
      <c r="F4" t="str">
        <f>Palmon!B4 &amp; "," &amp; Palmon!C4 &amp; "," &amp; Palmon!D4 &amp; "," &amp; Palmon!E4 &amp; "," &amp; Palmon!G4 &amp; "," &amp; SUBSTITUTE(Palmon!H4,",",".") &amp; "," &amp; Palmon!I4 &amp; "," &amp; SUBSTITUTE(Palmon!P4,",",".") &amp; "," &amp; SUBSTITUTE(Palmon!Q4,",",".") &amp; "," &amp; SUBSTITUTE(Palmon!R4,",",".") &amp; "," &amp; SUBSTITUTE(Palmon!S4,",",".") &amp; "," &amp; SUBSTITUTE(Palmon!T4,",",".") &amp; "," &amp; Palmon!J4 &amp; "," &amp; Palmon!K4 &amp; "," &amp; Palmon!L4 &amp; "," &amp; Palmon!M4 &amp; "," &amp; Palmon!N4 &amp; "," &amp; SUBSTITUTE(Palmon!U4,",",".") &amp; "," &amp; Palmon!V4 &amp; "," &amp; Palmon!X4 &amp; "," &amp; Palmon!Y4 &amp; "," &amp; Palmon!AA4 &amp; "," &amp; Palmon!AB4 &amp; "," &amp; Palmon!AC4 &amp; "," &amp; Palmon!AE4 &amp; "," &amp; Palmon!AF4 &amp; "," &amp; Palmon!AI4 &amp; "," &amp; Palmon!AJ4</f>
        <v>Vulpyrean,Fire,Attack,270,5,5,0,1,1,1,1,1,20,20,20,Max,10,1,0,1515640000,1,5270,3,1,https://encrypted-tbn0.gstatic.com/images?q=tbn:ANd9GcSDZWuq2tiKYc0zKRxpHXrLSMZ1GsY_6wEIYw&amp;s,https://encrypted-tbn0.gstatic.com/images?q=tbn:ANd9GcRGF27Z8fOuiwM1qjDFQVY262gS_QKIJamMNg&amp;s,,</v>
      </c>
    </row>
    <row r="5" spans="1:6" x14ac:dyDescent="0.25">
      <c r="A5">
        <f t="shared" si="0"/>
        <v>4</v>
      </c>
      <c r="B5" t="str">
        <f>Tableaux!H5 &amp; "," &amp; Tableaux!I5</f>
        <v>2,200</v>
      </c>
      <c r="C5">
        <f t="shared" si="0"/>
        <v>4</v>
      </c>
      <c r="D5" t="str">
        <f>Tableaux!A5 &amp; "," &amp; Tableaux!B5 &amp; "," &amp; Tableaux!C5</f>
        <v>2,3,200</v>
      </c>
      <c r="E5">
        <f t="shared" si="0"/>
        <v>4</v>
      </c>
      <c r="F5" t="str">
        <f>Palmon!B5 &amp; "," &amp; Palmon!C5 &amp; "," &amp; Palmon!D5 &amp; "," &amp; Palmon!E5 &amp; "," &amp; Palmon!G5 &amp; "," &amp; SUBSTITUTE(Palmon!H5,",",".") &amp; "," &amp; Palmon!I5 &amp; "," &amp; SUBSTITUTE(Palmon!P5,",",".") &amp; "," &amp; SUBSTITUTE(Palmon!Q5,",",".") &amp; "," &amp; SUBSTITUTE(Palmon!R5,",",".") &amp; "," &amp; SUBSTITUTE(Palmon!S5,",",".") &amp; "," &amp; SUBSTITUTE(Palmon!T5,",",".") &amp; "," &amp; Palmon!J5 &amp; "," &amp; Palmon!K5 &amp; "," &amp; Palmon!L5 &amp; "," &amp; Palmon!M5 &amp; "," &amp; Palmon!N5 &amp; "," &amp; SUBSTITUTE(Palmon!U5,",",".") &amp; "," &amp; Palmon!V5 &amp; "," &amp; Palmon!X5 &amp; "," &amp; Palmon!Y5 &amp; "," &amp; Palmon!AA5 &amp; "," &amp; Palmon!AB5 &amp; "," &amp; Palmon!AC5 &amp; "," &amp; Palmon!AE5 &amp; "," &amp; Palmon!AF5 &amp; "," &amp; Palmon!AI5 &amp; "," &amp; Palmon!AJ5</f>
        <v>Hoofrit,Fire,Attack,270,4,4,11,1,1,1,1,0,15,15,15,Max,,0.487179487179487,489,1515640000,1,4270,13,2,https://encrypted-tbn0.gstatic.com/images?q=tbn:ANd9GcRwfHFWjB1bN67FJNyjjWvBJwviWJ3Tada0Yg&amp;s,https://encrypted-tbn0.gstatic.com/images?q=tbn:ANd9GcSkOv6mOI5FaIAjcVgErYDwVaivkH3WdUQIzw&amp;s,Flaries,</v>
      </c>
    </row>
    <row r="6" spans="1:6" x14ac:dyDescent="0.25">
      <c r="A6">
        <f t="shared" si="0"/>
        <v>5</v>
      </c>
      <c r="B6" t="str">
        <f>Tableaux!H6 &amp; "," &amp; Tableaux!I6</f>
        <v>3,300</v>
      </c>
      <c r="C6">
        <f t="shared" si="0"/>
        <v>5</v>
      </c>
      <c r="D6" t="str">
        <f>Tableaux!A6 &amp; "," &amp; Tableaux!B6 &amp; "," &amp; Tableaux!C6</f>
        <v>3,4,300</v>
      </c>
      <c r="E6">
        <f t="shared" si="0"/>
        <v>5</v>
      </c>
      <c r="F6" t="str">
        <f>Palmon!B6 &amp; "," &amp; Palmon!C6 &amp; "," &amp; Palmon!D6 &amp; "," &amp; Palmon!E6 &amp; "," &amp; Palmon!G6 &amp; "," &amp; SUBSTITUTE(Palmon!H6,",",".") &amp; "," &amp; Palmon!I6 &amp; "," &amp; SUBSTITUTE(Palmon!P6,",",".") &amp; "," &amp; SUBSTITUTE(Palmon!Q6,",",".") &amp; "," &amp; SUBSTITUTE(Palmon!R6,",",".") &amp; "," &amp; SUBSTITUTE(Palmon!S6,",",".") &amp; "," &amp; SUBSTITUTE(Palmon!T6,",",".") &amp; "," &amp; Palmon!J6 &amp; "," &amp; Palmon!K6 &amp; "," &amp; Palmon!L6 &amp; "," &amp; Palmon!M6 &amp; "," &amp; Palmon!N6 &amp; "," &amp; SUBSTITUTE(Palmon!U6,",",".") &amp; "," &amp; Palmon!V6 &amp; "," &amp; Palmon!X6 &amp; "," &amp; Palmon!Y6 &amp; "," &amp; Palmon!AA6 &amp; "," &amp; Palmon!AB6 &amp; "," &amp; Palmon!AC6 &amp; "," &amp; Palmon!AE6 &amp; "," &amp; Palmon!AF6 &amp; "," &amp; Palmon!AI6 &amp; "," &amp; Palmon!AJ6</f>
        <v>Ghillant,Wood,Defend,250,4,4.1,0,1,1,1,1,0.199999999999999,5,5,5,Max,,0.589743589743589,400,3503540000,1,4350,10,2,https://encrypted-tbn0.gstatic.com/images?q=tbn:ANd9GcQOwDXppnwkCtCXXAqUiiNMhf6T-lane54jPg&amp;s, ,Chefeuillier,</v>
      </c>
    </row>
    <row r="7" spans="1:6" x14ac:dyDescent="0.25">
      <c r="A7">
        <f t="shared" si="0"/>
        <v>6</v>
      </c>
      <c r="B7" t="str">
        <f>Tableaux!H7 &amp; "," &amp; Tableaux!I7</f>
        <v>4,400</v>
      </c>
      <c r="C7">
        <f t="shared" si="0"/>
        <v>6</v>
      </c>
      <c r="D7" t="str">
        <f>Tableaux!A7 &amp; "," &amp; Tableaux!B7 &amp; "," &amp; Tableaux!C7</f>
        <v>4,5,400</v>
      </c>
      <c r="E7">
        <f t="shared" si="0"/>
        <v>6</v>
      </c>
      <c r="F7" t="str">
        <f>Palmon!B8 &amp; "," &amp; Palmon!C8 &amp; "," &amp; Palmon!D8 &amp; "," &amp; Palmon!E8 &amp; "," &amp; Palmon!G8 &amp; "," &amp; SUBSTITUTE(Palmon!H8,",",".") &amp; "," &amp; Palmon!I8 &amp; "," &amp; SUBSTITUTE(Palmon!P8,",",".") &amp; "," &amp; SUBSTITUTE(Palmon!Q8,",",".") &amp; "," &amp; SUBSTITUTE(Palmon!R8,",",".") &amp; "," &amp; SUBSTITUTE(Palmon!S8,",",".") &amp; "," &amp; SUBSTITUTE(Palmon!T8,",",".") &amp; "," &amp; Palmon!J8 &amp; "," &amp; Palmon!K8 &amp; "," &amp; Palmon!L8 &amp; "," &amp; Palmon!M8 &amp; "," &amp; Palmon!N8 &amp; "," &amp; SUBSTITUTE(Palmon!U8,",",".") &amp; "," &amp; Palmon!V8 &amp; "," &amp; Palmon!X8 &amp; "," &amp; Palmon!Y8 &amp; "," &amp; Palmon!AA8 &amp; "," &amp; Palmon!AB8 &amp; "," &amp; Palmon!AC8 &amp; "," &amp; Palmon!AE8 &amp; "," &amp; Palmon!AF8 &amp; "," &amp; Palmon!AI8 &amp; "," &amp; Palmon!AJ8</f>
        <v>Gnashley,Water,Defend,1,1,1,0,1,0,0,0,0,1,1,1,,,0.0256410256410256,950,6424613700,1,1001,32,,https://encrypted-tbn0.gstatic.com/images?q=tbn:ANd9GcQtrOr7ePo-_tg085QaHk6NorM32ywE44672A&amp;s,https://encrypted-tbn0.gstatic.com/images?q=tbn:ANd9GcTII6bAUVzdPfr_45Db3bGwDuIVxhe-n4dSSgHRGJaEpg&amp;s,Gnashfin,</v>
      </c>
    </row>
    <row r="8" spans="1:6" x14ac:dyDescent="0.25">
      <c r="A8">
        <f t="shared" si="0"/>
        <v>7</v>
      </c>
      <c r="B8" t="str">
        <f>Tableaux!H8 &amp; "," &amp; Tableaux!I8</f>
        <v>5,600</v>
      </c>
      <c r="C8">
        <f t="shared" si="0"/>
        <v>7</v>
      </c>
      <c r="D8" t="str">
        <f>Tableaux!A8 &amp; "," &amp; Tableaux!B8 &amp; "," &amp; Tableaux!C8</f>
        <v>5,6,500</v>
      </c>
      <c r="E8">
        <f t="shared" si="0"/>
        <v>7</v>
      </c>
      <c r="F8" t="str">
        <f>Palmon!B9 &amp; "," &amp; Palmon!C9 &amp; "," &amp; Palmon!D9 &amp; "," &amp; Palmon!E9 &amp; "," &amp; Palmon!G9 &amp; "," &amp; SUBSTITUTE(Palmon!H9,",",".") &amp; "," &amp; Palmon!I9 &amp; "," &amp; SUBSTITUTE(Palmon!P9,",",".") &amp; "," &amp; SUBSTITUTE(Palmon!Q9,",",".") &amp; "," &amp; SUBSTITUTE(Palmon!R9,",",".") &amp; "," &amp; SUBSTITUTE(Palmon!S9,",",".") &amp; "," &amp; SUBSTITUTE(Palmon!T9,",",".") &amp; "," &amp; Palmon!J9 &amp; "," &amp; Palmon!K9 &amp; "," &amp; Palmon!L9 &amp; "," &amp; Palmon!M9 &amp; "," &amp; Palmon!N9 &amp; "," &amp; SUBSTITUTE(Palmon!U9,",",".") &amp; "," &amp; Palmon!V9 &amp; "," &amp; Palmon!X9 &amp; "," &amp; Palmon!Y9 &amp; "," &amp; Palmon!AA9 &amp; "," &amp; Palmon!AB9 &amp; "," &amp; Palmon!AC9 &amp; "," &amp; Palmon!AE9 &amp; "," &amp; Palmon!AF9 &amp; "," &amp; Palmon!AI9 &amp; "," &amp; Palmon!AJ9</f>
        <v>Magmolin,Fire,Defend,240,3,3.1,61,1,1,1,0.2,0,10,5,15,,,0.241025641025641,679,4211940000,1,3340,16,3,https://encrypted-tbn0.gstatic.com/images?q=tbn:ANd9GcRebc6KbOAxblleg_L3rr2K13bt-Yyzq1bAaw&amp;s, ,Obsidrake,</v>
      </c>
    </row>
    <row r="9" spans="1:6" x14ac:dyDescent="0.25">
      <c r="A9">
        <f t="shared" si="0"/>
        <v>8</v>
      </c>
      <c r="B9" t="str">
        <f>Tableaux!H9 &amp; "," &amp; Tableaux!I9</f>
        <v>6,800</v>
      </c>
      <c r="C9">
        <f t="shared" si="0"/>
        <v>8</v>
      </c>
      <c r="D9" t="str">
        <f>Tableaux!A9 &amp; "," &amp; Tableaux!B9 &amp; "," &amp; Tableaux!C9</f>
        <v>6,7,600</v>
      </c>
      <c r="E9">
        <f t="shared" si="0"/>
        <v>8</v>
      </c>
      <c r="F9" t="str">
        <f>Palmon!B10 &amp; "," &amp; Palmon!C10 &amp; "," &amp; Palmon!D10 &amp; "," &amp; Palmon!E10 &amp; "," &amp; Palmon!G10 &amp; "," &amp; SUBSTITUTE(Palmon!H10,",",".") &amp; "," &amp; Palmon!I10 &amp; "," &amp; SUBSTITUTE(Palmon!P10,",",".") &amp; "," &amp; SUBSTITUTE(Palmon!Q10,",",".") &amp; "," &amp; SUBSTITUTE(Palmon!R10,",",".") &amp; "," &amp; SUBSTITUTE(Palmon!S10,",",".") &amp; "," &amp; SUBSTITUTE(Palmon!T10,",",".") &amp; "," &amp; Palmon!J10 &amp; "," &amp; Palmon!K10 &amp; "," &amp; Palmon!L10 &amp; "," &amp; Palmon!M10 &amp; "," &amp; Palmon!N10 &amp; "," &amp; SUBSTITUTE(Palmon!U10,",",".") &amp; "," &amp; Palmon!V10 &amp; "," &amp; Palmon!X10 &amp; "," &amp; Palmon!Y10 &amp; "," &amp; Palmon!AA10 &amp; "," &amp; Palmon!AB10 &amp; "," &amp; Palmon!AC10 &amp; "," &amp; Palmon!AE10 &amp; "," &amp; Palmon!AF10 &amp; "," &amp; Palmon!AI10 &amp; "," &amp; Palmon!AJ10</f>
        <v>Limudroid,Electricity,Attack,230,2,2.2,4,1,1,0.4,0,0,1,1,5,,,0.117948717948718,856,4771140000,1,2430,28,,https://encrypted-tbn0.gstatic.com/images?q=tbn:ANd9GcQzaI21taP2V17MKjiPAeulm4V9qfST4umPdg&amp;s,https://encrypted-tbn0.gstatic.com/images?q=tbn:ANd9GcRMlruQNUenhVk-fAEq9d3Wi8zw--0GbkLGJrX1CuQ1&amp;s,Bunodroid,</v>
      </c>
    </row>
    <row r="10" spans="1:6" x14ac:dyDescent="0.25">
      <c r="A10">
        <f t="shared" si="0"/>
        <v>9</v>
      </c>
      <c r="B10" t="str">
        <f>Tableaux!H10 &amp; "," &amp; Tableaux!I10</f>
        <v>7,1000</v>
      </c>
      <c r="C10">
        <f t="shared" si="0"/>
        <v>9</v>
      </c>
      <c r="D10" t="str">
        <f>Tableaux!A10 &amp; "," &amp; Tableaux!B10 &amp; "," &amp; Tableaux!C10</f>
        <v>7,8,700</v>
      </c>
      <c r="E10">
        <f t="shared" si="0"/>
        <v>9</v>
      </c>
      <c r="F10" t="str">
        <f>Palmon!B11 &amp; "," &amp; Palmon!C11 &amp; "," &amp; Palmon!D11 &amp; "," &amp; Palmon!E11 &amp; "," &amp; Palmon!G11 &amp; "," &amp; SUBSTITUTE(Palmon!H11,",",".") &amp; "," &amp; Palmon!I11 &amp; "," &amp; SUBSTITUTE(Palmon!P11,",",".") &amp; "," &amp; SUBSTITUTE(Palmon!Q11,",",".") &amp; "," &amp; SUBSTITUTE(Palmon!R11,",",".") &amp; "," &amp; SUBSTITUTE(Palmon!S11,",",".") &amp; "," &amp; SUBSTITUTE(Palmon!T11,",",".") &amp; "," &amp; Palmon!J11 &amp; "," &amp; Palmon!K11 &amp; "," &amp; Palmon!L11 &amp; "," &amp; Palmon!M11 &amp; "," &amp; Palmon!N11 &amp; "," &amp; SUBSTITUTE(Palmon!U11,",",".") &amp; "," &amp; Palmon!V11 &amp; "," &amp; Palmon!X11 &amp; "," &amp; Palmon!Y11 &amp; "," &amp; Palmon!AA11 &amp; "," &amp; Palmon!AB11 &amp; "," &amp; Palmon!AC11 &amp; "," &amp; Palmon!AE11 &amp; "," &amp; Palmon!AF11 &amp; "," &amp; Palmon!AI11 &amp; "," &amp; Palmon!AJ11</f>
        <v>Barkplug,Electricity,Defend,250,3,3,0,1,1,1,0,0,14,5,10,,,0.179487179487179,800,3503540000,1,3250,18,3,https://encrypted-tbn0.gstatic.com/images?q=tbn:ANd9GcSf59xsunrPEuFvdtBi-IRVMcrdBfW_vNshLA&amp;s,https://encrypted-tbn0.gstatic.com/images?q=tbn:ANd9GcRUDpuK5BvjXDFqgMZvlxYadsaFFQDKOQrNCAHymiAy_w&amp;s,Wattweiler,</v>
      </c>
    </row>
    <row r="11" spans="1:6" x14ac:dyDescent="0.25">
      <c r="A11">
        <f t="shared" si="0"/>
        <v>10</v>
      </c>
      <c r="B11" t="str">
        <f>Tableaux!H11 &amp; "," &amp; Tableaux!I11</f>
        <v>8,1200</v>
      </c>
      <c r="C11">
        <f t="shared" si="0"/>
        <v>10</v>
      </c>
      <c r="D11" t="str">
        <f>Tableaux!A11 &amp; "," &amp; Tableaux!B11 &amp; "," &amp; Tableaux!C11</f>
        <v>8,9,800</v>
      </c>
      <c r="E11">
        <f t="shared" si="0"/>
        <v>10</v>
      </c>
      <c r="F11" t="str">
        <f>Palmon!B12 &amp; "," &amp; Palmon!C12 &amp; "," &amp; Palmon!D12 &amp; "," &amp; Palmon!E12 &amp; "," &amp; Palmon!G12 &amp; "," &amp; SUBSTITUTE(Palmon!H12,",",".") &amp; "," &amp; Palmon!I12 &amp; "," &amp; SUBSTITUTE(Palmon!P12,",",".") &amp; "," &amp; SUBSTITUTE(Palmon!Q12,",",".") &amp; "," &amp; SUBSTITUTE(Palmon!R12,",",".") &amp; "," &amp; SUBSTITUTE(Palmon!S12,",",".") &amp; "," &amp; SUBSTITUTE(Palmon!T12,",",".") &amp; "," &amp; Palmon!J12 &amp; "," &amp; Palmon!K12 &amp; "," &amp; Palmon!L12 &amp; "," &amp; Palmon!M12 &amp; "," &amp; Palmon!N12 &amp; "," &amp; SUBSTITUTE(Palmon!U12,",",".") &amp; "," &amp; Palmon!V12 &amp; "," &amp; Palmon!X12 &amp; "," &amp; Palmon!Y12 &amp; "," &amp; Palmon!AA12 &amp; "," &amp; Palmon!AB12 &amp; "," &amp; Palmon!AC12 &amp; "," &amp; Palmon!AE12 &amp; "," &amp; Palmon!AF12 &amp; "," &amp; Palmon!AI12 &amp; "," &amp; Palmon!AJ12</f>
        <v>Abuzzinian,Electricity,Defend,250,4,4.1,14,1,1,1,1,0.199999999999999,1,1,1,Max,,0.589743589743589,386,3503540000,1,4350,11,2,https://encrypted-tbn0.gstatic.com/images?q=tbn:ANd9GcT-r6BZKxjf-kMlCmzHjhnUHjvmCaOn5DxiYw&amp;s,https://encrypted-tbn0.gstatic.com/images?q=tbn:ANd9GcR23XO-FCNYoHOIhLnxge8AzFmdP8mD1D-mzQ&amp;s,Servolt,</v>
      </c>
    </row>
    <row r="12" spans="1:6" x14ac:dyDescent="0.25">
      <c r="A12">
        <f t="shared" si="0"/>
        <v>11</v>
      </c>
      <c r="B12" t="str">
        <f>Tableaux!H12 &amp; "," &amp; Tableaux!I12</f>
        <v>9,1400</v>
      </c>
      <c r="C12">
        <f t="shared" si="0"/>
        <v>11</v>
      </c>
      <c r="D12" t="str">
        <f>Tableaux!A12 &amp; "," &amp; Tableaux!B12 &amp; "," &amp; Tableaux!C12</f>
        <v>9,10,900</v>
      </c>
      <c r="E12">
        <f t="shared" si="0"/>
        <v>11</v>
      </c>
      <c r="F12" t="str">
        <f>Palmon!B13 &amp; "," &amp; Palmon!C13 &amp; "," &amp; Palmon!D13 &amp; "," &amp; Palmon!E13 &amp; "," &amp; Palmon!G13 &amp; "," &amp; SUBSTITUTE(Palmon!H13,",",".") &amp; "," &amp; Palmon!I13 &amp; "," &amp; SUBSTITUTE(Palmon!P13,",",".") &amp; "," &amp; SUBSTITUTE(Palmon!Q13,",",".") &amp; "," &amp; SUBSTITUTE(Palmon!R13,",",".") &amp; "," &amp; SUBSTITUTE(Palmon!S13,",",".") &amp; "," &amp; SUBSTITUTE(Palmon!T13,",",".") &amp; "," &amp; Palmon!J13 &amp; "," &amp; Palmon!K13 &amp; "," &amp; Palmon!L13 &amp; "," &amp; Palmon!M13 &amp; "," &amp; Palmon!N13 &amp; "," &amp; SUBSTITUTE(Palmon!U13,",",".") &amp; "," &amp; Palmon!V13 &amp; "," &amp; Palmon!X13 &amp; "," &amp; Palmon!Y13 &amp; "," &amp; Palmon!AA13 &amp; "," &amp; Palmon!AB13 &amp; "," &amp; Palmon!AC13 &amp; "," &amp; Palmon!AE13 &amp; "," &amp; Palmon!AF13 &amp; "," &amp; Palmon!AI13 &amp; "," &amp; Palmon!AJ13</f>
        <v>Escarffier,Fire,Defend,240,2,2.4,8,1,1,0.8,0,0,5,5,5,,,0.158974358974359,812,4211940000,1,2640,22,,https://encrypted-tbn0.gstatic.com/images?q=tbn:ANd9GcST2CrUIPAlFNBLPgZn0Tu93KelabHVVAbNLQ&amp;s, ,Essaucier,</v>
      </c>
    </row>
    <row r="13" spans="1:6" x14ac:dyDescent="0.25">
      <c r="A13">
        <f t="shared" si="0"/>
        <v>12</v>
      </c>
      <c r="B13" t="str">
        <f>Tableaux!H13 &amp; "," &amp; Tableaux!I13</f>
        <v>10,1700</v>
      </c>
      <c r="C13">
        <f t="shared" si="0"/>
        <v>12</v>
      </c>
      <c r="D13" t="str">
        <f>Tableaux!A13 &amp; "," &amp; Tableaux!B13 &amp; "," &amp; Tableaux!C13</f>
        <v>10,11,1000</v>
      </c>
      <c r="E13">
        <f t="shared" si="0"/>
        <v>12</v>
      </c>
      <c r="F13" t="str">
        <f>Palmon!B14 &amp; "," &amp; Palmon!C14 &amp; "," &amp; Palmon!D14 &amp; "," &amp; Palmon!E14 &amp; "," &amp; Palmon!G14 &amp; "," &amp; SUBSTITUTE(Palmon!H14,",",".") &amp; "," &amp; Palmon!I14 &amp; "," &amp; SUBSTITUTE(Palmon!P14,",",".") &amp; "," &amp; SUBSTITUTE(Palmon!Q14,",",".") &amp; "," &amp; SUBSTITUTE(Palmon!R14,",",".") &amp; "," &amp; SUBSTITUTE(Palmon!S14,",",".") &amp; "," &amp; SUBSTITUTE(Palmon!T14,",",".") &amp; "," &amp; Palmon!J14 &amp; "," &amp; Palmon!K14 &amp; "," &amp; Palmon!L14 &amp; "," &amp; Palmon!M14 &amp; "," &amp; Palmon!N14 &amp; "," &amp; SUBSTITUTE(Palmon!U14,",",".") &amp; "," &amp; Palmon!V14 &amp; "," &amp; Palmon!X14 &amp; "," &amp; Palmon!Y14 &amp; "," &amp; Palmon!AA14 &amp; "," &amp; Palmon!AB14 &amp; "," &amp; Palmon!AC14 &amp; "," &amp; Palmon!AE14 &amp; "," &amp; Palmon!AF14 &amp; "," &amp; Palmon!AI14 &amp; "," &amp; Palmon!AJ14</f>
        <v>Lucidina,Water,Attack,270,4,4,0,1,1,1,1,0,5,5,15,Max,,0.487179487179487,500,1515640000,1,4270,14,2,https://encrypted-tbn0.gstatic.com/images?q=tbn:ANd9GcR9A_xtftnwTH1zCnLIOcgmJKNZtFnB-e8QOw&amp;s, ,Oneirina,</v>
      </c>
    </row>
    <row r="14" spans="1:6" x14ac:dyDescent="0.25">
      <c r="A14">
        <f t="shared" si="0"/>
        <v>13</v>
      </c>
      <c r="B14" t="str">
        <f>Tableaux!H14 &amp; "," &amp; Tableaux!I14</f>
        <v>11,2000</v>
      </c>
      <c r="C14">
        <f t="shared" si="0"/>
        <v>13</v>
      </c>
      <c r="D14" t="str">
        <f>Tableaux!A14 &amp; "," &amp; Tableaux!B14 &amp; "," &amp; Tableaux!C14</f>
        <v>11,12,1100</v>
      </c>
      <c r="E14">
        <f t="shared" si="0"/>
        <v>13</v>
      </c>
      <c r="F14" t="str">
        <f>Palmon!B15 &amp; "," &amp; Palmon!C15 &amp; "," &amp; Palmon!D15 &amp; "," &amp; Palmon!E15 &amp; "," &amp; Palmon!G15 &amp; "," &amp; SUBSTITUTE(Palmon!H15,",",".") &amp; "," &amp; Palmon!I15 &amp; "," &amp; SUBSTITUTE(Palmon!P15,",",".") &amp; "," &amp; SUBSTITUTE(Palmon!Q15,",",".") &amp; "," &amp; SUBSTITUTE(Palmon!R15,",",".") &amp; "," &amp; SUBSTITUTE(Palmon!S15,",",".") &amp; "," &amp; SUBSTITUTE(Palmon!T15,",",".") &amp; "," &amp; Palmon!J15 &amp; "," &amp; Palmon!K15 &amp; "," &amp; Palmon!L15 &amp; "," &amp; Palmon!M15 &amp; "," &amp; Palmon!N15 &amp; "," &amp; SUBSTITUTE(Palmon!U15,",",".") &amp; "," &amp; Palmon!V15 &amp; "," &amp; Palmon!X15 &amp; "," &amp; Palmon!Y15 &amp; "," &amp; Palmon!AA15 &amp; "," &amp; Palmon!AB15 &amp; "," &amp; Palmon!AC15 &amp; "," &amp; Palmon!AE15 &amp; "," &amp; Palmon!AF15 &amp; "," &amp; Palmon!AI15 &amp; "," &amp; Palmon!AJ15</f>
        <v>Fleurizard,Wood,Attack,270,5,5,0,1,1,1,1,1,1,1,1,Max,10,1,0,1515640000,1,5270,5,1,https://encrypted-tbn0.gstatic.com/images?q=tbn:ANd9GcQCf63iS9oq-SMn3DO74UTS2j_zSrzNVTRMOQ&amp;s, ,,</v>
      </c>
    </row>
    <row r="15" spans="1:6" x14ac:dyDescent="0.25">
      <c r="A15">
        <f t="shared" si="0"/>
        <v>14</v>
      </c>
      <c r="B15" t="str">
        <f>Tableaux!H15 &amp; "," &amp; Tableaux!I15</f>
        <v>12,2300</v>
      </c>
      <c r="C15">
        <f t="shared" si="0"/>
        <v>14</v>
      </c>
      <c r="D15" t="str">
        <f>Tableaux!A15 &amp; "," &amp; Tableaux!B15 &amp; "," &amp; Tableaux!C15</f>
        <v>12,13,1200</v>
      </c>
      <c r="E15">
        <f t="shared" si="0"/>
        <v>14</v>
      </c>
      <c r="F15" t="str">
        <f>Palmon!B16 &amp; "," &amp; Palmon!C16 &amp; "," &amp; Palmon!D16 &amp; "," &amp; Palmon!E16 &amp; "," &amp; Palmon!G16 &amp; "," &amp; SUBSTITUTE(Palmon!H16,",",".") &amp; "," &amp; Palmon!I16 &amp; "," &amp; SUBSTITUTE(Palmon!P16,",",".") &amp; "," &amp; SUBSTITUTE(Palmon!Q16,",",".") &amp; "," &amp; SUBSTITUTE(Palmon!R16,",",".") &amp; "," &amp; SUBSTITUTE(Palmon!S16,",",".") &amp; "," &amp; SUBSTITUTE(Palmon!T16,",",".") &amp; "," &amp; Palmon!J16 &amp; "," &amp; Palmon!K16 &amp; "," &amp; Palmon!L16 &amp; "," &amp; Palmon!M16 &amp; "," &amp; Palmon!N16 &amp; "," &amp; SUBSTITUTE(Palmon!U16,",",".") &amp; "," &amp; Palmon!V16 &amp; "," &amp; Palmon!X16 &amp; "," &amp; Palmon!Y16 &amp; "," &amp; Palmon!AA16 &amp; "," &amp; Palmon!AB16 &amp; "," &amp; Palmon!AC16 &amp; "," &amp; Palmon!AE16 &amp; "," &amp; Palmon!AF16 &amp; "," &amp; Palmon!AI16 &amp; "," &amp; Palmon!AJ16</f>
        <v>Statchew,Wood,Defend,250,3,3,10,1,1,1,0,0,15,5,9,,,0.179487179487179,790,3503540000,1,3250,19,3,https://encrypted-tbn0.gstatic.com/images?q=tbn:ANd9GcSC1rp-0lIuUyVvSi8kN_vJnr_Ln4mF4lh4zg&amp;s, ,Anubeast,</v>
      </c>
    </row>
    <row r="16" spans="1:6" x14ac:dyDescent="0.25">
      <c r="A16">
        <f t="shared" si="0"/>
        <v>15</v>
      </c>
      <c r="B16" t="str">
        <f>Tableaux!H16 &amp; "," &amp; Tableaux!I16</f>
        <v>13,2600</v>
      </c>
      <c r="C16">
        <f t="shared" si="0"/>
        <v>15</v>
      </c>
      <c r="D16" t="str">
        <f>Tableaux!A16 &amp; "," &amp; Tableaux!B16 &amp; "," &amp; Tableaux!C16</f>
        <v>13,14,1300</v>
      </c>
      <c r="E16">
        <f t="shared" si="0"/>
        <v>15</v>
      </c>
      <c r="F16" t="str">
        <f>Palmon!B17 &amp; "," &amp; Palmon!C17 &amp; "," &amp; Palmon!D17 &amp; "," &amp; Palmon!E17 &amp; "," &amp; Palmon!G17 &amp; "," &amp; SUBSTITUTE(Palmon!H17,",",".") &amp; "," &amp; Palmon!I17 &amp; "," &amp; SUBSTITUTE(Palmon!P17,",",".") &amp; "," &amp; SUBSTITUTE(Palmon!Q17,",",".") &amp; "," &amp; SUBSTITUTE(Palmon!R17,",",".") &amp; "," &amp; SUBSTITUTE(Palmon!S17,",",".") &amp; "," &amp; SUBSTITUTE(Palmon!T17,",",".") &amp; "," &amp; Palmon!J17 &amp; "," &amp; Palmon!K17 &amp; "," &amp; Palmon!L17 &amp; "," &amp; Palmon!M17 &amp; "," &amp; Palmon!N17 &amp; "," &amp; SUBSTITUTE(Palmon!U17,",",".") &amp; "," &amp; Palmon!V17 &amp; "," &amp; Palmon!X17 &amp; "," &amp; Palmon!Y17 &amp; "," &amp; Palmon!AA17 &amp; "," &amp; Palmon!AB17 &amp; "," &amp; Palmon!AC17 &amp; "," &amp; Palmon!AE17 &amp; "," &amp; Palmon!AF17 &amp; "," &amp; Palmon!AI17 &amp; "," &amp; Palmon!AJ17</f>
        <v>Battereina,Electricity,Attack,250,4,4,0,1,1,1,1,0,1,1,1,Max,,0.487179487179487,500,3503540000,1,4250,15,3,https://encrypted-tbn0.gstatic.com/images?q=tbn:ANd9GcQaumzt62POzCPWE5kNVnUA5j6pKVetbogSOJqvW2HU&amp;s,https://encrypted-tbn0.gstatic.com/images?q=tbn:ANd9GcTun-SMpIMKagR2SMRlAysEcjxhO7sD6Nq3IQ&amp;s,Ampereina,</v>
      </c>
    </row>
    <row r="17" spans="1:6" x14ac:dyDescent="0.25">
      <c r="A17">
        <f t="shared" si="0"/>
        <v>16</v>
      </c>
      <c r="B17" t="str">
        <f>Tableaux!H17 &amp; "," &amp; Tableaux!I17</f>
        <v>14,2900</v>
      </c>
      <c r="C17">
        <f t="shared" si="0"/>
        <v>16</v>
      </c>
      <c r="D17" t="str">
        <f>Tableaux!A17 &amp; "," &amp; Tableaux!B17 &amp; "," &amp; Tableaux!C17</f>
        <v>14,15,1400</v>
      </c>
      <c r="E17">
        <f t="shared" si="0"/>
        <v>16</v>
      </c>
      <c r="F17" t="str">
        <f>Palmon!B18 &amp; "," &amp; Palmon!C18 &amp; "," &amp; Palmon!D18 &amp; "," &amp; Palmon!E18 &amp; "," &amp; Palmon!G18 &amp; "," &amp; SUBSTITUTE(Palmon!H18,",",".") &amp; "," &amp; Palmon!I18 &amp; "," &amp; SUBSTITUTE(Palmon!P18,",",".") &amp; "," &amp; SUBSTITUTE(Palmon!Q18,",",".") &amp; "," &amp; SUBSTITUTE(Palmon!R18,",",".") &amp; "," &amp; SUBSTITUTE(Palmon!S18,",",".") &amp; "," &amp; SUBSTITUTE(Palmon!T18,",",".") &amp; "," &amp; Palmon!J18 &amp; "," &amp; Palmon!K18 &amp; "," &amp; Palmon!L18 &amp; "," &amp; Palmon!M18 &amp; "," &amp; Palmon!N18 &amp; "," &amp; SUBSTITUTE(Palmon!U18,",",".") &amp; "," &amp; Palmon!V18 &amp; "," &amp; Palmon!X18 &amp; "," &amp; Palmon!Y18 &amp; "," &amp; Palmon!AA18 &amp; "," &amp; Palmon!AB18 &amp; "," &amp; Palmon!AC18 &amp; "," &amp; Palmon!AE18 &amp; "," &amp; Palmon!AF18 &amp; "," &amp; Palmon!AI18 &amp; "," &amp; Palmon!AJ18</f>
        <v>Fulgairy,Electricity,Defend,230,3,3.1,0,1,1,1,0.2,0,5,5,10,,,0.241025641025641,740,4771140000,1,3330,17,3,https://encrypted-tbn0.gstatic.com/images?q=tbn:ANd9GcRvhKm8Syu_29_yraif6I_ybijQhVUhvDmMNg&amp;s,https://encrypted-tbn0.gstatic.com/images?q=tbn:ANd9GcSNLJe_mmX76tcOcm93Zzrq-x4btMmg4l1csw&amp;s,Keraunosaur,</v>
      </c>
    </row>
    <row r="18" spans="1:6" x14ac:dyDescent="0.25">
      <c r="A18">
        <f t="shared" si="0"/>
        <v>17</v>
      </c>
      <c r="B18" t="str">
        <f>Tableaux!H18 &amp; "," &amp; Tableaux!I18</f>
        <v>15,3200</v>
      </c>
      <c r="C18">
        <f t="shared" si="0"/>
        <v>17</v>
      </c>
      <c r="D18" t="str">
        <f>Tableaux!A18 &amp; "," &amp; Tableaux!B18 &amp; "," &amp; Tableaux!C18</f>
        <v>15,16,1600</v>
      </c>
      <c r="E18">
        <f t="shared" si="0"/>
        <v>17</v>
      </c>
      <c r="F18" t="str">
        <f>Palmon!B19 &amp; "," &amp; Palmon!C19 &amp; "," &amp; Palmon!D19 &amp; "," &amp; Palmon!E19 &amp; "," &amp; Palmon!G19 &amp; "," &amp; SUBSTITUTE(Palmon!H19,",",".") &amp; "," &amp; Palmon!I19 &amp; "," &amp; SUBSTITUTE(Palmon!P19,",",".") &amp; "," &amp; SUBSTITUTE(Palmon!Q19,",",".") &amp; "," &amp; SUBSTITUTE(Palmon!R19,",",".") &amp; "," &amp; SUBSTITUTE(Palmon!S19,",",".") &amp; "," &amp; SUBSTITUTE(Palmon!T19,",",".") &amp; "," &amp; Palmon!J19 &amp; "," &amp; Palmon!K19 &amp; "," &amp; Palmon!L19 &amp; "," &amp; Palmon!M19 &amp; "," &amp; Palmon!N19 &amp; "," &amp; SUBSTITUTE(Palmon!U19,",",".") &amp; "," &amp; Palmon!V19 &amp; "," &amp; Palmon!X19 &amp; "," &amp; Palmon!Y19 &amp; "," &amp; Palmon!AA19 &amp; "," &amp; Palmon!AB19 &amp; "," &amp; Palmon!AC19 &amp; "," &amp; Palmon!AE19 &amp; "," &amp; Palmon!AF19 &amp; "," &amp; Palmon!AI19 &amp; "," &amp; Palmon!AJ19</f>
        <v>Blazeal,Fire,Attack,250,3,3,10,1,1,1,0,0,15,10,15,,,0.179487179487179,790,3503540000,1,3250,20,3,https://encrypted-tbn0.gstatic.com/images?q=tbn:ANd9GcRsDMtJC3uCFkue3lLpIZqf7OpQgR7XoKOS8g&amp;s,https://encrypted-tbn0.gstatic.com/images?q=tbn:ANd9GcTc2Arfa7L5NJadx_WdnWjGTYRLP6bgvNMsDUbraRNI&amp;s,Wildfuror,</v>
      </c>
    </row>
    <row r="19" spans="1:6" x14ac:dyDescent="0.25">
      <c r="A19">
        <f t="shared" si="0"/>
        <v>18</v>
      </c>
      <c r="B19" t="str">
        <f>Tableaux!H19 &amp; "," &amp; Tableaux!I19</f>
        <v>16,3500</v>
      </c>
      <c r="C19">
        <f t="shared" si="0"/>
        <v>18</v>
      </c>
      <c r="D19" t="str">
        <f>Tableaux!A19 &amp; "," &amp; Tableaux!B19 &amp; "," &amp; Tableaux!C19</f>
        <v>16,17,1800</v>
      </c>
      <c r="E19">
        <f t="shared" si="0"/>
        <v>18</v>
      </c>
      <c r="F19" t="str">
        <f>Palmon!B20 &amp; "," &amp; Palmon!C20 &amp; "," &amp; Palmon!D20 &amp; "," &amp; Palmon!E20 &amp; "," &amp; Palmon!G20 &amp; "," &amp; SUBSTITUTE(Palmon!H20,",",".") &amp; "," &amp; Palmon!I20 &amp; "," &amp; SUBSTITUTE(Palmon!P20,",",".") &amp; "," &amp; SUBSTITUTE(Palmon!Q20,",",".") &amp; "," &amp; SUBSTITUTE(Palmon!R20,",",".") &amp; "," &amp; SUBSTITUTE(Palmon!S20,",",".") &amp; "," &amp; SUBSTITUTE(Palmon!T20,",",".") &amp; "," &amp; Palmon!J20 &amp; "," &amp; Palmon!K20 &amp; "," &amp; Palmon!L20 &amp; "," &amp; Palmon!M20 &amp; "," &amp; Palmon!N20 &amp; "," &amp; SUBSTITUTE(Palmon!U20,",",".") &amp; "," &amp; Palmon!V20 &amp; "," &amp; Palmon!X20 &amp; "," &amp; Palmon!Y20 &amp; "," &amp; Palmon!AA20 &amp; "," &amp; Palmon!AB20 &amp; "," &amp; Palmon!AC20 &amp; "," &amp; Palmon!AE20 &amp; "," &amp; Palmon!AF20 &amp; "," &amp; Palmon!AI20 &amp; "," &amp; Palmon!AJ20</f>
        <v>Pipistrigoi,Fire,Attack,270,4,4.1,13,1,1,1,1,0.199999999999999,15,15,15,Max,,0.589743589743589,387,1515640000,1,4370,9,2,https://encrypted-tbn0.gstatic.com/images?q=tbn:ANd9GcSSdARGNHB_mPJlsb0v4ULv5HaXw2movjzNTNSrkzsi&amp;s, ,Azurostrigoi,</v>
      </c>
    </row>
    <row r="20" spans="1:6" x14ac:dyDescent="0.25">
      <c r="A20">
        <f t="shared" si="0"/>
        <v>19</v>
      </c>
      <c r="B20" t="str">
        <f>Tableaux!H20 &amp; "," &amp; Tableaux!I20</f>
        <v>17,3800</v>
      </c>
      <c r="C20">
        <f t="shared" si="0"/>
        <v>19</v>
      </c>
      <c r="D20" t="str">
        <f>Tableaux!A20 &amp; "," &amp; Tableaux!B20 &amp; "," &amp; Tableaux!C20</f>
        <v>17,18,2000</v>
      </c>
      <c r="E20">
        <f t="shared" si="0"/>
        <v>19</v>
      </c>
      <c r="F20" t="str">
        <f>Palmon!B21 &amp; "," &amp; Palmon!C21 &amp; "," &amp; Palmon!D21 &amp; "," &amp; Palmon!E21 &amp; "," &amp; Palmon!G21 &amp; "," &amp; SUBSTITUTE(Palmon!H21,",",".") &amp; "," &amp; Palmon!I21 &amp; "," &amp; SUBSTITUTE(Palmon!P21,",",".") &amp; "," &amp; SUBSTITUTE(Palmon!Q21,",",".") &amp; "," &amp; SUBSTITUTE(Palmon!R21,",",".") &amp; "," &amp; SUBSTITUTE(Palmon!S21,",",".") &amp; "," &amp; SUBSTITUTE(Palmon!T21,",",".") &amp; "," &amp; Palmon!J21 &amp; "," &amp; Palmon!K21 &amp; "," &amp; Palmon!L21 &amp; "," &amp; Palmon!M21 &amp; "," &amp; Palmon!N21 &amp; "," &amp; SUBSTITUTE(Palmon!U21,",",".") &amp; "," &amp; Palmon!V21 &amp; "," &amp; Palmon!X21 &amp; "," &amp; Palmon!Y21 &amp; "," &amp; Palmon!AA21 &amp; "," &amp; Palmon!AB21 &amp; "," &amp; Palmon!AC21 &amp; "," &amp; Palmon!AE21 &amp; "," &amp; Palmon!AF21 &amp; "," &amp; Palmon!AI21 &amp; "," &amp; Palmon!AJ21</f>
        <v>Fingenue,Water,Attack,200,2,2,13,1,1,0,0,0,5,1,5,,,0.0769230769230769,887,5796240000,1,2200,31,,https://encrypted-tbn0.gstatic.com/images?q=tbn:ANd9GcQMvgcplGCQCmIPq5ypILKf8v4mBVwxsMgKdg&amp;s,https://encrypted-tbn0.gstatic.com/images?q=tbn:ANd9GcQK8ZtDU3nBBFFGN2vhlNn2ACJuBBoGsnFHZC7On4Gb&amp;s,Finnabelle,</v>
      </c>
    </row>
    <row r="21" spans="1:6" x14ac:dyDescent="0.25">
      <c r="A21">
        <f t="shared" si="0"/>
        <v>20</v>
      </c>
      <c r="B21" t="str">
        <f>Tableaux!H21 &amp; "," &amp; Tableaux!I21</f>
        <v>18,4100</v>
      </c>
      <c r="C21">
        <f t="shared" si="0"/>
        <v>20</v>
      </c>
      <c r="D21" t="str">
        <f>Tableaux!A21 &amp; "," &amp; Tableaux!B21 &amp; "," &amp; Tableaux!C21</f>
        <v>18,19,2200</v>
      </c>
      <c r="E21">
        <f t="shared" si="0"/>
        <v>20</v>
      </c>
      <c r="F21" t="str">
        <f>Palmon!B22 &amp; "," &amp; Palmon!C22 &amp; "," &amp; Palmon!D22 &amp; "," &amp; Palmon!E22 &amp; "," &amp; Palmon!G22 &amp; "," &amp; SUBSTITUTE(Palmon!H22,",",".") &amp; "," &amp; Palmon!I22 &amp; "," &amp; SUBSTITUTE(Palmon!P22,",",".") &amp; "," &amp; SUBSTITUTE(Palmon!Q22,",",".") &amp; "," &amp; SUBSTITUTE(Palmon!R22,",",".") &amp; "," &amp; SUBSTITUTE(Palmon!S22,",",".") &amp; "," &amp; SUBSTITUTE(Palmon!T22,",",".") &amp; "," &amp; Palmon!J22 &amp; "," &amp; Palmon!K22 &amp; "," &amp; Palmon!L22 &amp; "," &amp; Palmon!M22 &amp; "," &amp; Palmon!N22 &amp; "," &amp; SUBSTITUTE(Palmon!U22,",",".") &amp; "," &amp; Palmon!V22 &amp; "," &amp; Palmon!X22 &amp; "," &amp; Palmon!Y22 &amp; "," &amp; Palmon!AA22 &amp; "," &amp; Palmon!AB22 &amp; "," &amp; Palmon!AC22 &amp; "," &amp; Palmon!AE22 &amp; "," &amp; Palmon!AF22 &amp; "," &amp; Palmon!AI22 &amp; "," &amp; Palmon!AJ22</f>
        <v>Dolphriend,Water,Defend,210,2,2.4,1,1,1,0.8,0,0,1,1,1,,,0.158974358974359,819,5541940000,1,2610,24,,https://encrypted-tbn0.gstatic.com/images?q=tbn:ANd9GcQ5ThIRML8-S9czd3JEMxpMlnMn9UAMwdeiBw&amp;s,https://encrypted-tbn0.gstatic.com/images?q=tbn:ANd9GcTQp9fQrKVHd_zzyuSxM8QSOjlZsRbJ0lwxrg&amp;s,Adolphonis,</v>
      </c>
    </row>
    <row r="22" spans="1:6" x14ac:dyDescent="0.25">
      <c r="A22">
        <f t="shared" si="0"/>
        <v>21</v>
      </c>
      <c r="B22" t="str">
        <f>Tableaux!H22 &amp; "," &amp; Tableaux!I22</f>
        <v>19,4400</v>
      </c>
      <c r="C22">
        <f t="shared" si="0"/>
        <v>21</v>
      </c>
      <c r="D22" t="str">
        <f>Tableaux!A22 &amp; "," &amp; Tableaux!B22 &amp; "," &amp; Tableaux!C22</f>
        <v>19,20,2400</v>
      </c>
      <c r="E22">
        <f t="shared" si="0"/>
        <v>21</v>
      </c>
      <c r="F22" t="str">
        <f>Palmon!B23 &amp; "," &amp; Palmon!C23 &amp; "," &amp; Palmon!D23 &amp; "," &amp; Palmon!E23 &amp; "," &amp; Palmon!G23 &amp; "," &amp; SUBSTITUTE(Palmon!H23,",",".") &amp; "," &amp; Palmon!I23 &amp; "," &amp; SUBSTITUTE(Palmon!P23,",",".") &amp; "," &amp; SUBSTITUTE(Palmon!Q23,",",".") &amp; "," &amp; SUBSTITUTE(Palmon!R23,",",".") &amp; "," &amp; SUBSTITUTE(Palmon!S23,",",".") &amp; "," &amp; SUBSTITUTE(Palmon!T23,",",".") &amp; "," &amp; Palmon!J23 &amp; "," &amp; Palmon!K23 &amp; "," &amp; Palmon!L23 &amp; "," &amp; Palmon!M23 &amp; "," &amp; Palmon!N23 &amp; "," &amp; SUBSTITUTE(Palmon!U23,",",".") &amp; "," &amp; Palmon!V23 &amp; "," &amp; Palmon!X23 &amp; "," &amp; Palmon!Y23 &amp; "," &amp; Palmon!AA23 &amp; "," &amp; Palmon!AB23 &amp; "," &amp; Palmon!AC23 &amp; "," &amp; Palmon!AE23 &amp; "," &amp; Palmon!AF23 &amp; "," &amp; Palmon!AI23 &amp; "," &amp; Palmon!AJ23</f>
        <v>Ninjump,Water,Attack,160,2,2.3,10,1,1,0.6,0,0,1,1,1,,,0.138461538461538,830,6299740000,1,2460,26,,https://encrypted-tbn0.gstatic.com/images?q=tbn:ANd9GcQlW5YoM4c6bArAuIb7UxI-VfUI9GmBp85Qig&amp;s,https://encrypted-tbn0.gstatic.com/images?q=tbn:ANd9GcRXczs_Bjhslhr7Mf2HENU6MTyGpz0RJEMjNA&amp;s,Bufonobi,Shadowkaeru</v>
      </c>
    </row>
    <row r="23" spans="1:6" x14ac:dyDescent="0.25">
      <c r="A23">
        <f t="shared" si="0"/>
        <v>22</v>
      </c>
      <c r="B23" t="str">
        <f>Tableaux!H23 &amp; "," &amp; Tableaux!I23</f>
        <v>20,4700</v>
      </c>
      <c r="C23">
        <f t="shared" si="0"/>
        <v>22</v>
      </c>
      <c r="D23" t="str">
        <f>Tableaux!A23 &amp; "," &amp; Tableaux!B23 &amp; "," &amp; Tableaux!C23</f>
        <v>20,21,2700</v>
      </c>
      <c r="E23">
        <f t="shared" si="0"/>
        <v>22</v>
      </c>
      <c r="F23" t="str">
        <f>Palmon!B24 &amp; "," &amp; Palmon!C24 &amp; "," &amp; Palmon!D24 &amp; "," &amp; Palmon!E24 &amp; "," &amp; Palmon!G24 &amp; "," &amp; SUBSTITUTE(Palmon!H24,",",".") &amp; "," &amp; Palmon!I24 &amp; "," &amp; SUBSTITUTE(Palmon!P24,",",".") &amp; "," &amp; SUBSTITUTE(Palmon!Q24,",",".") &amp; "," &amp; SUBSTITUTE(Palmon!R24,",",".") &amp; "," &amp; SUBSTITUTE(Palmon!S24,",",".") &amp; "," &amp; SUBSTITUTE(Palmon!T24,",",".") &amp; "," &amp; Palmon!J24 &amp; "," &amp; Palmon!K24 &amp; "," &amp; Palmon!L24 &amp; "," &amp; Palmon!M24 &amp; "," &amp; Palmon!N24 &amp; "," &amp; SUBSTITUTE(Palmon!U24,",",".") &amp; "," &amp; Palmon!V24 &amp; "," &amp; Palmon!X24 &amp; "," &amp; Palmon!Y24 &amp; "," &amp; Palmon!AA24 &amp; "," &amp; Palmon!AB24 &amp; "," &amp; Palmon!AC24 &amp; "," &amp; Palmon!AE24 &amp; "," &amp; Palmon!AF24 &amp; "," &amp; Palmon!AI24 &amp; "," &amp; Palmon!AJ24</f>
        <v>Surveilynx,Wood,Attack,230,2,2,0,1,1,0,0,0,10,10,10,,,0.0769230769230769,900,4771140000,1,2230,30,,https://encrypted-tbn0.gstatic.com/images?q=tbn:ANd9GcS2Z4TkKenIldVD1AQ7o1ftBU6pG9zKRz-FKA&amp;s,https://encrypted-tbn0.gstatic.com/images?q=tbn:ANd9GcQt6lIf0Em_f_DT0VurOVsujswJCEmGOpJk4N6txfed&amp;s,Camouflynx,</v>
      </c>
    </row>
    <row r="24" spans="1:6" x14ac:dyDescent="0.25">
      <c r="A24">
        <f t="shared" si="0"/>
        <v>23</v>
      </c>
      <c r="B24" t="str">
        <f>Tableaux!H24 &amp; "," &amp; Tableaux!I24</f>
        <v>21,5000</v>
      </c>
      <c r="C24">
        <f t="shared" si="0"/>
        <v>23</v>
      </c>
      <c r="D24" t="str">
        <f>Tableaux!A24 &amp; "," &amp; Tableaux!B24 &amp; "," &amp; Tableaux!C24</f>
        <v>21,22,3000</v>
      </c>
      <c r="E24">
        <f t="shared" si="0"/>
        <v>23</v>
      </c>
      <c r="F24" t="str">
        <f>Palmon!B25 &amp; "," &amp; Palmon!C25 &amp; "," &amp; Palmon!D25 &amp; "," &amp; Palmon!E25 &amp; "," &amp; Palmon!G25 &amp; "," &amp; SUBSTITUTE(Palmon!H25,",",".") &amp; "," &amp; Palmon!I25 &amp; "," &amp; SUBSTITUTE(Palmon!P25,",",".") &amp; "," &amp; SUBSTITUTE(Palmon!Q25,",",".") &amp; "," &amp; SUBSTITUTE(Palmon!R25,",",".") &amp; "," &amp; SUBSTITUTE(Palmon!S25,",",".") &amp; "," &amp; SUBSTITUTE(Palmon!T25,",",".") &amp; "," &amp; Palmon!J25 &amp; "," &amp; Palmon!K25 &amp; "," &amp; Palmon!L25 &amp; "," &amp; Palmon!M25 &amp; "," &amp; Palmon!N25 &amp; "," &amp; SUBSTITUTE(Palmon!U25,",",".") &amp; "," &amp; Palmon!V25 &amp; "," &amp; Palmon!X25 &amp; "," &amp; Palmon!Y25 &amp; "," &amp; Palmon!AA25 &amp; "," &amp; Palmon!AB25 &amp; "," &amp; Palmon!AC25 &amp; "," &amp; Palmon!AE25 &amp; "," &amp; Palmon!AF25 &amp; "," &amp; Palmon!AI25 &amp; "," &amp; Palmon!AJ25</f>
        <v>Salamantis,Wood,Attack,200,2,2.3,0,1,1,0.6,0,0,1,1,1,,,0.138461538461538,840,5796240000,1,2500,25,,https://encrypted-tbn0.gstatic.com/images?q=tbn:ANd9GcSPFSxpzP3XhhfdRhxvv_Oi86DkexX6yjZrRA&amp;s,,Silvaurus,</v>
      </c>
    </row>
    <row r="25" spans="1:6" x14ac:dyDescent="0.25">
      <c r="A25">
        <f t="shared" si="0"/>
        <v>24</v>
      </c>
      <c r="B25" t="str">
        <f>Tableaux!H25 &amp; "," &amp; Tableaux!I25</f>
        <v>22,5500</v>
      </c>
      <c r="C25">
        <f t="shared" si="0"/>
        <v>24</v>
      </c>
      <c r="D25" t="str">
        <f>Tableaux!A25 &amp; "," &amp; Tableaux!B25 &amp; "," &amp; Tableaux!C25</f>
        <v>22,23,3500</v>
      </c>
      <c r="E25">
        <f t="shared" si="0"/>
        <v>24</v>
      </c>
      <c r="F25" t="str">
        <f>Palmon!B26 &amp; "," &amp; Palmon!C26 &amp; "," &amp; Palmon!D26 &amp; "," &amp; Palmon!E26 &amp; "," &amp; Palmon!G26 &amp; "," &amp; SUBSTITUTE(Palmon!H26,",",".") &amp; "," &amp; Palmon!I26 &amp; "," &amp; SUBSTITUTE(Palmon!P26,",",".") &amp; "," &amp; SUBSTITUTE(Palmon!Q26,",",".") &amp; "," &amp; SUBSTITUTE(Palmon!R26,",",".") &amp; "," &amp; SUBSTITUTE(Palmon!S26,",",".") &amp; "," &amp; SUBSTITUTE(Palmon!T26,",",".") &amp; "," &amp; Palmon!J26 &amp; "," &amp; Palmon!K26 &amp; "," &amp; Palmon!L26 &amp; "," &amp; Palmon!M26 &amp; "," &amp; Palmon!N26 &amp; "," &amp; SUBSTITUTE(Palmon!U26,",",".") &amp; "," &amp; Palmon!V26 &amp; "," &amp; Palmon!X26 &amp; "," &amp; Palmon!Y26 &amp; "," &amp; Palmon!AA26 &amp; "," &amp; Palmon!AB26 &amp; "," &amp; Palmon!AC26 &amp; "," &amp; Palmon!AE26 &amp; "," &amp; Palmon!AF26 &amp; "," &amp; Palmon!AI26 &amp; "," &amp; Palmon!AJ26</f>
        <v>Regalion,Water,Defend,200,2,2.2,11,1,1,0.4,0,0,10,10,10,,,0.117948717948718,849,5796240000,1,2400,29,,https://encrypted-tbn0.gstatic.com/images?q=tbn:ANd9GcToQuTLjFC_oynclPIY9tWM7qAaMIPbmzTn2Q&amp;s,https://encrypted-tbn0.gstatic.com/images?q=tbn:ANd9GcS0uWep-9VXcdMd6qSpdASqYR42mG4SmBsCjw&amp;s,Lionarch,</v>
      </c>
    </row>
    <row r="26" spans="1:6" x14ac:dyDescent="0.25">
      <c r="A26">
        <f t="shared" si="0"/>
        <v>25</v>
      </c>
      <c r="B26" t="str">
        <f>Tableaux!H26 &amp; "," &amp; Tableaux!I26</f>
        <v>23,6000</v>
      </c>
      <c r="C26">
        <f t="shared" si="0"/>
        <v>25</v>
      </c>
      <c r="D26" t="str">
        <f>Tableaux!A26 &amp; "," &amp; Tableaux!B26 &amp; "," &amp; Tableaux!C26</f>
        <v>23,24,4000</v>
      </c>
      <c r="E26">
        <f t="shared" si="0"/>
        <v>25</v>
      </c>
      <c r="F26" t="str">
        <f>Palmon!B27 &amp; "," &amp; Palmon!C27 &amp; "," &amp; Palmon!D27 &amp; "," &amp; Palmon!E27 &amp; "," &amp; Palmon!G27 &amp; "," &amp; SUBSTITUTE(Palmon!H27,",",".") &amp; "," &amp; Palmon!I27 &amp; "," &amp; SUBSTITUTE(Palmon!P27,",",".") &amp; "," &amp; SUBSTITUTE(Palmon!Q27,",",".") &amp; "," &amp; SUBSTITUTE(Palmon!R27,",",".") &amp; "," &amp; SUBSTITUTE(Palmon!S27,",",".") &amp; "," &amp; SUBSTITUTE(Palmon!T27,",",".") &amp; "," &amp; Palmon!J27 &amp; "," &amp; Palmon!K27 &amp; "," &amp; Palmon!L27 &amp; "," &amp; Palmon!M27 &amp; "," &amp; Palmon!N27 &amp; "," &amp; SUBSTITUTE(Palmon!U27,",",".") &amp; "," &amp; Palmon!V27 &amp; "," &amp; Palmon!X27 &amp; "," &amp; Palmon!Y27 &amp; "," &amp; Palmon!AA27 &amp; "," &amp; Palmon!AB27 &amp; "," &amp; Palmon!AC27 &amp; "," &amp; Palmon!AE27 &amp; "," &amp; Palmon!AF27 &amp; "," &amp; Palmon!AI27 &amp; "," &amp; Palmon!AJ27</f>
        <v>Mantleray,Electricity,Attack,230,2,2.4,3,1,1,0.8,0,0,4,1,1,,,0.158974358974359,817,4771140000,1,2630,23,,https://encrypted-tbn0.gstatic.com/images?q=tbn:ANd9GcSWhzppoZXwh-zBnWIY3GFkIp0x0kc0hAzG0A&amp;s, ,Sorceray,</v>
      </c>
    </row>
    <row r="27" spans="1:6" x14ac:dyDescent="0.25">
      <c r="A27">
        <f t="shared" si="0"/>
        <v>26</v>
      </c>
      <c r="B27" t="str">
        <f>Tableaux!H27 &amp; "," &amp; Tableaux!I27</f>
        <v>24,6500</v>
      </c>
      <c r="C27">
        <f t="shared" si="0"/>
        <v>26</v>
      </c>
      <c r="D27" t="str">
        <f>Tableaux!A27 &amp; "," &amp; Tableaux!B27 &amp; "," &amp; Tableaux!C27</f>
        <v>24,25,5000</v>
      </c>
      <c r="E27">
        <f t="shared" si="0"/>
        <v>26</v>
      </c>
      <c r="F27" t="str">
        <f>Palmon!B28 &amp; "," &amp; Palmon!C28 &amp; "," &amp; Palmon!D28 &amp; "," &amp; Palmon!E28 &amp; "," &amp; Palmon!G28 &amp; "," &amp; SUBSTITUTE(Palmon!H28,",",".") &amp; "," &amp; Palmon!I28 &amp; "," &amp; SUBSTITUTE(Palmon!P28,",",".") &amp; "," &amp; SUBSTITUTE(Palmon!Q28,",",".") &amp; "," &amp; SUBSTITUTE(Palmon!R28,",",".") &amp; "," &amp; SUBSTITUTE(Palmon!S28,",",".") &amp; "," &amp; SUBSTITUTE(Palmon!T28,",",".") &amp; "," &amp; Palmon!J28 &amp; "," &amp; Palmon!K28 &amp; "," &amp; Palmon!L28 &amp; "," &amp; Palmon!M28 &amp; "," &amp; Palmon!N28 &amp; "," &amp; SUBSTITUTE(Palmon!U28,",",".") &amp; "," &amp; Palmon!V28 &amp; "," &amp; Palmon!X28 &amp; "," &amp; Palmon!Y28 &amp; "," &amp; Palmon!AA28 &amp; "," &amp; Palmon!AB28 &amp; "," &amp; Palmon!AC28 &amp; "," &amp; Palmon!AE28 &amp; "," &amp; Palmon!AF28 &amp; "," &amp; Palmon!AI28 &amp; "," &amp; Palmon!AJ28</f>
        <v>Oleana,Wood,Attack,260,5,5,128,1,1,1,1,1,1,1,1,Max,10,1,-128,2616040000,1,5260,7,1,https://encrypted-tbn0.gstatic.com/images?q=tbn:ANd9GcQ02wmDjsAMofj1ObwwNW6Vhl_QQ-LUodGIKA&amp;s, ,,</v>
      </c>
    </row>
    <row r="28" spans="1:6" x14ac:dyDescent="0.25">
      <c r="A28">
        <f t="shared" si="0"/>
        <v>27</v>
      </c>
      <c r="B28" t="str">
        <f>Tableaux!H28 &amp; "," &amp; Tableaux!I28</f>
        <v>25,7000</v>
      </c>
      <c r="C28">
        <f t="shared" si="0"/>
        <v>27</v>
      </c>
      <c r="D28" t="str">
        <f>Tableaux!A28 &amp; "," &amp; Tableaux!B28 &amp; "," &amp; Tableaux!C28</f>
        <v>25,26,6000</v>
      </c>
      <c r="E28">
        <f t="shared" si="0"/>
        <v>27</v>
      </c>
      <c r="F28" t="str">
        <f>Palmon!B29 &amp; "," &amp; Palmon!C29 &amp; "," &amp; Palmon!D29 &amp; "," &amp; Palmon!E29 &amp; "," &amp; Palmon!G29 &amp; "," &amp; SUBSTITUTE(Palmon!H29,",",".") &amp; "," &amp; Palmon!I29 &amp; "," &amp; SUBSTITUTE(Palmon!P29,",",".") &amp; "," &amp; SUBSTITUTE(Palmon!Q29,",",".") &amp; "," &amp; SUBSTITUTE(Palmon!R29,",",".") &amp; "," &amp; SUBSTITUTE(Palmon!S29,",",".") &amp; "," &amp; SUBSTITUTE(Palmon!T29,",",".") &amp; "," &amp; Palmon!J29 &amp; "," &amp; Palmon!K29 &amp; "," &amp; Palmon!L29 &amp; "," &amp; Palmon!M29 &amp; "," &amp; Palmon!N29 &amp; "," &amp; SUBSTITUTE(Palmon!U29,",",".") &amp; "," &amp; Palmon!V29 &amp; "," &amp; Palmon!X29 &amp; "," &amp; Palmon!Y29 &amp; "," &amp; Palmon!AA29 &amp; "," &amp; Palmon!AB29 &amp; "," &amp; Palmon!AC29 &amp; "," &amp; Palmon!AE29 &amp; "," &amp; Palmon!AF29 &amp; "," &amp; Palmon!AI29 &amp; "," &amp; Palmon!AJ29</f>
        <v>Spookaboo,Fire,Attack,230,5,5,10,1,1,1,1,1,1,1,30,Max,10,1,-10,4771140000,1,5230,8,2,https://encrypted-tbn0.gstatic.com/images?q=tbn:ANd9GcT29K673YTBvt_EofrppvnWB4sgt43DEq1pTw&amp;s, ,,</v>
      </c>
    </row>
    <row r="29" spans="1:6" x14ac:dyDescent="0.25">
      <c r="A29">
        <f t="shared" si="0"/>
        <v>28</v>
      </c>
      <c r="B29" t="str">
        <f>Tableaux!H29 &amp; "," &amp; Tableaux!I29</f>
        <v>26,7500</v>
      </c>
      <c r="C29">
        <f t="shared" si="0"/>
        <v>28</v>
      </c>
      <c r="D29" t="str">
        <f>Tableaux!A29 &amp; "," &amp; Tableaux!B29 &amp; "," &amp; Tableaux!C29</f>
        <v>26,27,7000</v>
      </c>
      <c r="E29">
        <f t="shared" si="0"/>
        <v>28</v>
      </c>
      <c r="F29" t="str">
        <f>Palmon!B30 &amp; "," &amp; Palmon!C30 &amp; "," &amp; Palmon!D30 &amp; "," &amp; Palmon!E30 &amp; "," &amp; Palmon!G30 &amp; "," &amp; SUBSTITUTE(Palmon!H30,",",".") &amp; "," &amp; Palmon!I30 &amp; "," &amp; SUBSTITUTE(Palmon!P30,",",".") &amp; "," &amp; SUBSTITUTE(Palmon!Q30,",",".") &amp; "," &amp; SUBSTITUTE(Palmon!R30,",",".") &amp; "," &amp; SUBSTITUTE(Palmon!S30,",",".") &amp; "," &amp; SUBSTITUTE(Palmon!T30,",",".") &amp; "," &amp; Palmon!J30 &amp; "," &amp; Palmon!K30 &amp; "," &amp; Palmon!L30 &amp; "," &amp; Palmon!M30 &amp; "," &amp; Palmon!N30 &amp; "," &amp; SUBSTITUTE(Palmon!U30,",",".") &amp; "," &amp; Palmon!V30 &amp; "," &amp; Palmon!X30 &amp; "," &amp; Palmon!Y30 &amp; "," &amp; Palmon!AA30 &amp; "," &amp; Palmon!AB30 &amp; "," &amp; Palmon!AC30 &amp; "," &amp; Palmon!AE30 &amp; "," &amp; Palmon!AF30 &amp; "," &amp; Palmon!AI30 &amp; "," &amp; Palmon!AJ30</f>
        <v>Kungpaw,Water,Defend,200,4,4.1,30,1,1,1,1,0.199999999999999,1,1,1,Max,,0.589743589743589,370,5796240000,1,4300,12,2,https://encrypted-tbn0.gstatic.com/images?q=tbn:ANd9GcRV1HdRcNPUS4HjDBZ2YOXgaMW_I8FgZEP5xg&amp;s,,,</v>
      </c>
    </row>
    <row r="30" spans="1:6" x14ac:dyDescent="0.25">
      <c r="A30">
        <f t="shared" si="0"/>
        <v>29</v>
      </c>
      <c r="B30" t="str">
        <f>Tableaux!H30 &amp; "," &amp; Tableaux!I30</f>
        <v>27,8000</v>
      </c>
      <c r="C30">
        <f t="shared" si="0"/>
        <v>29</v>
      </c>
      <c r="D30" t="str">
        <f>Tableaux!A30 &amp; "," &amp; Tableaux!B30 &amp; "," &amp; Tableaux!C30</f>
        <v>27,28,8000</v>
      </c>
      <c r="E30">
        <f t="shared" si="0"/>
        <v>29</v>
      </c>
      <c r="F30" t="str">
        <f>Palmon!B31 &amp; "," &amp; Palmon!C31 &amp; "," &amp; Palmon!D31 &amp; "," &amp; Palmon!E31 &amp; "," &amp; Palmon!G31 &amp; "," &amp; SUBSTITUTE(Palmon!H31,",",".") &amp; "," &amp; Palmon!I31 &amp; "," &amp; SUBSTITUTE(Palmon!P31,",",".") &amp; "," &amp; SUBSTITUTE(Palmon!Q31,",",".") &amp; "," &amp; SUBSTITUTE(Palmon!R31,",",".") &amp; "," &amp; SUBSTITUTE(Palmon!S31,",",".") &amp; "," &amp; SUBSTITUTE(Palmon!T31,",",".") &amp; "," &amp; Palmon!J31 &amp; "," &amp; Palmon!K31 &amp; "," &amp; Palmon!L31 &amp; "," &amp; Palmon!M31 &amp; "," &amp; Palmon!N31 &amp; "," &amp; SUBSTITUTE(Palmon!U31,",",".") &amp; "," &amp; Palmon!V31 &amp; "," &amp; Palmon!X31 &amp; "," &amp; Palmon!Y31 &amp; "," &amp; Palmon!AA31 &amp; "," &amp; Palmon!AB31 &amp; "," &amp; Palmon!AC31 &amp; "," &amp; Palmon!AE31 &amp; "," &amp; Palmon!AF31 &amp; "," &amp; Palmon!AI31 &amp; "," &amp; Palmon!AJ31</f>
        <v>Baboom,Wood,Attack,240,3,3,10,1,1,1,0,0,5,1,1,,,0.179487179487179,790,4211940000,1,3240,21,,https://encrypted-tbn0.gstatic.com/images?q=tbn:ANd9GcRh7P3oaH_Kq0fni1aOxe3TmDgHULu_Z-UWUg&amp;s,https://encrypted-tbn0.gstatic.com/images?q=tbn:ANd9GcSQA67-vNrm701vphmHvRKGkJTx2O2gyTi00Q&amp;s,Rumbkey,</v>
      </c>
    </row>
    <row r="31" spans="1:6" x14ac:dyDescent="0.25">
      <c r="A31">
        <f t="shared" si="0"/>
        <v>30</v>
      </c>
      <c r="B31" t="str">
        <f>Tableaux!H31 &amp; "," &amp; Tableaux!I31</f>
        <v>28,8500</v>
      </c>
      <c r="C31">
        <f t="shared" si="0"/>
        <v>30</v>
      </c>
      <c r="D31" t="str">
        <f>Tableaux!A31 &amp; "," &amp; Tableaux!B31 &amp; "," &amp; Tableaux!C31</f>
        <v>28,29,9000</v>
      </c>
      <c r="E31">
        <f t="shared" si="0"/>
        <v>30</v>
      </c>
      <c r="F31" t="str">
        <f>Palmon!B32 &amp; "," &amp; Palmon!C32 &amp; "," &amp; Palmon!D32 &amp; "," &amp; Palmon!E32 &amp; "," &amp; Palmon!G32 &amp; "," &amp; SUBSTITUTE(Palmon!H32,",",".") &amp; "," &amp; Palmon!I32 &amp; "," &amp; SUBSTITUTE(Palmon!P32,",",".") &amp; "," &amp; SUBSTITUTE(Palmon!Q32,",",".") &amp; "," &amp; SUBSTITUTE(Palmon!R32,",",".") &amp; "," &amp; SUBSTITUTE(Palmon!S32,",",".") &amp; "," &amp; SUBSTITUTE(Palmon!T32,",",".") &amp; "," &amp; Palmon!J32 &amp; "," &amp; Palmon!K32 &amp; "," &amp; Palmon!L32 &amp; "," &amp; Palmon!M32 &amp; "," &amp; Palmon!N32 &amp; "," &amp; SUBSTITUTE(Palmon!U32,",",".") &amp; "," &amp; Palmon!V32 &amp; "," &amp; Palmon!X32 &amp; "," &amp; Palmon!Y32 &amp; "," &amp; Palmon!AA32 &amp; "," &amp; Palmon!AB32 &amp; "," &amp; Palmon!AC32 &amp; "," &amp; Palmon!AE32 &amp; "," &amp; Palmon!AF32 &amp; "," &amp; Palmon!AI32 &amp; "," &amp; Palmon!AJ32</f>
        <v>Pyregeist,Fire,Defend,,0,,,0,0,0,0,0,,,,,,0,975,6424613700,,0,34,,https://encrypted-tbn0.gstatic.com/images?q=tbn:ANd9GcQxjczIZhaTQV2VukHWlKoJMQ30DrUIwatAEw&amp;s, ,Embergeist,</v>
      </c>
    </row>
    <row r="32" spans="1:6" x14ac:dyDescent="0.25">
      <c r="A32">
        <f t="shared" si="0"/>
        <v>31</v>
      </c>
      <c r="B32" t="str">
        <f>Tableaux!H32 &amp; "," &amp; Tableaux!I32</f>
        <v>29,9000</v>
      </c>
      <c r="C32">
        <f t="shared" si="0"/>
        <v>31</v>
      </c>
      <c r="D32" t="str">
        <f>Tableaux!A32 &amp; "," &amp; Tableaux!B32 &amp; "," &amp; Tableaux!C32</f>
        <v>29,30,10000</v>
      </c>
      <c r="E32">
        <f t="shared" si="0"/>
        <v>31</v>
      </c>
      <c r="F32" t="str">
        <f>Palmon!B33 &amp; "," &amp; Palmon!C33 &amp; "," &amp; Palmon!D33 &amp; "," &amp; Palmon!E33 &amp; "," &amp; Palmon!G33 &amp; "," &amp; SUBSTITUTE(Palmon!H33,",",".") &amp; "," &amp; Palmon!I33 &amp; "," &amp; SUBSTITUTE(Palmon!P33,",",".") &amp; "," &amp; SUBSTITUTE(Palmon!Q33,",",".") &amp; "," &amp; SUBSTITUTE(Palmon!R33,",",".") &amp; "," &amp; SUBSTITUTE(Palmon!S33,",",".") &amp; "," &amp; SUBSTITUTE(Palmon!T33,",",".") &amp; "," &amp; Palmon!J33 &amp; "," &amp; Palmon!K33 &amp; "," &amp; Palmon!L33 &amp; "," &amp; Palmon!M33 &amp; "," &amp; Palmon!N33 &amp; "," &amp; SUBSTITUTE(Palmon!U33,",",".") &amp; "," &amp; Palmon!V33 &amp; "," &amp; Palmon!X33 &amp; "," &amp; Palmon!Y33 &amp; "," &amp; Palmon!AA33 &amp; "," &amp; Palmon!AB33 &amp; "," &amp; Palmon!AC33 &amp; "," &amp; Palmon!AE33 &amp; "," &amp; Palmon!AF33 &amp; "," &amp; Palmon!AI33 &amp; "," &amp; Palmon!AJ33</f>
        <v>Thundertooth,Electricity,Attack,270,5,5,0,1,1,1,1,1,1,1,1,Max,10,1,0,1515640000,1,5270,6,1,https://encrypted-tbn0.gstatic.com/images?q=tbn:ANd9GcRNSg29kZ5t51s7m9SpGygJKsQow67zLt08qg&amp;s,https://encrypted-tbn0.gstatic.com/images?q=tbn:ANd9GcQoXkXemCK02vmhKICXcvjchtQ-qvcAc5zyrA&amp;s,Thundermane,</v>
      </c>
    </row>
    <row r="33" spans="3:6" x14ac:dyDescent="0.25">
      <c r="C33">
        <f t="shared" si="0"/>
        <v>32</v>
      </c>
      <c r="D33" t="str">
        <f>Tableaux!A33 &amp; "," &amp; Tableaux!B33 &amp; "," &amp; Tableaux!C33</f>
        <v>30,31,11000</v>
      </c>
      <c r="E33">
        <f t="shared" si="0"/>
        <v>32</v>
      </c>
      <c r="F33" t="str">
        <f>Palmon!B34 &amp; "," &amp; Palmon!C34 &amp; "," &amp; Palmon!D34 &amp; "," &amp; Palmon!E34 &amp; "," &amp; Palmon!G34 &amp; "," &amp; SUBSTITUTE(Palmon!H34,",",".") &amp; "," &amp; Palmon!I34 &amp; "," &amp; SUBSTITUTE(Palmon!P34,",",".") &amp; "," &amp; SUBSTITUTE(Palmon!Q34,",",".") &amp; "," &amp; SUBSTITUTE(Palmon!R34,",",".") &amp; "," &amp; SUBSTITUTE(Palmon!S34,",",".") &amp; "," &amp; SUBSTITUTE(Palmon!T34,",",".") &amp; "," &amp; Palmon!J34 &amp; "," &amp; Palmon!K34 &amp; "," &amp; Palmon!L34 &amp; "," &amp; Palmon!M34 &amp; "," &amp; Palmon!N34 &amp; "," &amp; SUBSTITUTE(Palmon!U34,",",".") &amp; "," &amp; Palmon!V34 &amp; "," &amp; Palmon!X34 &amp; "," &amp; Palmon!Y34 &amp; "," &amp; Palmon!AA34 &amp; "," &amp; Palmon!AB34 &amp; "," &amp; Palmon!AC34 &amp; "," &amp; Palmon!AE34 &amp; "," &amp; Palmon!AF34 &amp; "," &amp; Palmon!AI34 &amp; "," &amp; Palmon!AJ34</f>
        <v>Mammolith,Wood,Defend,,0,,,0,0,0,0,0,,,,,,0,975,6424613700,,0,35,,https://encrypted-tbn0.gstatic.com/images?q=tbn:ANd9GcRR4T5jdtF_LaheoRmg2FLSWS4DS4QhqCFaAg&amp;s, ,Prismalith,</v>
      </c>
    </row>
    <row r="34" spans="3:6" x14ac:dyDescent="0.25">
      <c r="C34">
        <f t="shared" ref="C34:C97" si="1">ROW()-1</f>
        <v>33</v>
      </c>
      <c r="D34" t="str">
        <f>Tableaux!A34 &amp; "," &amp; Tableaux!B34 &amp; "," &amp; Tableaux!C34</f>
        <v>31,32,12000</v>
      </c>
      <c r="E34">
        <f t="shared" ref="E34:E43" si="2">ROW()-1</f>
        <v>33</v>
      </c>
      <c r="F34" t="str">
        <f>Palmon!B35 &amp; "," &amp; Palmon!C35 &amp; "," &amp; Palmon!D35 &amp; "," &amp; Palmon!E35 &amp; "," &amp; Palmon!G35 &amp; "," &amp; SUBSTITUTE(Palmon!H35,",",".") &amp; "," &amp; Palmon!I35 &amp; "," &amp; SUBSTITUTE(Palmon!P35,",",".") &amp; "," &amp; SUBSTITUTE(Palmon!Q35,",",".") &amp; "," &amp; SUBSTITUTE(Palmon!R35,",",".") &amp; "," &amp; SUBSTITUTE(Palmon!S35,",",".") &amp; "," &amp; SUBSTITUTE(Palmon!T35,",",".") &amp; "," &amp; Palmon!J35 &amp; "," &amp; Palmon!K35 &amp; "," &amp; Palmon!L35 &amp; "," &amp; Palmon!M35 &amp; "," &amp; Palmon!N35 &amp; "," &amp; SUBSTITUTE(Palmon!U35,",",".") &amp; "," &amp; Palmon!V35 &amp; "," &amp; Palmon!X35 &amp; "," &amp; Palmon!Y35 &amp; "," &amp; Palmon!AA35 &amp; "," &amp; Palmon!AB35 &amp; "," &amp; Palmon!AC35 &amp; "," &amp; Palmon!AE35 &amp; "," &amp; Palmon!AF35 &amp; "," &amp; Palmon!AI35 &amp; "," &amp; Palmon!AJ35</f>
        <v>Glacewing,Water,Attack,280,5,5,0,1,1,1,1,1,30,30,30,Max,10,1,0,164440000,,5280,1,1,https://encrypted-tbn0.gstatic.com/images?q=tbn:ANd9GcTrE4qGrnpy2BMETqUKNyATj-OrXMdX4IeXcQ&amp;s,https://encrypted-tbn0.gstatic.com/images?q=tbn:ANd9GcSRbCy1ARx2qd0P1rLvdoRvfNqa4pUV20r12A&amp;s,Cryovern,</v>
      </c>
    </row>
    <row r="35" spans="3:6" x14ac:dyDescent="0.25">
      <c r="C35">
        <f t="shared" si="1"/>
        <v>34</v>
      </c>
      <c r="D35" t="str">
        <f>Tableaux!A35 &amp; "," &amp; Tableaux!B35 &amp; "," &amp; Tableaux!C35</f>
        <v>32,33,13000</v>
      </c>
      <c r="E35">
        <f t="shared" si="2"/>
        <v>34</v>
      </c>
      <c r="F35" t="str">
        <f>Palmon!B36 &amp; "," &amp; Palmon!C36 &amp; "," &amp; Palmon!D36 &amp; "," &amp; Palmon!E36 &amp; "," &amp; Palmon!G36 &amp; "," &amp; SUBSTITUTE(Palmon!H36,",",".") &amp; "," &amp; Palmon!I36 &amp; "," &amp; SUBSTITUTE(Palmon!P36,",",".") &amp; "," &amp; SUBSTITUTE(Palmon!Q36,",",".") &amp; "," &amp; SUBSTITUTE(Palmon!R36,",",".") &amp; "," &amp; SUBSTITUTE(Palmon!S36,",",".") &amp; "," &amp; SUBSTITUTE(Palmon!T36,",",".") &amp; "," &amp; Palmon!J36 &amp; "," &amp; Palmon!K36 &amp; "," &amp; Palmon!L36 &amp; "," &amp; Palmon!M36 &amp; "," &amp; Palmon!N36 &amp; "," &amp; SUBSTITUTE(Palmon!U36,",",".") &amp; "," &amp; Palmon!V36 &amp; "," &amp; Palmon!X36 &amp; "," &amp; Palmon!Y36 &amp; "," &amp; Palmon!AA36 &amp; "," &amp; Palmon!AB36 &amp; "," &amp; Palmon!AC36 &amp; "," &amp; Palmon!AE36 &amp; "," &amp; Palmon!AF36 &amp; "," &amp; Palmon!AI36 &amp; "," &amp; Palmon!AJ36</f>
        <v>Shadowkaeru,Water,Attack,,0,,,0,0,0,0,0,,,,,,0,975,6424613700,,0,36,,, ,,</v>
      </c>
    </row>
    <row r="36" spans="3:6" x14ac:dyDescent="0.25">
      <c r="C36">
        <f t="shared" si="1"/>
        <v>35</v>
      </c>
      <c r="D36" t="str">
        <f>Tableaux!A36 &amp; "," &amp; Tableaux!B36 &amp; "," &amp; Tableaux!C36</f>
        <v>33,34,14000</v>
      </c>
      <c r="E36">
        <f t="shared" si="2"/>
        <v>35</v>
      </c>
      <c r="F36" t="str">
        <f>Palmon!B40 &amp; "," &amp; Palmon!C40 &amp; "," &amp; Palmon!D40 &amp; "," &amp; Palmon!E40 &amp; "," &amp; Palmon!G40 &amp; "," &amp; SUBSTITUTE(Palmon!H40,",",".") &amp; "," &amp; Palmon!I40 &amp; "," &amp; SUBSTITUTE(Palmon!P40,",",".") &amp; "," &amp; SUBSTITUTE(Palmon!Q40,",",".") &amp; "," &amp; SUBSTITUTE(Palmon!R40,",",".") &amp; "," &amp; SUBSTITUTE(Palmon!S40,",",".") &amp; "," &amp; SUBSTITUTE(Palmon!T40,",",".") &amp; "," &amp; Palmon!J40 &amp; "," &amp; Palmon!K40 &amp; "," &amp; Palmon!L40 &amp; "," &amp; Palmon!M40 &amp; "," &amp; Palmon!N40 &amp; "," &amp; SUBSTITUTE(Palmon!U40,",",".") &amp; "," &amp; Palmon!V40 &amp; "," &amp; Palmon!X40 &amp; "," &amp; Palmon!Y40 &amp; "," &amp; Palmon!AA40 &amp; "," &amp; Palmon!AB40 &amp; "," &amp; Palmon!AC40 &amp; "," &amp; Palmon!AE40 &amp; "," &amp; Palmon!AF40 &amp; "," &amp; Palmon!AI40 &amp; "," &amp; Palmon!AJ40</f>
        <v>Mystiray,Electricity,Attack,,0,,,0,0,0,0,0,,,,,,0,975,6424613700,,0,39,,, ,,</v>
      </c>
    </row>
    <row r="37" spans="3:6" x14ac:dyDescent="0.25">
      <c r="C37">
        <f t="shared" si="1"/>
        <v>36</v>
      </c>
      <c r="D37" t="str">
        <f>Tableaux!A37 &amp; "," &amp; Tableaux!B37 &amp; "," &amp; Tableaux!C37</f>
        <v>34,35,15000</v>
      </c>
      <c r="E37">
        <f t="shared" si="2"/>
        <v>36</v>
      </c>
      <c r="F37" t="str">
        <f>Palmon!B41 &amp; "," &amp; Palmon!C41 &amp; "," &amp; Palmon!D41 &amp; "," &amp; Palmon!E41 &amp; "," &amp; Palmon!G41 &amp; "," &amp; SUBSTITUTE(Palmon!H41,",",".") &amp; "," &amp; Palmon!I41 &amp; "," &amp; SUBSTITUTE(Palmon!P41,",",".") &amp; "," &amp; SUBSTITUTE(Palmon!Q41,",",".") &amp; "," &amp; SUBSTITUTE(Palmon!R41,",",".") &amp; "," &amp; SUBSTITUTE(Palmon!S41,",",".") &amp; "," &amp; SUBSTITUTE(Palmon!T41,",",".") &amp; "," &amp; Palmon!J41 &amp; "," &amp; Palmon!K41 &amp; "," &amp; Palmon!L41 &amp; "," &amp; Palmon!M41 &amp; "," &amp; Palmon!N41 &amp; "," &amp; SUBSTITUTE(Palmon!U41,",",".") &amp; "," &amp; Palmon!V41 &amp; "," &amp; Palmon!X41 &amp; "," &amp; Palmon!Y41 &amp; "," &amp; Palmon!AA41 &amp; "," &amp; Palmon!AB41 &amp; "," &amp; Palmon!AC41 &amp; "," &amp; Palmon!AE41 &amp; "," &amp; Palmon!AF41 &amp; "," &amp; Palmon!AI41 &amp; "," &amp; Palmon!AJ41</f>
        <v>Predalynx,Wood,Attack,,0,,,0,0,0,0,0,,,,,,0,975,6424613700,,0,40,,, ,,</v>
      </c>
    </row>
    <row r="38" spans="3:6" x14ac:dyDescent="0.25">
      <c r="C38">
        <f t="shared" si="1"/>
        <v>37</v>
      </c>
      <c r="D38" t="str">
        <f>Tableaux!A38 &amp; "," &amp; Tableaux!B38 &amp; "," &amp; Tableaux!C38</f>
        <v>35,36,16000</v>
      </c>
      <c r="E38">
        <f t="shared" si="2"/>
        <v>37</v>
      </c>
      <c r="F38" t="str">
        <f>Palmon!B42 &amp; "," &amp; Palmon!C42 &amp; "," &amp; Palmon!D42 &amp; "," &amp; Palmon!E42 &amp; "," &amp; Palmon!G42 &amp; "," &amp; SUBSTITUTE(Palmon!H42,",",".") &amp; "," &amp; Palmon!I42 &amp; "," &amp; SUBSTITUTE(Palmon!P42,",",".") &amp; "," &amp; SUBSTITUTE(Palmon!Q42,",",".") &amp; "," &amp; SUBSTITUTE(Palmon!R42,",",".") &amp; "," &amp; SUBSTITUTE(Palmon!S42,",",".") &amp; "," &amp; SUBSTITUTE(Palmon!T42,",",".") &amp; "," &amp; Palmon!J42 &amp; "," &amp; Palmon!K42 &amp; "," &amp; Palmon!L42 &amp; "," &amp; Palmon!M42 &amp; "," &amp; Palmon!N42 &amp; "," &amp; SUBSTITUTE(Palmon!U42,",",".") &amp; "," &amp; Palmon!V42 &amp; "," &amp; Palmon!X42 &amp; "," &amp; Palmon!Y42 &amp; "," &amp; Palmon!AA42 &amp; "," &amp; Palmon!AB42 &amp; "," &amp; Palmon!AC42 &amp; "," &amp; Palmon!AE42 &amp; "," &amp; Palmon!AF42 &amp; "," &amp; Palmon!AI42 &amp; "," &amp; Palmon!AJ42</f>
        <v>Solhorn,Fire,Attack,,0,,,0,0,0,0,0,,,,,,0,975,6424613700,,0,41,,, ,,</v>
      </c>
    </row>
    <row r="39" spans="3:6" x14ac:dyDescent="0.25">
      <c r="C39">
        <f t="shared" si="1"/>
        <v>38</v>
      </c>
      <c r="D39" t="str">
        <f>Tableaux!A39 &amp; "," &amp; Tableaux!B39 &amp; "," &amp; Tableaux!C39</f>
        <v>36,37,17000</v>
      </c>
      <c r="E39">
        <f t="shared" si="2"/>
        <v>38</v>
      </c>
      <c r="F39" t="str">
        <f>Palmon!B43 &amp; "," &amp; Palmon!C43 &amp; "," &amp; Palmon!D43 &amp; "," &amp; Palmon!E43 &amp; "," &amp; Palmon!G43 &amp; "," &amp; SUBSTITUTE(Palmon!H43,",",".") &amp; "," &amp; Palmon!I43 &amp; "," &amp; SUBSTITUTE(Palmon!P43,",",".") &amp; "," &amp; SUBSTITUTE(Palmon!Q43,",",".") &amp; "," &amp; SUBSTITUTE(Palmon!R43,",",".") &amp; "," &amp; SUBSTITUTE(Palmon!S43,",",".") &amp; "," &amp; SUBSTITUTE(Palmon!T43,",",".") &amp; "," &amp; Palmon!J43 &amp; "," &amp; Palmon!K43 &amp; "," &amp; Palmon!L43 &amp; "," &amp; Palmon!M43 &amp; "," &amp; Palmon!N43 &amp; "," &amp; SUBSTITUTE(Palmon!U43,",",".") &amp; "," &amp; Palmon!V43 &amp; "," &amp; Palmon!X43 &amp; "," &amp; Palmon!Y43 &amp; "," &amp; Palmon!AA43 &amp; "," &amp; Palmon!AB43 &amp; "," &amp; Palmon!AC43 &amp; "," &amp; Palmon!AE43 &amp; "," &amp; Palmon!AF43 &amp; "," &amp; Palmon!AI43 &amp; "," &amp; Palmon!AJ43</f>
        <v>Leviadolph,Water,Attack,,0,,,0,0,0,0,0,,,,,,0,975,6424613700,,0,42,,, ,,</v>
      </c>
    </row>
    <row r="40" spans="3:6" x14ac:dyDescent="0.25">
      <c r="C40">
        <f t="shared" si="1"/>
        <v>39</v>
      </c>
      <c r="D40" t="str">
        <f>Tableaux!A40 &amp; "," &amp; Tableaux!B40 &amp; "," &amp; Tableaux!C40</f>
        <v>37,38,18000</v>
      </c>
      <c r="E40">
        <f t="shared" si="2"/>
        <v>39</v>
      </c>
      <c r="F40" t="str">
        <f>Palmon!B44 &amp; "," &amp; Palmon!C44 &amp; "," &amp; Palmon!D44 &amp; "," &amp; Palmon!E44 &amp; "," &amp; Palmon!G44 &amp; "," &amp; SUBSTITUTE(Palmon!H44,",",".") &amp; "," &amp; Palmon!I44 &amp; "," &amp; SUBSTITUTE(Palmon!P44,",",".") &amp; "," &amp; SUBSTITUTE(Palmon!Q44,",",".") &amp; "," &amp; SUBSTITUTE(Palmon!R44,",",".") &amp; "," &amp; SUBSTITUTE(Palmon!S44,",",".") &amp; "," &amp; SUBSTITUTE(Palmon!T44,",",".") &amp; "," &amp; Palmon!J44 &amp; "," &amp; Palmon!K44 &amp; "," &amp; Palmon!L44 &amp; "," &amp; Palmon!M44 &amp; "," &amp; Palmon!N44 &amp; "," &amp; SUBSTITUTE(Palmon!U44,",",".") &amp; "," &amp; Palmon!V44 &amp; "," &amp; Palmon!X44 &amp; "," &amp; Palmon!Y44 &amp; "," &amp; Palmon!AA44 &amp; "," &amp; Palmon!AB44 &amp; "," &amp; Palmon!AC44 &amp; "," &amp; Palmon!AE44 &amp; "," &amp; Palmon!AF44 &amp; "," &amp; Palmon!AI44 &amp; "," &amp; Palmon!AJ44</f>
        <v>Voltfang,Electricity,Attack,,0,,,0,0,0,0,0,,,,,,0,975,6424613700,,0,43,,, ,,</v>
      </c>
    </row>
    <row r="41" spans="3:6" x14ac:dyDescent="0.25">
      <c r="C41">
        <f t="shared" si="1"/>
        <v>40</v>
      </c>
      <c r="D41" t="str">
        <f>Tableaux!A41 &amp; "," &amp; Tableaux!B41 &amp; "," &amp; Tableaux!C41</f>
        <v>38,39,19000</v>
      </c>
      <c r="E41">
        <f t="shared" si="2"/>
        <v>40</v>
      </c>
      <c r="F41" t="str">
        <f>Palmon!B45 &amp; "," &amp; Palmon!C45 &amp; "," &amp; Palmon!D45 &amp; "," &amp; Palmon!E45 &amp; "," &amp; Palmon!G45 &amp; "," &amp; SUBSTITUTE(Palmon!H45,",",".") &amp; "," &amp; Palmon!I45 &amp; "," &amp; SUBSTITUTE(Palmon!P45,",",".") &amp; "," &amp; SUBSTITUTE(Palmon!Q45,",",".") &amp; "," &amp; SUBSTITUTE(Palmon!R45,",",".") &amp; "," &amp; SUBSTITUTE(Palmon!S45,",",".") &amp; "," &amp; SUBSTITUTE(Palmon!T45,",",".") &amp; "," &amp; Palmon!J45 &amp; "," &amp; Palmon!K45 &amp; "," &amp; Palmon!L45 &amp; "," &amp; Palmon!M45 &amp; "," &amp; Palmon!N45 &amp; "," &amp; SUBSTITUTE(Palmon!U45,",",".") &amp; "," &amp; Palmon!V45 &amp; "," &amp; Palmon!X45 &amp; "," &amp; Palmon!Y45 &amp; "," &amp; Palmon!AA45 &amp; "," &amp; Palmon!AB45 &amp; "," &amp; Palmon!AC45 &amp; "," &amp; Palmon!AE45 &amp; "," &amp; Palmon!AF45 &amp; "," &amp; Palmon!AI45 &amp; "," &amp; Palmon!AJ45</f>
        <v>Leafgarde,Wood,Attack,,0,,,0,0,0,0,0,,,,,,0,975,6424613700,,0,44,,, ,,</v>
      </c>
    </row>
    <row r="42" spans="3:6" x14ac:dyDescent="0.25">
      <c r="C42">
        <f t="shared" si="1"/>
        <v>41</v>
      </c>
      <c r="D42" t="str">
        <f>Tableaux!A42 &amp; "," &amp; Tableaux!B42 &amp; "," &amp; Tableaux!C42</f>
        <v>39,40,20000</v>
      </c>
      <c r="E42">
        <f t="shared" si="2"/>
        <v>41</v>
      </c>
      <c r="F42" t="str">
        <f>Palmon!B46 &amp; "," &amp; Palmon!C46 &amp; "," &amp; Palmon!D46 &amp; "," &amp; Palmon!E46 &amp; "," &amp; Palmon!G46 &amp; "," &amp; SUBSTITUTE(Palmon!H46,",",".") &amp; "," &amp; Palmon!I46 &amp; "," &amp; SUBSTITUTE(Palmon!P46,",",".") &amp; "," &amp; SUBSTITUTE(Palmon!Q46,",",".") &amp; "," &amp; SUBSTITUTE(Palmon!R46,",",".") &amp; "," &amp; SUBSTITUTE(Palmon!S46,",",".") &amp; "," &amp; SUBSTITUTE(Palmon!T46,",",".") &amp; "," &amp; Palmon!J46 &amp; "," &amp; Palmon!K46 &amp; "," &amp; Palmon!L46 &amp; "," &amp; Palmon!M46 &amp; "," &amp; Palmon!N46 &amp; "," &amp; SUBSTITUTE(Palmon!U46,",",".") &amp; "," &amp; Palmon!V46 &amp; "," &amp; Palmon!X46 &amp; "," &amp; Palmon!Y46 &amp; "," &amp; Palmon!AA46 &amp; "," &amp; Palmon!AB46 &amp; "," &amp; Palmon!AC46 &amp; "," &amp; Palmon!AE46 &amp; "," &amp; Palmon!AF46 &amp; "," &amp; Palmon!AI46 &amp; "," &amp; Palmon!AJ46</f>
        <v>Inferdrake,Fire,Attack,,0,,,0,0,0,0,0,,,,,,0,975,6424613700,,0,45,,, ,,</v>
      </c>
    </row>
    <row r="43" spans="3:6" x14ac:dyDescent="0.25">
      <c r="C43">
        <f t="shared" si="1"/>
        <v>42</v>
      </c>
      <c r="D43" t="str">
        <f>Tableaux!A43 &amp; "," &amp; Tableaux!B43 &amp; "," &amp; Tableaux!C43</f>
        <v>40,41,21000</v>
      </c>
      <c r="E43">
        <f t="shared" si="2"/>
        <v>42</v>
      </c>
      <c r="F43" t="str">
        <f>Palmon!B47 &amp; "," &amp; Palmon!C47 &amp; "," &amp; Palmon!D47 &amp; "," &amp; Palmon!E47 &amp; "," &amp; Palmon!G47 &amp; "," &amp; SUBSTITUTE(Palmon!H47,",",".") &amp; "," &amp; Palmon!I47 &amp; "," &amp; SUBSTITUTE(Palmon!P47,",",".") &amp; "," &amp; SUBSTITUTE(Palmon!Q47,",",".") &amp; "," &amp; SUBSTITUTE(Palmon!R47,",",".") &amp; "," &amp; SUBSTITUTE(Palmon!S47,",",".") &amp; "," &amp; SUBSTITUTE(Palmon!T47,",",".") &amp; "," &amp; Palmon!J47 &amp; "," &amp; Palmon!K47 &amp; "," &amp; Palmon!L47 &amp; "," &amp; Palmon!M47 &amp; "," &amp; Palmon!N47 &amp; "," &amp; SUBSTITUTE(Palmon!U47,",",".") &amp; "," &amp; Palmon!V47 &amp; "," &amp; Palmon!X47 &amp; "," &amp; Palmon!Y47 &amp; "," &amp; Palmon!AA47 &amp; "," &amp; Palmon!AB47 &amp; "," &amp; Palmon!AC47 &amp; "," &amp; Palmon!AE47 &amp; "," &amp; Palmon!AF47 &amp; "," &amp; Palmon!AI47 &amp; "," &amp; Palmon!AJ47</f>
        <v>Revontulet,Fire,Attack,160,2,2.3,0,1,1,0.6,0,0,1,1,1,,,0.138461538461538,840,6299740000,1,2460,27,,, ,Vulpyrean,</v>
      </c>
    </row>
    <row r="44" spans="3:6" x14ac:dyDescent="0.25">
      <c r="C44">
        <f t="shared" si="1"/>
        <v>43</v>
      </c>
      <c r="D44" t="str">
        <f>Tableaux!A44 &amp; "," &amp; Tableaux!B44 &amp; "," &amp; Tableaux!C44</f>
        <v>41,42,22000</v>
      </c>
    </row>
    <row r="45" spans="3:6" x14ac:dyDescent="0.25">
      <c r="C45">
        <f t="shared" si="1"/>
        <v>44</v>
      </c>
      <c r="D45" t="str">
        <f>Tableaux!A45 &amp; "," &amp; Tableaux!B45 &amp; "," &amp; Tableaux!C45</f>
        <v>42,43,23000</v>
      </c>
    </row>
    <row r="46" spans="3:6" x14ac:dyDescent="0.25">
      <c r="C46">
        <f t="shared" si="1"/>
        <v>45</v>
      </c>
      <c r="D46" t="str">
        <f>Tableaux!A46 &amp; "," &amp; Tableaux!B46 &amp; "," &amp; Tableaux!C46</f>
        <v>43,44,24000</v>
      </c>
    </row>
    <row r="47" spans="3:6" x14ac:dyDescent="0.25">
      <c r="C47">
        <f t="shared" si="1"/>
        <v>46</v>
      </c>
      <c r="D47" t="str">
        <f>Tableaux!A47 &amp; "," &amp; Tableaux!B47 &amp; "," &amp; Tableaux!C47</f>
        <v>44,45,25000</v>
      </c>
    </row>
    <row r="48" spans="3:6" x14ac:dyDescent="0.25">
      <c r="C48">
        <f t="shared" si="1"/>
        <v>47</v>
      </c>
      <c r="D48" t="str">
        <f>Tableaux!A48 &amp; "," &amp; Tableaux!B48 &amp; "," &amp; Tableaux!C48</f>
        <v>45,46,26000</v>
      </c>
    </row>
    <row r="49" spans="3:4" x14ac:dyDescent="0.25">
      <c r="C49">
        <f t="shared" si="1"/>
        <v>48</v>
      </c>
      <c r="D49" t="str">
        <f>Tableaux!A49 &amp; "," &amp; Tableaux!B49 &amp; "," &amp; Tableaux!C49</f>
        <v>46,47,27000</v>
      </c>
    </row>
    <row r="50" spans="3:4" x14ac:dyDescent="0.25">
      <c r="C50">
        <f t="shared" si="1"/>
        <v>49</v>
      </c>
      <c r="D50" t="str">
        <f>Tableaux!A50 &amp; "," &amp; Tableaux!B50 &amp; "," &amp; Tableaux!C50</f>
        <v>47,48,28000</v>
      </c>
    </row>
    <row r="51" spans="3:4" x14ac:dyDescent="0.25">
      <c r="C51">
        <f t="shared" si="1"/>
        <v>50</v>
      </c>
      <c r="D51" t="str">
        <f>Tableaux!A51 &amp; "," &amp; Tableaux!B51 &amp; "," &amp; Tableaux!C51</f>
        <v>48,49,29000</v>
      </c>
    </row>
    <row r="52" spans="3:4" x14ac:dyDescent="0.25">
      <c r="C52">
        <f t="shared" si="1"/>
        <v>51</v>
      </c>
      <c r="D52" t="str">
        <f>Tableaux!A52 &amp; "," &amp; Tableaux!B52 &amp; "," &amp; Tableaux!C52</f>
        <v>49,50,30000</v>
      </c>
    </row>
    <row r="53" spans="3:4" x14ac:dyDescent="0.25">
      <c r="C53">
        <f t="shared" si="1"/>
        <v>52</v>
      </c>
      <c r="D53" t="str">
        <f>Tableaux!A53 &amp; "," &amp; Tableaux!B53 &amp; "," &amp; Tableaux!C53</f>
        <v>50,51,32000</v>
      </c>
    </row>
    <row r="54" spans="3:4" x14ac:dyDescent="0.25">
      <c r="C54">
        <f t="shared" si="1"/>
        <v>53</v>
      </c>
      <c r="D54" t="str">
        <f>Tableaux!A54 &amp; "," &amp; Tableaux!B54 &amp; "," &amp; Tableaux!C54</f>
        <v>51,52,34000</v>
      </c>
    </row>
    <row r="55" spans="3:4" x14ac:dyDescent="0.25">
      <c r="C55">
        <f t="shared" si="1"/>
        <v>54</v>
      </c>
      <c r="D55" t="str">
        <f>Tableaux!A55 &amp; "," &amp; Tableaux!B55 &amp; "," &amp; Tableaux!C55</f>
        <v>52,53,36000</v>
      </c>
    </row>
    <row r="56" spans="3:4" x14ac:dyDescent="0.25">
      <c r="C56">
        <f t="shared" si="1"/>
        <v>55</v>
      </c>
      <c r="D56" t="str">
        <f>Tableaux!A56 &amp; "," &amp; Tableaux!B56 &amp; "," &amp; Tableaux!C56</f>
        <v>53,54,38000</v>
      </c>
    </row>
    <row r="57" spans="3:4" x14ac:dyDescent="0.25">
      <c r="C57">
        <f t="shared" si="1"/>
        <v>56</v>
      </c>
      <c r="D57" t="str">
        <f>Tableaux!A57 &amp; "," &amp; Tableaux!B57 &amp; "," &amp; Tableaux!C57</f>
        <v>54,55,40000</v>
      </c>
    </row>
    <row r="58" spans="3:4" x14ac:dyDescent="0.25">
      <c r="C58">
        <f t="shared" si="1"/>
        <v>57</v>
      </c>
      <c r="D58" t="str">
        <f>Tableaux!A58 &amp; "," &amp; Tableaux!B58 &amp; "," &amp; Tableaux!C58</f>
        <v>55,56,42000</v>
      </c>
    </row>
    <row r="59" spans="3:4" x14ac:dyDescent="0.25">
      <c r="C59">
        <f t="shared" si="1"/>
        <v>58</v>
      </c>
      <c r="D59" t="str">
        <f>Tableaux!A59 &amp; "," &amp; Tableaux!B59 &amp; "," &amp; Tableaux!C59</f>
        <v>56,57,44000</v>
      </c>
    </row>
    <row r="60" spans="3:4" x14ac:dyDescent="0.25">
      <c r="C60">
        <f t="shared" si="1"/>
        <v>59</v>
      </c>
      <c r="D60" t="str">
        <f>Tableaux!A60 &amp; "," &amp; Tableaux!B60 &amp; "," &amp; Tableaux!C60</f>
        <v>57,58,46000</v>
      </c>
    </row>
    <row r="61" spans="3:4" x14ac:dyDescent="0.25">
      <c r="C61">
        <f t="shared" si="1"/>
        <v>60</v>
      </c>
      <c r="D61" t="str">
        <f>Tableaux!A61 &amp; "," &amp; Tableaux!B61 &amp; "," &amp; Tableaux!C61</f>
        <v>58,59,48000</v>
      </c>
    </row>
    <row r="62" spans="3:4" x14ac:dyDescent="0.25">
      <c r="C62">
        <f t="shared" si="1"/>
        <v>61</v>
      </c>
      <c r="D62" t="str">
        <f>Tableaux!A62 &amp; "," &amp; Tableaux!B62 &amp; "," &amp; Tableaux!C62</f>
        <v>59,60,50000</v>
      </c>
    </row>
    <row r="63" spans="3:4" x14ac:dyDescent="0.25">
      <c r="C63">
        <f t="shared" si="1"/>
        <v>62</v>
      </c>
      <c r="D63" t="str">
        <f>Tableaux!A63 &amp; "," &amp; Tableaux!B63 &amp; "," &amp; Tableaux!C63</f>
        <v>60,61,53000</v>
      </c>
    </row>
    <row r="64" spans="3:4" x14ac:dyDescent="0.25">
      <c r="C64">
        <f t="shared" si="1"/>
        <v>63</v>
      </c>
      <c r="D64" t="str">
        <f>Tableaux!A64 &amp; "," &amp; Tableaux!B64 &amp; "," &amp; Tableaux!C64</f>
        <v>61,62,56000</v>
      </c>
    </row>
    <row r="65" spans="3:4" x14ac:dyDescent="0.25">
      <c r="C65">
        <f t="shared" si="1"/>
        <v>64</v>
      </c>
      <c r="D65" t="str">
        <f>Tableaux!A65 &amp; "," &amp; Tableaux!B65 &amp; "," &amp; Tableaux!C65</f>
        <v>62,63,59000</v>
      </c>
    </row>
    <row r="66" spans="3:4" x14ac:dyDescent="0.25">
      <c r="C66">
        <f t="shared" si="1"/>
        <v>65</v>
      </c>
      <c r="D66" t="str">
        <f>Tableaux!A66 &amp; "," &amp; Tableaux!B66 &amp; "," &amp; Tableaux!C66</f>
        <v>63,64,62000</v>
      </c>
    </row>
    <row r="67" spans="3:4" x14ac:dyDescent="0.25">
      <c r="C67">
        <f t="shared" si="1"/>
        <v>66</v>
      </c>
      <c r="D67" t="str">
        <f>Tableaux!A67 &amp; "," &amp; Tableaux!B67 &amp; "," &amp; Tableaux!C67</f>
        <v>64,65,65000</v>
      </c>
    </row>
    <row r="68" spans="3:4" x14ac:dyDescent="0.25">
      <c r="C68">
        <f t="shared" si="1"/>
        <v>67</v>
      </c>
      <c r="D68" t="str">
        <f>Tableaux!A68 &amp; "," &amp; Tableaux!B68 &amp; "," &amp; Tableaux!C68</f>
        <v>65,66,68000</v>
      </c>
    </row>
    <row r="69" spans="3:4" x14ac:dyDescent="0.25">
      <c r="C69">
        <f t="shared" si="1"/>
        <v>68</v>
      </c>
      <c r="D69" t="str">
        <f>Tableaux!A69 &amp; "," &amp; Tableaux!B69 &amp; "," &amp; Tableaux!C69</f>
        <v>66,67,71000</v>
      </c>
    </row>
    <row r="70" spans="3:4" x14ac:dyDescent="0.25">
      <c r="C70">
        <f t="shared" si="1"/>
        <v>69</v>
      </c>
      <c r="D70" t="str">
        <f>Tableaux!A70 &amp; "," &amp; Tableaux!B70 &amp; "," &amp; Tableaux!C70</f>
        <v>67,68,74000</v>
      </c>
    </row>
    <row r="71" spans="3:4" x14ac:dyDescent="0.25">
      <c r="C71">
        <f t="shared" si="1"/>
        <v>70</v>
      </c>
      <c r="D71" t="str">
        <f>Tableaux!A71 &amp; "," &amp; Tableaux!B71 &amp; "," &amp; Tableaux!C71</f>
        <v>68,69,77000</v>
      </c>
    </row>
    <row r="72" spans="3:4" x14ac:dyDescent="0.25">
      <c r="C72">
        <f t="shared" si="1"/>
        <v>71</v>
      </c>
      <c r="D72" t="str">
        <f>Tableaux!A72 &amp; "," &amp; Tableaux!B72 &amp; "," &amp; Tableaux!C72</f>
        <v>69,70,80000</v>
      </c>
    </row>
    <row r="73" spans="3:4" x14ac:dyDescent="0.25">
      <c r="C73">
        <f t="shared" si="1"/>
        <v>72</v>
      </c>
      <c r="D73" t="str">
        <f>Tableaux!A73 &amp; "," &amp; Tableaux!B73 &amp; "," &amp; Tableaux!C73</f>
        <v>70,71,84000</v>
      </c>
    </row>
    <row r="74" spans="3:4" x14ac:dyDescent="0.25">
      <c r="C74">
        <f t="shared" si="1"/>
        <v>73</v>
      </c>
      <c r="D74" t="str">
        <f>Tableaux!A74 &amp; "," &amp; Tableaux!B74 &amp; "," &amp; Tableaux!C74</f>
        <v>71,72,88000</v>
      </c>
    </row>
    <row r="75" spans="3:4" x14ac:dyDescent="0.25">
      <c r="C75">
        <f t="shared" si="1"/>
        <v>74</v>
      </c>
      <c r="D75" t="str">
        <f>Tableaux!A75 &amp; "," &amp; Tableaux!B75 &amp; "," &amp; Tableaux!C75</f>
        <v>72,73,92000</v>
      </c>
    </row>
    <row r="76" spans="3:4" x14ac:dyDescent="0.25">
      <c r="C76">
        <f t="shared" si="1"/>
        <v>75</v>
      </c>
      <c r="D76" t="str">
        <f>Tableaux!A76 &amp; "," &amp; Tableaux!B76 &amp; "," &amp; Tableaux!C76</f>
        <v>73,74,96000</v>
      </c>
    </row>
    <row r="77" spans="3:4" x14ac:dyDescent="0.25">
      <c r="C77">
        <f t="shared" si="1"/>
        <v>76</v>
      </c>
      <c r="D77" t="str">
        <f>Tableaux!A77 &amp; "," &amp; Tableaux!B77 &amp; "," &amp; Tableaux!C77</f>
        <v>74,75,100000</v>
      </c>
    </row>
    <row r="78" spans="3:4" x14ac:dyDescent="0.25">
      <c r="C78">
        <f t="shared" si="1"/>
        <v>77</v>
      </c>
      <c r="D78" t="str">
        <f>Tableaux!A78 &amp; "," &amp; Tableaux!B78 &amp; "," &amp; Tableaux!C78</f>
        <v>75,76,104000</v>
      </c>
    </row>
    <row r="79" spans="3:4" x14ac:dyDescent="0.25">
      <c r="C79">
        <f t="shared" si="1"/>
        <v>78</v>
      </c>
      <c r="D79" t="str">
        <f>Tableaux!A79 &amp; "," &amp; Tableaux!B79 &amp; "," &amp; Tableaux!C79</f>
        <v>76,77,108000</v>
      </c>
    </row>
    <row r="80" spans="3:4" x14ac:dyDescent="0.25">
      <c r="C80">
        <f t="shared" si="1"/>
        <v>79</v>
      </c>
      <c r="D80" t="str">
        <f>Tableaux!A80 &amp; "," &amp; Tableaux!B80 &amp; "," &amp; Tableaux!C80</f>
        <v>77,78,112000</v>
      </c>
    </row>
    <row r="81" spans="3:4" x14ac:dyDescent="0.25">
      <c r="C81">
        <f t="shared" si="1"/>
        <v>80</v>
      </c>
      <c r="D81" t="str">
        <f>Tableaux!A81 &amp; "," &amp; Tableaux!B81 &amp; "," &amp; Tableaux!C81</f>
        <v>78,79,116000</v>
      </c>
    </row>
    <row r="82" spans="3:4" x14ac:dyDescent="0.25">
      <c r="C82">
        <f t="shared" si="1"/>
        <v>81</v>
      </c>
      <c r="D82" t="str">
        <f>Tableaux!A82 &amp; "," &amp; Tableaux!B82 &amp; "," &amp; Tableaux!C82</f>
        <v>79,80,120000</v>
      </c>
    </row>
    <row r="83" spans="3:4" x14ac:dyDescent="0.25">
      <c r="C83">
        <f t="shared" si="1"/>
        <v>82</v>
      </c>
      <c r="D83" t="str">
        <f>Tableaux!A83 &amp; "," &amp; Tableaux!B83 &amp; "," &amp; Tableaux!C83</f>
        <v>80,81,125000</v>
      </c>
    </row>
    <row r="84" spans="3:4" x14ac:dyDescent="0.25">
      <c r="C84">
        <f t="shared" si="1"/>
        <v>83</v>
      </c>
      <c r="D84" t="str">
        <f>Tableaux!A84 &amp; "," &amp; Tableaux!B84 &amp; "," &amp; Tableaux!C84</f>
        <v>81,82,130000</v>
      </c>
    </row>
    <row r="85" spans="3:4" x14ac:dyDescent="0.25">
      <c r="C85">
        <f t="shared" si="1"/>
        <v>84</v>
      </c>
      <c r="D85" t="str">
        <f>Tableaux!A85 &amp; "," &amp; Tableaux!B85 &amp; "," &amp; Tableaux!C85</f>
        <v>82,83,135000</v>
      </c>
    </row>
    <row r="86" spans="3:4" x14ac:dyDescent="0.25">
      <c r="C86">
        <f t="shared" si="1"/>
        <v>85</v>
      </c>
      <c r="D86" t="str">
        <f>Tableaux!A86 &amp; "," &amp; Tableaux!B86 &amp; "," &amp; Tableaux!C86</f>
        <v>83,84,140000</v>
      </c>
    </row>
    <row r="87" spans="3:4" x14ac:dyDescent="0.25">
      <c r="C87">
        <f t="shared" si="1"/>
        <v>86</v>
      </c>
      <c r="D87" t="str">
        <f>Tableaux!A87 &amp; "," &amp; Tableaux!B87 &amp; "," &amp; Tableaux!C87</f>
        <v>84,85,145000</v>
      </c>
    </row>
    <row r="88" spans="3:4" x14ac:dyDescent="0.25">
      <c r="C88">
        <f t="shared" si="1"/>
        <v>87</v>
      </c>
      <c r="D88" t="str">
        <f>Tableaux!A88 &amp; "," &amp; Tableaux!B88 &amp; "," &amp; Tableaux!C88</f>
        <v>85,86,150000</v>
      </c>
    </row>
    <row r="89" spans="3:4" x14ac:dyDescent="0.25">
      <c r="C89">
        <f t="shared" si="1"/>
        <v>88</v>
      </c>
      <c r="D89" t="str">
        <f>Tableaux!A89 &amp; "," &amp; Tableaux!B89 &amp; "," &amp; Tableaux!C89</f>
        <v>86,87,155000</v>
      </c>
    </row>
    <row r="90" spans="3:4" x14ac:dyDescent="0.25">
      <c r="C90">
        <f t="shared" si="1"/>
        <v>89</v>
      </c>
      <c r="D90" t="str">
        <f>Tableaux!A90 &amp; "," &amp; Tableaux!B90 &amp; "," &amp; Tableaux!C90</f>
        <v>87,88,160000</v>
      </c>
    </row>
    <row r="91" spans="3:4" x14ac:dyDescent="0.25">
      <c r="C91">
        <f t="shared" si="1"/>
        <v>90</v>
      </c>
      <c r="D91" t="str">
        <f>Tableaux!A91 &amp; "," &amp; Tableaux!B91 &amp; "," &amp; Tableaux!C91</f>
        <v>88,89,165000</v>
      </c>
    </row>
    <row r="92" spans="3:4" x14ac:dyDescent="0.25">
      <c r="C92">
        <f t="shared" si="1"/>
        <v>91</v>
      </c>
      <c r="D92" t="str">
        <f>Tableaux!A92 &amp; "," &amp; Tableaux!B92 &amp; "," &amp; Tableaux!C92</f>
        <v>89,90,170000</v>
      </c>
    </row>
    <row r="93" spans="3:4" x14ac:dyDescent="0.25">
      <c r="C93">
        <f t="shared" si="1"/>
        <v>92</v>
      </c>
      <c r="D93" t="str">
        <f>Tableaux!A93 &amp; "," &amp; Tableaux!B93 &amp; "," &amp; Tableaux!C93</f>
        <v>90,91,175000</v>
      </c>
    </row>
    <row r="94" spans="3:4" x14ac:dyDescent="0.25">
      <c r="C94">
        <f t="shared" si="1"/>
        <v>93</v>
      </c>
      <c r="D94" t="str">
        <f>Tableaux!A94 &amp; "," &amp; Tableaux!B94 &amp; "," &amp; Tableaux!C94</f>
        <v>91,92,180000</v>
      </c>
    </row>
    <row r="95" spans="3:4" x14ac:dyDescent="0.25">
      <c r="C95">
        <f t="shared" si="1"/>
        <v>94</v>
      </c>
      <c r="D95" t="str">
        <f>Tableaux!A95 &amp; "," &amp; Tableaux!B95 &amp; "," &amp; Tableaux!C95</f>
        <v>92,93,185000</v>
      </c>
    </row>
    <row r="96" spans="3:4" x14ac:dyDescent="0.25">
      <c r="C96">
        <f t="shared" si="1"/>
        <v>95</v>
      </c>
      <c r="D96" t="str">
        <f>Tableaux!A96 &amp; "," &amp; Tableaux!B96 &amp; "," &amp; Tableaux!C96</f>
        <v>93,94,190000</v>
      </c>
    </row>
    <row r="97" spans="3:4" x14ac:dyDescent="0.25">
      <c r="C97">
        <f t="shared" si="1"/>
        <v>96</v>
      </c>
      <c r="D97" t="str">
        <f>Tableaux!A97 &amp; "," &amp; Tableaux!B97 &amp; "," &amp; Tableaux!C97</f>
        <v>94,95,195000</v>
      </c>
    </row>
    <row r="98" spans="3:4" x14ac:dyDescent="0.25">
      <c r="C98">
        <f t="shared" ref="C98:C161" si="3">ROW()-1</f>
        <v>97</v>
      </c>
      <c r="D98" t="str">
        <f>Tableaux!A98 &amp; "," &amp; Tableaux!B98 &amp; "," &amp; Tableaux!C98</f>
        <v>95,96,200000</v>
      </c>
    </row>
    <row r="99" spans="3:4" x14ac:dyDescent="0.25">
      <c r="C99">
        <f t="shared" si="3"/>
        <v>98</v>
      </c>
      <c r="D99" t="str">
        <f>Tableaux!A99 &amp; "," &amp; Tableaux!B99 &amp; "," &amp; Tableaux!C99</f>
        <v>96,97,205000</v>
      </c>
    </row>
    <row r="100" spans="3:4" x14ac:dyDescent="0.25">
      <c r="C100">
        <f t="shared" si="3"/>
        <v>99</v>
      </c>
      <c r="D100" t="str">
        <f>Tableaux!A100 &amp; "," &amp; Tableaux!B100 &amp; "," &amp; Tableaux!C100</f>
        <v>97,98,210000</v>
      </c>
    </row>
    <row r="101" spans="3:4" x14ac:dyDescent="0.25">
      <c r="C101">
        <f t="shared" si="3"/>
        <v>100</v>
      </c>
      <c r="D101" t="str">
        <f>Tableaux!A101 &amp; "," &amp; Tableaux!B101 &amp; "," &amp; Tableaux!C101</f>
        <v>98,99,215000</v>
      </c>
    </row>
    <row r="102" spans="3:4" x14ac:dyDescent="0.25">
      <c r="C102">
        <f t="shared" si="3"/>
        <v>101</v>
      </c>
      <c r="D102" t="str">
        <f>Tableaux!A102 &amp; "," &amp; Tableaux!B102 &amp; "," &amp; Tableaux!C102</f>
        <v>99,100,220000</v>
      </c>
    </row>
    <row r="103" spans="3:4" x14ac:dyDescent="0.25">
      <c r="C103">
        <f t="shared" si="3"/>
        <v>102</v>
      </c>
      <c r="D103" t="str">
        <f>Tableaux!A103 &amp; "," &amp; Tableaux!B103 &amp; "," &amp; Tableaux!C103</f>
        <v>100,101,240000</v>
      </c>
    </row>
    <row r="104" spans="3:4" x14ac:dyDescent="0.25">
      <c r="C104">
        <f t="shared" si="3"/>
        <v>103</v>
      </c>
      <c r="D104" t="str">
        <f>Tableaux!A104 &amp; "," &amp; Tableaux!B104 &amp; "," &amp; Tableaux!C104</f>
        <v>101,102,260000</v>
      </c>
    </row>
    <row r="105" spans="3:4" x14ac:dyDescent="0.25">
      <c r="C105">
        <f t="shared" si="3"/>
        <v>104</v>
      </c>
      <c r="D105" t="str">
        <f>Tableaux!A105 &amp; "," &amp; Tableaux!B105 &amp; "," &amp; Tableaux!C105</f>
        <v>102,103,280000</v>
      </c>
    </row>
    <row r="106" spans="3:4" x14ac:dyDescent="0.25">
      <c r="C106">
        <f t="shared" si="3"/>
        <v>105</v>
      </c>
      <c r="D106" t="str">
        <f>Tableaux!A106 &amp; "," &amp; Tableaux!B106 &amp; "," &amp; Tableaux!C106</f>
        <v>103,104,300000</v>
      </c>
    </row>
    <row r="107" spans="3:4" x14ac:dyDescent="0.25">
      <c r="C107">
        <f t="shared" si="3"/>
        <v>106</v>
      </c>
      <c r="D107" t="str">
        <f>Tableaux!A107 &amp; "," &amp; Tableaux!B107 &amp; "," &amp; Tableaux!C107</f>
        <v>104,105,320000</v>
      </c>
    </row>
    <row r="108" spans="3:4" x14ac:dyDescent="0.25">
      <c r="C108">
        <f t="shared" si="3"/>
        <v>107</v>
      </c>
      <c r="D108" t="str">
        <f>Tableaux!A108 &amp; "," &amp; Tableaux!B108 &amp; "," &amp; Tableaux!C108</f>
        <v>105,106,340000</v>
      </c>
    </row>
    <row r="109" spans="3:4" x14ac:dyDescent="0.25">
      <c r="C109">
        <f t="shared" si="3"/>
        <v>108</v>
      </c>
      <c r="D109" t="str">
        <f>Tableaux!A109 &amp; "," &amp; Tableaux!B109 &amp; "," &amp; Tableaux!C109</f>
        <v>106,107,360000</v>
      </c>
    </row>
    <row r="110" spans="3:4" x14ac:dyDescent="0.25">
      <c r="C110">
        <f t="shared" si="3"/>
        <v>109</v>
      </c>
      <c r="D110" t="str">
        <f>Tableaux!A110 &amp; "," &amp; Tableaux!B110 &amp; "," &amp; Tableaux!C110</f>
        <v>107,108,380000</v>
      </c>
    </row>
    <row r="111" spans="3:4" x14ac:dyDescent="0.25">
      <c r="C111">
        <f t="shared" si="3"/>
        <v>110</v>
      </c>
      <c r="D111" t="str">
        <f>Tableaux!A111 &amp; "," &amp; Tableaux!B111 &amp; "," &amp; Tableaux!C111</f>
        <v>108,109,400000</v>
      </c>
    </row>
    <row r="112" spans="3:4" x14ac:dyDescent="0.25">
      <c r="C112">
        <f t="shared" si="3"/>
        <v>111</v>
      </c>
      <c r="D112" t="str">
        <f>Tableaux!A112 &amp; "," &amp; Tableaux!B112 &amp; "," &amp; Tableaux!C112</f>
        <v>109,110,420000</v>
      </c>
    </row>
    <row r="113" spans="3:4" x14ac:dyDescent="0.25">
      <c r="C113">
        <f t="shared" si="3"/>
        <v>112</v>
      </c>
      <c r="D113" t="str">
        <f>Tableaux!A113 &amp; "," &amp; Tableaux!B113 &amp; "," &amp; Tableaux!C113</f>
        <v>110,111,458000</v>
      </c>
    </row>
    <row r="114" spans="3:4" x14ac:dyDescent="0.25">
      <c r="C114">
        <f t="shared" si="3"/>
        <v>113</v>
      </c>
      <c r="D114" t="str">
        <f>Tableaux!A114 &amp; "," &amp; Tableaux!B114 &amp; "," &amp; Tableaux!C114</f>
        <v>111,112,496000</v>
      </c>
    </row>
    <row r="115" spans="3:4" x14ac:dyDescent="0.25">
      <c r="C115">
        <f t="shared" si="3"/>
        <v>114</v>
      </c>
      <c r="D115" t="str">
        <f>Tableaux!A115 &amp; "," &amp; Tableaux!B115 &amp; "," &amp; Tableaux!C115</f>
        <v>112,113,534000</v>
      </c>
    </row>
    <row r="116" spans="3:4" x14ac:dyDescent="0.25">
      <c r="C116">
        <f t="shared" si="3"/>
        <v>115</v>
      </c>
      <c r="D116" t="str">
        <f>Tableaux!A116 &amp; "," &amp; Tableaux!B116 &amp; "," &amp; Tableaux!C116</f>
        <v>113,114,572000</v>
      </c>
    </row>
    <row r="117" spans="3:4" x14ac:dyDescent="0.25">
      <c r="C117">
        <f t="shared" si="3"/>
        <v>116</v>
      </c>
      <c r="D117" t="str">
        <f>Tableaux!A117 &amp; "," &amp; Tableaux!B117 &amp; "," &amp; Tableaux!C117</f>
        <v>114,115,610000</v>
      </c>
    </row>
    <row r="118" spans="3:4" x14ac:dyDescent="0.25">
      <c r="C118">
        <f t="shared" si="3"/>
        <v>117</v>
      </c>
      <c r="D118" t="str">
        <f>Tableaux!A118 &amp; "," &amp; Tableaux!B118 &amp; "," &amp; Tableaux!C118</f>
        <v>115,116,648000</v>
      </c>
    </row>
    <row r="119" spans="3:4" x14ac:dyDescent="0.25">
      <c r="C119">
        <f t="shared" si="3"/>
        <v>118</v>
      </c>
      <c r="D119" t="str">
        <f>Tableaux!A119 &amp; "," &amp; Tableaux!B119 &amp; "," &amp; Tableaux!C119</f>
        <v>116,117,686000</v>
      </c>
    </row>
    <row r="120" spans="3:4" x14ac:dyDescent="0.25">
      <c r="C120">
        <f t="shared" si="3"/>
        <v>119</v>
      </c>
      <c r="D120" t="str">
        <f>Tableaux!A120 &amp; "," &amp; Tableaux!B120 &amp; "," &amp; Tableaux!C120</f>
        <v>117,118,724000</v>
      </c>
    </row>
    <row r="121" spans="3:4" x14ac:dyDescent="0.25">
      <c r="C121">
        <f t="shared" si="3"/>
        <v>120</v>
      </c>
      <c r="D121" t="str">
        <f>Tableaux!A121 &amp; "," &amp; Tableaux!B121 &amp; "," &amp; Tableaux!C121</f>
        <v>118,119,762000</v>
      </c>
    </row>
    <row r="122" spans="3:4" x14ac:dyDescent="0.25">
      <c r="C122">
        <f t="shared" si="3"/>
        <v>121</v>
      </c>
      <c r="D122" t="str">
        <f>Tableaux!A122 &amp; "," &amp; Tableaux!B122 &amp; "," &amp; Tableaux!C122</f>
        <v>119,120,800000</v>
      </c>
    </row>
    <row r="123" spans="3:4" x14ac:dyDescent="0.25">
      <c r="C123">
        <f t="shared" si="3"/>
        <v>122</v>
      </c>
      <c r="D123" t="str">
        <f>Tableaux!A123 &amp; "," &amp; Tableaux!B123 &amp; "," &amp; Tableaux!C123</f>
        <v>120,121,850000</v>
      </c>
    </row>
    <row r="124" spans="3:4" x14ac:dyDescent="0.25">
      <c r="C124">
        <f t="shared" si="3"/>
        <v>123</v>
      </c>
      <c r="D124" t="str">
        <f>Tableaux!A124 &amp; "," &amp; Tableaux!B124 &amp; "," &amp; Tableaux!C124</f>
        <v>121,122,900000</v>
      </c>
    </row>
    <row r="125" spans="3:4" x14ac:dyDescent="0.25">
      <c r="C125">
        <f t="shared" si="3"/>
        <v>124</v>
      </c>
      <c r="D125" t="str">
        <f>Tableaux!A125 &amp; "," &amp; Tableaux!B125 &amp; "," &amp; Tableaux!C125</f>
        <v>122,123,950000</v>
      </c>
    </row>
    <row r="126" spans="3:4" x14ac:dyDescent="0.25">
      <c r="C126">
        <f t="shared" si="3"/>
        <v>125</v>
      </c>
      <c r="D126" t="str">
        <f>Tableaux!A126 &amp; "," &amp; Tableaux!B126 &amp; "," &amp; Tableaux!C126</f>
        <v>123,124,1000000</v>
      </c>
    </row>
    <row r="127" spans="3:4" x14ac:dyDescent="0.25">
      <c r="C127">
        <f t="shared" si="3"/>
        <v>126</v>
      </c>
      <c r="D127" t="str">
        <f>Tableaux!A127 &amp; "," &amp; Tableaux!B127 &amp; "," &amp; Tableaux!C127</f>
        <v>124,125,1050000</v>
      </c>
    </row>
    <row r="128" spans="3:4" x14ac:dyDescent="0.25">
      <c r="C128">
        <f t="shared" si="3"/>
        <v>127</v>
      </c>
      <c r="D128" t="str">
        <f>Tableaux!A128 &amp; "," &amp; Tableaux!B128 &amp; "," &amp; Tableaux!C128</f>
        <v>125,126,1100000</v>
      </c>
    </row>
    <row r="129" spans="3:4" x14ac:dyDescent="0.25">
      <c r="C129">
        <f t="shared" si="3"/>
        <v>128</v>
      </c>
      <c r="D129" t="str">
        <f>Tableaux!A129 &amp; "," &amp; Tableaux!B129 &amp; "," &amp; Tableaux!C129</f>
        <v>126,127,1150000</v>
      </c>
    </row>
    <row r="130" spans="3:4" x14ac:dyDescent="0.25">
      <c r="C130">
        <f t="shared" si="3"/>
        <v>129</v>
      </c>
      <c r="D130" t="str">
        <f>Tableaux!A130 &amp; "," &amp; Tableaux!B130 &amp; "," &amp; Tableaux!C130</f>
        <v>127,128,1200000</v>
      </c>
    </row>
    <row r="131" spans="3:4" x14ac:dyDescent="0.25">
      <c r="C131">
        <f t="shared" si="3"/>
        <v>130</v>
      </c>
      <c r="D131" t="str">
        <f>Tableaux!A131 &amp; "," &amp; Tableaux!B131 &amp; "," &amp; Tableaux!C131</f>
        <v>128,129,1250000</v>
      </c>
    </row>
    <row r="132" spans="3:4" x14ac:dyDescent="0.25">
      <c r="C132">
        <f t="shared" si="3"/>
        <v>131</v>
      </c>
      <c r="D132" t="str">
        <f>Tableaux!A132 &amp; "," &amp; Tableaux!B132 &amp; "," &amp; Tableaux!C132</f>
        <v>129,130,1300000</v>
      </c>
    </row>
    <row r="133" spans="3:4" x14ac:dyDescent="0.25">
      <c r="C133">
        <f t="shared" si="3"/>
        <v>132</v>
      </c>
      <c r="D133" t="str">
        <f>Tableaux!A133 &amp; "," &amp; Tableaux!B133 &amp; "," &amp; Tableaux!C133</f>
        <v>130,131,1400000</v>
      </c>
    </row>
    <row r="134" spans="3:4" x14ac:dyDescent="0.25">
      <c r="C134">
        <f t="shared" si="3"/>
        <v>133</v>
      </c>
      <c r="D134" t="str">
        <f>Tableaux!A134 &amp; "," &amp; Tableaux!B134 &amp; "," &amp; Tableaux!C134</f>
        <v>131,132,1500000</v>
      </c>
    </row>
    <row r="135" spans="3:4" x14ac:dyDescent="0.25">
      <c r="C135">
        <f t="shared" si="3"/>
        <v>134</v>
      </c>
      <c r="D135" t="str">
        <f>Tableaux!A135 &amp; "," &amp; Tableaux!B135 &amp; "," &amp; Tableaux!C135</f>
        <v>132,133,1600000</v>
      </c>
    </row>
    <row r="136" spans="3:4" x14ac:dyDescent="0.25">
      <c r="C136">
        <f t="shared" si="3"/>
        <v>135</v>
      </c>
      <c r="D136" t="str">
        <f>Tableaux!A136 &amp; "," &amp; Tableaux!B136 &amp; "," &amp; Tableaux!C136</f>
        <v>133,134,1700000</v>
      </c>
    </row>
    <row r="137" spans="3:4" x14ac:dyDescent="0.25">
      <c r="C137">
        <f t="shared" si="3"/>
        <v>136</v>
      </c>
      <c r="D137" t="str">
        <f>Tableaux!A137 &amp; "," &amp; Tableaux!B137 &amp; "," &amp; Tableaux!C137</f>
        <v>134,135,1800000</v>
      </c>
    </row>
    <row r="138" spans="3:4" x14ac:dyDescent="0.25">
      <c r="C138">
        <f t="shared" si="3"/>
        <v>137</v>
      </c>
      <c r="D138" t="str">
        <f>Tableaux!A138 &amp; "," &amp; Tableaux!B138 &amp; "," &amp; Tableaux!C138</f>
        <v>135,136,1900000</v>
      </c>
    </row>
    <row r="139" spans="3:4" x14ac:dyDescent="0.25">
      <c r="C139">
        <f t="shared" si="3"/>
        <v>138</v>
      </c>
      <c r="D139" t="str">
        <f>Tableaux!A139 &amp; "," &amp; Tableaux!B139 &amp; "," &amp; Tableaux!C139</f>
        <v>136,137,2000000</v>
      </c>
    </row>
    <row r="140" spans="3:4" x14ac:dyDescent="0.25">
      <c r="C140">
        <f t="shared" si="3"/>
        <v>139</v>
      </c>
      <c r="D140" t="str">
        <f>Tableaux!A140 &amp; "," &amp; Tableaux!B140 &amp; "," &amp; Tableaux!C140</f>
        <v>137,138,2100000</v>
      </c>
    </row>
    <row r="141" spans="3:4" x14ac:dyDescent="0.25">
      <c r="C141">
        <f t="shared" si="3"/>
        <v>140</v>
      </c>
      <c r="D141" t="str">
        <f>Tableaux!A141 &amp; "," &amp; Tableaux!B141 &amp; "," &amp; Tableaux!C141</f>
        <v>138,139,2200000</v>
      </c>
    </row>
    <row r="142" spans="3:4" x14ac:dyDescent="0.25">
      <c r="C142">
        <f t="shared" si="3"/>
        <v>141</v>
      </c>
      <c r="D142" t="str">
        <f>Tableaux!A142 &amp; "," &amp; Tableaux!B142 &amp; "," &amp; Tableaux!C142</f>
        <v>139,140,2300000</v>
      </c>
    </row>
    <row r="143" spans="3:4" x14ac:dyDescent="0.25">
      <c r="C143">
        <f t="shared" si="3"/>
        <v>142</v>
      </c>
      <c r="D143" t="str">
        <f>Tableaux!A143 &amp; "," &amp; Tableaux!B143 &amp; "," &amp; Tableaux!C143</f>
        <v>140,141,2400000</v>
      </c>
    </row>
    <row r="144" spans="3:4" x14ac:dyDescent="0.25">
      <c r="C144">
        <f t="shared" si="3"/>
        <v>143</v>
      </c>
      <c r="D144" t="str">
        <f>Tableaux!A144 &amp; "," &amp; Tableaux!B144 &amp; "," &amp; Tableaux!C144</f>
        <v>141,142,2600000</v>
      </c>
    </row>
    <row r="145" spans="3:4" x14ac:dyDescent="0.25">
      <c r="C145">
        <f t="shared" si="3"/>
        <v>144</v>
      </c>
      <c r="D145" t="str">
        <f>Tableaux!A145 &amp; "," &amp; Tableaux!B145 &amp; "," &amp; Tableaux!C145</f>
        <v>142,143,2700000</v>
      </c>
    </row>
    <row r="146" spans="3:4" x14ac:dyDescent="0.25">
      <c r="C146">
        <f t="shared" si="3"/>
        <v>145</v>
      </c>
      <c r="D146" t="str">
        <f>Tableaux!A146 &amp; "," &amp; Tableaux!B146 &amp; "," &amp; Tableaux!C146</f>
        <v>143,144,2900000</v>
      </c>
    </row>
    <row r="147" spans="3:4" x14ac:dyDescent="0.25">
      <c r="C147">
        <f t="shared" si="3"/>
        <v>146</v>
      </c>
      <c r="D147" t="str">
        <f>Tableaux!A147 &amp; "," &amp; Tableaux!B147 &amp; "," &amp; Tableaux!C147</f>
        <v>144,145,3000000</v>
      </c>
    </row>
    <row r="148" spans="3:4" x14ac:dyDescent="0.25">
      <c r="C148">
        <f t="shared" si="3"/>
        <v>147</v>
      </c>
      <c r="D148" t="str">
        <f>Tableaux!A148 &amp; "," &amp; Tableaux!B148 &amp; "," &amp; Tableaux!C148</f>
        <v>145,146,3200000</v>
      </c>
    </row>
    <row r="149" spans="3:4" x14ac:dyDescent="0.25">
      <c r="C149">
        <f t="shared" si="3"/>
        <v>148</v>
      </c>
      <c r="D149" t="str">
        <f>Tableaux!A149 &amp; "," &amp; Tableaux!B149 &amp; "," &amp; Tableaux!C149</f>
        <v>146,147,3300000</v>
      </c>
    </row>
    <row r="150" spans="3:4" x14ac:dyDescent="0.25">
      <c r="C150">
        <f t="shared" si="3"/>
        <v>149</v>
      </c>
      <c r="D150" t="str">
        <f>Tableaux!A150 &amp; "," &amp; Tableaux!B150 &amp; "," &amp; Tableaux!C150</f>
        <v>147,148,3500000</v>
      </c>
    </row>
    <row r="151" spans="3:4" x14ac:dyDescent="0.25">
      <c r="C151">
        <f t="shared" si="3"/>
        <v>150</v>
      </c>
      <c r="D151" t="str">
        <f>Tableaux!A151 &amp; "," &amp; Tableaux!B151 &amp; "," &amp; Tableaux!C151</f>
        <v>148,149,3600000</v>
      </c>
    </row>
    <row r="152" spans="3:4" x14ac:dyDescent="0.25">
      <c r="C152">
        <f t="shared" si="3"/>
        <v>151</v>
      </c>
      <c r="D152" t="str">
        <f>Tableaux!A152 &amp; "," &amp; Tableaux!B152 &amp; "," &amp; Tableaux!C152</f>
        <v>149,150,3800000</v>
      </c>
    </row>
    <row r="153" spans="3:4" x14ac:dyDescent="0.25">
      <c r="C153">
        <f t="shared" si="3"/>
        <v>152</v>
      </c>
      <c r="D153" t="str">
        <f>Tableaux!A153 &amp; "," &amp; Tableaux!B153 &amp; "," &amp; Tableaux!C153</f>
        <v>150,151,4000000</v>
      </c>
    </row>
    <row r="154" spans="3:4" x14ac:dyDescent="0.25">
      <c r="C154">
        <f t="shared" si="3"/>
        <v>153</v>
      </c>
      <c r="D154" t="str">
        <f>Tableaux!A154 &amp; "," &amp; Tableaux!B154 &amp; "," &amp; Tableaux!C154</f>
        <v>151,152,4200000</v>
      </c>
    </row>
    <row r="155" spans="3:4" x14ac:dyDescent="0.25">
      <c r="C155">
        <f t="shared" si="3"/>
        <v>154</v>
      </c>
      <c r="D155" t="str">
        <f>Tableaux!A155 &amp; "," &amp; Tableaux!B155 &amp; "," &amp; Tableaux!C155</f>
        <v>152,153,4400000</v>
      </c>
    </row>
    <row r="156" spans="3:4" x14ac:dyDescent="0.25">
      <c r="C156">
        <f t="shared" si="3"/>
        <v>155</v>
      </c>
      <c r="D156" t="str">
        <f>Tableaux!A156 &amp; "," &amp; Tableaux!B156 &amp; "," &amp; Tableaux!C156</f>
        <v>153,154,4600000</v>
      </c>
    </row>
    <row r="157" spans="3:4" x14ac:dyDescent="0.25">
      <c r="C157">
        <f t="shared" si="3"/>
        <v>156</v>
      </c>
      <c r="D157" t="str">
        <f>Tableaux!A157 &amp; "," &amp; Tableaux!B157 &amp; "," &amp; Tableaux!C157</f>
        <v>154,155,4800000</v>
      </c>
    </row>
    <row r="158" spans="3:4" x14ac:dyDescent="0.25">
      <c r="C158">
        <f t="shared" si="3"/>
        <v>157</v>
      </c>
      <c r="D158" t="str">
        <f>Tableaux!A158 &amp; "," &amp; Tableaux!B158 &amp; "," &amp; Tableaux!C158</f>
        <v>155,156,5000000</v>
      </c>
    </row>
    <row r="159" spans="3:4" x14ac:dyDescent="0.25">
      <c r="C159">
        <f t="shared" si="3"/>
        <v>158</v>
      </c>
      <c r="D159" t="str">
        <f>Tableaux!A159 &amp; "," &amp; Tableaux!B159 &amp; "," &amp; Tableaux!C159</f>
        <v>156,157,5200000</v>
      </c>
    </row>
    <row r="160" spans="3:4" x14ac:dyDescent="0.25">
      <c r="C160">
        <f t="shared" si="3"/>
        <v>159</v>
      </c>
      <c r="D160" t="str">
        <f>Tableaux!A160 &amp; "," &amp; Tableaux!B160 &amp; "," &amp; Tableaux!C160</f>
        <v>157,158,5400000</v>
      </c>
    </row>
    <row r="161" spans="3:4" x14ac:dyDescent="0.25">
      <c r="C161">
        <f t="shared" si="3"/>
        <v>160</v>
      </c>
      <c r="D161" t="str">
        <f>Tableaux!A161 &amp; "," &amp; Tableaux!B161 &amp; "," &amp; Tableaux!C161</f>
        <v>158,159,5600000</v>
      </c>
    </row>
    <row r="162" spans="3:4" x14ac:dyDescent="0.25">
      <c r="C162">
        <f t="shared" ref="C162:C225" si="4">ROW()-1</f>
        <v>161</v>
      </c>
      <c r="D162" t="str">
        <f>Tableaux!A162 &amp; "," &amp; Tableaux!B162 &amp; "," &amp; Tableaux!C162</f>
        <v>159,160,5800000</v>
      </c>
    </row>
    <row r="163" spans="3:4" x14ac:dyDescent="0.25">
      <c r="C163">
        <f t="shared" si="4"/>
        <v>162</v>
      </c>
      <c r="D163" t="str">
        <f>Tableaux!A163 &amp; "," &amp; Tableaux!B163 &amp; "," &amp; Tableaux!C163</f>
        <v>160,161,6000000</v>
      </c>
    </row>
    <row r="164" spans="3:4" x14ac:dyDescent="0.25">
      <c r="C164">
        <f t="shared" si="4"/>
        <v>163</v>
      </c>
      <c r="D164" t="str">
        <f>Tableaux!A164 &amp; "," &amp; Tableaux!B164 &amp; "," &amp; Tableaux!C164</f>
        <v>161,162,6300000</v>
      </c>
    </row>
    <row r="165" spans="3:4" x14ac:dyDescent="0.25">
      <c r="C165">
        <f t="shared" si="4"/>
        <v>164</v>
      </c>
      <c r="D165" t="str">
        <f>Tableaux!A165 &amp; "," &amp; Tableaux!B165 &amp; "," &amp; Tableaux!C165</f>
        <v>162,163,6500000</v>
      </c>
    </row>
    <row r="166" spans="3:4" x14ac:dyDescent="0.25">
      <c r="C166">
        <f t="shared" si="4"/>
        <v>165</v>
      </c>
      <c r="D166" t="str">
        <f>Tableaux!A166 &amp; "," &amp; Tableaux!B166 &amp; "," &amp; Tableaux!C166</f>
        <v>163,164,6800000</v>
      </c>
    </row>
    <row r="167" spans="3:4" x14ac:dyDescent="0.25">
      <c r="C167">
        <f t="shared" si="4"/>
        <v>166</v>
      </c>
      <c r="D167" t="str">
        <f>Tableaux!A167 &amp; "," &amp; Tableaux!B167 &amp; "," &amp; Tableaux!C167</f>
        <v>164,165,7000000</v>
      </c>
    </row>
    <row r="168" spans="3:4" x14ac:dyDescent="0.25">
      <c r="C168">
        <f t="shared" si="4"/>
        <v>167</v>
      </c>
      <c r="D168" t="str">
        <f>Tableaux!A168 &amp; "," &amp; Tableaux!B168 &amp; "," &amp; Tableaux!C168</f>
        <v>165,166,7300000</v>
      </c>
    </row>
    <row r="169" spans="3:4" x14ac:dyDescent="0.25">
      <c r="C169">
        <f t="shared" si="4"/>
        <v>168</v>
      </c>
      <c r="D169" t="str">
        <f>Tableaux!A169 &amp; "," &amp; Tableaux!B169 &amp; "," &amp; Tableaux!C169</f>
        <v>166,167,7500000</v>
      </c>
    </row>
    <row r="170" spans="3:4" x14ac:dyDescent="0.25">
      <c r="C170">
        <f t="shared" si="4"/>
        <v>169</v>
      </c>
      <c r="D170" t="str">
        <f>Tableaux!A170 &amp; "," &amp; Tableaux!B170 &amp; "," &amp; Tableaux!C170</f>
        <v>167,168,7800000</v>
      </c>
    </row>
    <row r="171" spans="3:4" x14ac:dyDescent="0.25">
      <c r="C171">
        <f t="shared" si="4"/>
        <v>170</v>
      </c>
      <c r="D171" t="str">
        <f>Tableaux!A171 &amp; "," &amp; Tableaux!B171 &amp; "," &amp; Tableaux!C171</f>
        <v>168,169,8000000</v>
      </c>
    </row>
    <row r="172" spans="3:4" x14ac:dyDescent="0.25">
      <c r="C172">
        <f t="shared" si="4"/>
        <v>171</v>
      </c>
      <c r="D172" t="str">
        <f>Tableaux!A172 &amp; "," &amp; Tableaux!B172 &amp; "," &amp; Tableaux!C172</f>
        <v>169,170,8300000</v>
      </c>
    </row>
    <row r="173" spans="3:4" x14ac:dyDescent="0.25">
      <c r="C173">
        <f t="shared" si="4"/>
        <v>172</v>
      </c>
      <c r="D173" t="str">
        <f>Tableaux!A173 &amp; "," &amp; Tableaux!B173 &amp; "," &amp; Tableaux!C173</f>
        <v>170,171,8600000</v>
      </c>
    </row>
    <row r="174" spans="3:4" x14ac:dyDescent="0.25">
      <c r="C174">
        <f t="shared" si="4"/>
        <v>173</v>
      </c>
      <c r="D174" t="str">
        <f>Tableaux!A174 &amp; "," &amp; Tableaux!B174 &amp; "," &amp; Tableaux!C174</f>
        <v>171,172,9000000</v>
      </c>
    </row>
    <row r="175" spans="3:4" x14ac:dyDescent="0.25">
      <c r="C175">
        <f t="shared" si="4"/>
        <v>174</v>
      </c>
      <c r="D175" t="str">
        <f>Tableaux!A175 &amp; "," &amp; Tableaux!B175 &amp; "," &amp; Tableaux!C175</f>
        <v>172,173,9300000</v>
      </c>
    </row>
    <row r="176" spans="3:4" x14ac:dyDescent="0.25">
      <c r="C176">
        <f t="shared" si="4"/>
        <v>175</v>
      </c>
      <c r="D176" t="str">
        <f>Tableaux!A176 &amp; "," &amp; Tableaux!B176 &amp; "," &amp; Tableaux!C176</f>
        <v>173,174,9700000</v>
      </c>
    </row>
    <row r="177" spans="3:4" x14ac:dyDescent="0.25">
      <c r="C177">
        <f t="shared" si="4"/>
        <v>176</v>
      </c>
      <c r="D177" t="str">
        <f>Tableaux!A177 &amp; "," &amp; Tableaux!B177 &amp; "," &amp; Tableaux!C177</f>
        <v>174,175,10000000</v>
      </c>
    </row>
    <row r="178" spans="3:4" x14ac:dyDescent="0.25">
      <c r="C178">
        <f t="shared" si="4"/>
        <v>177</v>
      </c>
      <c r="D178" t="str">
        <f>Tableaux!A178 &amp; "," &amp; Tableaux!B178 &amp; "," &amp; Tableaux!C178</f>
        <v>175,176,10400000</v>
      </c>
    </row>
    <row r="179" spans="3:4" x14ac:dyDescent="0.25">
      <c r="C179">
        <f t="shared" si="4"/>
        <v>178</v>
      </c>
      <c r="D179" t="str">
        <f>Tableaux!A179 &amp; "," &amp; Tableaux!B179 &amp; "," &amp; Tableaux!C179</f>
        <v>176,177,10700000</v>
      </c>
    </row>
    <row r="180" spans="3:4" x14ac:dyDescent="0.25">
      <c r="C180">
        <f t="shared" si="4"/>
        <v>179</v>
      </c>
      <c r="D180" t="str">
        <f>Tableaux!A180 &amp; "," &amp; Tableaux!B180 &amp; "," &amp; Tableaux!C180</f>
        <v>177,178,11100000</v>
      </c>
    </row>
    <row r="181" spans="3:4" x14ac:dyDescent="0.25">
      <c r="C181">
        <f t="shared" si="4"/>
        <v>180</v>
      </c>
      <c r="D181" t="str">
        <f>Tableaux!A181 &amp; "," &amp; Tableaux!B181 &amp; "," &amp; Tableaux!C181</f>
        <v>178,179,11400000</v>
      </c>
    </row>
    <row r="182" spans="3:4" x14ac:dyDescent="0.25">
      <c r="C182">
        <f t="shared" si="4"/>
        <v>181</v>
      </c>
      <c r="D182" t="str">
        <f>Tableaux!A182 &amp; "," &amp; Tableaux!B182 &amp; "," &amp; Tableaux!C182</f>
        <v>179,180,11800000</v>
      </c>
    </row>
    <row r="183" spans="3:4" x14ac:dyDescent="0.25">
      <c r="C183">
        <f t="shared" si="4"/>
        <v>182</v>
      </c>
      <c r="D183" t="str">
        <f>Tableaux!A183 &amp; "," &amp; Tableaux!B183 &amp; "," &amp; Tableaux!C183</f>
        <v>180,181,12100000</v>
      </c>
    </row>
    <row r="184" spans="3:4" x14ac:dyDescent="0.25">
      <c r="C184">
        <f t="shared" si="4"/>
        <v>183</v>
      </c>
      <c r="D184" t="str">
        <f>Tableaux!A184 &amp; "," &amp; Tableaux!B184 &amp; "," &amp; Tableaux!C184</f>
        <v>181,182,12500000</v>
      </c>
    </row>
    <row r="185" spans="3:4" x14ac:dyDescent="0.25">
      <c r="C185">
        <f t="shared" si="4"/>
        <v>184</v>
      </c>
      <c r="D185" t="str">
        <f>Tableaux!A185 &amp; "," &amp; Tableaux!B185 &amp; "," &amp; Tableaux!C185</f>
        <v>182,183,12900000</v>
      </c>
    </row>
    <row r="186" spans="3:4" x14ac:dyDescent="0.25">
      <c r="C186">
        <f t="shared" si="4"/>
        <v>185</v>
      </c>
      <c r="D186" t="str">
        <f>Tableaux!A186 &amp; "," &amp; Tableaux!B186 &amp; "," &amp; Tableaux!C186</f>
        <v>183,184,13300000</v>
      </c>
    </row>
    <row r="187" spans="3:4" x14ac:dyDescent="0.25">
      <c r="C187">
        <f t="shared" si="4"/>
        <v>186</v>
      </c>
      <c r="D187" t="str">
        <f>Tableaux!A187 &amp; "," &amp; Tableaux!B187 &amp; "," &amp; Tableaux!C187</f>
        <v>184,185,13700000</v>
      </c>
    </row>
    <row r="188" spans="3:4" x14ac:dyDescent="0.25">
      <c r="C188">
        <f t="shared" si="4"/>
        <v>187</v>
      </c>
      <c r="D188" t="str">
        <f>Tableaux!A188 &amp; "," &amp; Tableaux!B188 &amp; "," &amp; Tableaux!C188</f>
        <v>185,186,14200000</v>
      </c>
    </row>
    <row r="189" spans="3:4" x14ac:dyDescent="0.25">
      <c r="C189">
        <f t="shared" si="4"/>
        <v>188</v>
      </c>
      <c r="D189" t="str">
        <f>Tableaux!A189 &amp; "," &amp; Tableaux!B189 &amp; "," &amp; Tableaux!C189</f>
        <v>186,187,14600000</v>
      </c>
    </row>
    <row r="190" spans="3:4" x14ac:dyDescent="0.25">
      <c r="C190">
        <f t="shared" si="4"/>
        <v>189</v>
      </c>
      <c r="D190" t="str">
        <f>Tableaux!A190 &amp; "," &amp; Tableaux!B190 &amp; "," &amp; Tableaux!C190</f>
        <v>187,188,15100000</v>
      </c>
    </row>
    <row r="191" spans="3:4" x14ac:dyDescent="0.25">
      <c r="C191">
        <f t="shared" si="4"/>
        <v>190</v>
      </c>
      <c r="D191" t="str">
        <f>Tableaux!A191 &amp; "," &amp; Tableaux!B191 &amp; "," &amp; Tableaux!C191</f>
        <v>188,189,15600000</v>
      </c>
    </row>
    <row r="192" spans="3:4" x14ac:dyDescent="0.25">
      <c r="C192">
        <f t="shared" si="4"/>
        <v>191</v>
      </c>
      <c r="D192" t="str">
        <f>Tableaux!A192 &amp; "," &amp; Tableaux!B192 &amp; "," &amp; Tableaux!C192</f>
        <v>189,190,16000000</v>
      </c>
    </row>
    <row r="193" spans="3:4" x14ac:dyDescent="0.25">
      <c r="C193">
        <f t="shared" si="4"/>
        <v>192</v>
      </c>
      <c r="D193" t="str">
        <f>Tableaux!A193 &amp; "," &amp; Tableaux!B193 &amp; "," &amp; Tableaux!C193</f>
        <v>190,191,16500000</v>
      </c>
    </row>
    <row r="194" spans="3:4" x14ac:dyDescent="0.25">
      <c r="C194">
        <f t="shared" si="4"/>
        <v>193</v>
      </c>
      <c r="D194" t="str">
        <f>Tableaux!A194 &amp; "," &amp; Tableaux!B194 &amp; "," &amp; Tableaux!C194</f>
        <v>191,192,17100000</v>
      </c>
    </row>
    <row r="195" spans="3:4" x14ac:dyDescent="0.25">
      <c r="C195">
        <f t="shared" si="4"/>
        <v>194</v>
      </c>
      <c r="D195" t="str">
        <f>Tableaux!A195 &amp; "," &amp; Tableaux!B195 &amp; "," &amp; Tableaux!C195</f>
        <v>192,193,17600000</v>
      </c>
    </row>
    <row r="196" spans="3:4" x14ac:dyDescent="0.25">
      <c r="C196">
        <f t="shared" si="4"/>
        <v>195</v>
      </c>
      <c r="D196" t="str">
        <f>Tableaux!A196 &amp; "," &amp; Tableaux!B196 &amp; "," &amp; Tableaux!C196</f>
        <v>193,194,18100000</v>
      </c>
    </row>
    <row r="197" spans="3:4" x14ac:dyDescent="0.25">
      <c r="C197">
        <f t="shared" si="4"/>
        <v>196</v>
      </c>
      <c r="D197" t="str">
        <f>Tableaux!A197 &amp; "," &amp; Tableaux!B197 &amp; "," &amp; Tableaux!C197</f>
        <v>194,195,18700000</v>
      </c>
    </row>
    <row r="198" spans="3:4" x14ac:dyDescent="0.25">
      <c r="C198">
        <f t="shared" si="4"/>
        <v>197</v>
      </c>
      <c r="D198" t="str">
        <f>Tableaux!A198 &amp; "," &amp; Tableaux!B198 &amp; "," &amp; Tableaux!C198</f>
        <v>195,196,19200000</v>
      </c>
    </row>
    <row r="199" spans="3:4" x14ac:dyDescent="0.25">
      <c r="C199">
        <f t="shared" si="4"/>
        <v>198</v>
      </c>
      <c r="D199" t="str">
        <f>Tableaux!A199 &amp; "," &amp; Tableaux!B199 &amp; "," &amp; Tableaux!C199</f>
        <v>196,197,19800000</v>
      </c>
    </row>
    <row r="200" spans="3:4" x14ac:dyDescent="0.25">
      <c r="C200">
        <f t="shared" si="4"/>
        <v>199</v>
      </c>
      <c r="D200" t="str">
        <f>Tableaux!A200 &amp; "," &amp; Tableaux!B200 &amp; "," &amp; Tableaux!C200</f>
        <v>197,198,20400000</v>
      </c>
    </row>
    <row r="201" spans="3:4" x14ac:dyDescent="0.25">
      <c r="C201">
        <f t="shared" si="4"/>
        <v>200</v>
      </c>
      <c r="D201" t="str">
        <f>Tableaux!A201 &amp; "," &amp; Tableaux!B201 &amp; "," &amp; Tableaux!C201</f>
        <v>198,199,21000000</v>
      </c>
    </row>
    <row r="202" spans="3:4" x14ac:dyDescent="0.25">
      <c r="C202">
        <f t="shared" si="4"/>
        <v>201</v>
      </c>
      <c r="D202" t="str">
        <f>Tableaux!A202 &amp; "," &amp; Tableaux!B202 &amp; "," &amp; Tableaux!C202</f>
        <v>199,200,21600000</v>
      </c>
    </row>
    <row r="203" spans="3:4" x14ac:dyDescent="0.25">
      <c r="C203">
        <f t="shared" si="4"/>
        <v>202</v>
      </c>
      <c r="D203" t="str">
        <f>Tableaux!A203 &amp; "," &amp; Tableaux!B203 &amp; "," &amp; Tableaux!C203</f>
        <v>200,201,22300000</v>
      </c>
    </row>
    <row r="204" spans="3:4" x14ac:dyDescent="0.25">
      <c r="C204">
        <f t="shared" si="4"/>
        <v>203</v>
      </c>
      <c r="D204" t="str">
        <f>Tableaux!A204 &amp; "," &amp; Tableaux!B204 &amp; "," &amp; Tableaux!C204</f>
        <v>201,202,22900000</v>
      </c>
    </row>
    <row r="205" spans="3:4" x14ac:dyDescent="0.25">
      <c r="C205">
        <f t="shared" si="4"/>
        <v>204</v>
      </c>
      <c r="D205" t="str">
        <f>Tableaux!A205 &amp; "," &amp; Tableaux!B205 &amp; "," &amp; Tableaux!C205</f>
        <v>202,203,23600000</v>
      </c>
    </row>
    <row r="206" spans="3:4" x14ac:dyDescent="0.25">
      <c r="C206">
        <f t="shared" si="4"/>
        <v>205</v>
      </c>
      <c r="D206" t="str">
        <f>Tableaux!A206 &amp; "," &amp; Tableaux!B206 &amp; "," &amp; Tableaux!C206</f>
        <v>203,204,24300000</v>
      </c>
    </row>
    <row r="207" spans="3:4" x14ac:dyDescent="0.25">
      <c r="C207">
        <f t="shared" si="4"/>
        <v>206</v>
      </c>
      <c r="D207" t="str">
        <f>Tableaux!A207 &amp; "," &amp; Tableaux!B207 &amp; "," &amp; Tableaux!C207</f>
        <v>204,205,25000000</v>
      </c>
    </row>
    <row r="208" spans="3:4" x14ac:dyDescent="0.25">
      <c r="C208">
        <f t="shared" si="4"/>
        <v>207</v>
      </c>
      <c r="D208" t="str">
        <f>Tableaux!A208 &amp; "," &amp; Tableaux!B208 &amp; "," &amp; Tableaux!C208</f>
        <v>205,206,25700000</v>
      </c>
    </row>
    <row r="209" spans="3:4" x14ac:dyDescent="0.25">
      <c r="C209">
        <f t="shared" si="4"/>
        <v>208</v>
      </c>
      <c r="D209" t="str">
        <f>Tableaux!A209 &amp; "," &amp; Tableaux!B209 &amp; "," &amp; Tableaux!C209</f>
        <v>206,207,26500000</v>
      </c>
    </row>
    <row r="210" spans="3:4" x14ac:dyDescent="0.25">
      <c r="C210">
        <f t="shared" si="4"/>
        <v>209</v>
      </c>
      <c r="D210" t="str">
        <f>Tableaux!A210 &amp; "," &amp; Tableaux!B210 &amp; "," &amp; Tableaux!C210</f>
        <v>207,208,27200000</v>
      </c>
    </row>
    <row r="211" spans="3:4" x14ac:dyDescent="0.25">
      <c r="C211">
        <f t="shared" si="4"/>
        <v>210</v>
      </c>
      <c r="D211" t="str">
        <f>Tableaux!A211 &amp; "," &amp; Tableaux!B211 &amp; "," &amp; Tableaux!C211</f>
        <v>208,209,28000000</v>
      </c>
    </row>
    <row r="212" spans="3:4" x14ac:dyDescent="0.25">
      <c r="C212">
        <f t="shared" si="4"/>
        <v>211</v>
      </c>
      <c r="D212" t="str">
        <f>Tableaux!A212 &amp; "," &amp; Tableaux!B212 &amp; "," &amp; Tableaux!C212</f>
        <v>209,210,28800000</v>
      </c>
    </row>
    <row r="213" spans="3:4" x14ac:dyDescent="0.25">
      <c r="C213">
        <f t="shared" si="4"/>
        <v>212</v>
      </c>
      <c r="D213" t="str">
        <f>Tableaux!A213 &amp; "," &amp; Tableaux!B213 &amp; "," &amp; Tableaux!C213</f>
        <v>210,211,29600000</v>
      </c>
    </row>
    <row r="214" spans="3:4" x14ac:dyDescent="0.25">
      <c r="C214">
        <f t="shared" si="4"/>
        <v>213</v>
      </c>
      <c r="D214" t="str">
        <f>Tableaux!A214 &amp; "," &amp; Tableaux!B214 &amp; "," &amp; Tableaux!C214</f>
        <v>211,212,30400000</v>
      </c>
    </row>
    <row r="215" spans="3:4" x14ac:dyDescent="0.25">
      <c r="C215">
        <f t="shared" si="4"/>
        <v>214</v>
      </c>
      <c r="D215" t="str">
        <f>Tableaux!A215 &amp; "," &amp; Tableaux!B215 &amp; "," &amp; Tableaux!C215</f>
        <v>212,213,31200000</v>
      </c>
    </row>
    <row r="216" spans="3:4" x14ac:dyDescent="0.25">
      <c r="C216">
        <f t="shared" si="4"/>
        <v>215</v>
      </c>
      <c r="D216" t="str">
        <f>Tableaux!A216 &amp; "," &amp; Tableaux!B216 &amp; "," &amp; Tableaux!C216</f>
        <v>213,214,32100000</v>
      </c>
    </row>
    <row r="217" spans="3:4" x14ac:dyDescent="0.25">
      <c r="C217">
        <f t="shared" si="4"/>
        <v>216</v>
      </c>
      <c r="D217" t="str">
        <f>Tableaux!A217 &amp; "," &amp; Tableaux!B217 &amp; "," &amp; Tableaux!C217</f>
        <v>214,215,33000000</v>
      </c>
    </row>
    <row r="218" spans="3:4" x14ac:dyDescent="0.25">
      <c r="C218">
        <f t="shared" si="4"/>
        <v>217</v>
      </c>
      <c r="D218" t="str">
        <f>Tableaux!A218 &amp; "," &amp; Tableaux!B218 &amp; "," &amp; Tableaux!C218</f>
        <v>215,216,33900000</v>
      </c>
    </row>
    <row r="219" spans="3:4" x14ac:dyDescent="0.25">
      <c r="C219">
        <f t="shared" si="4"/>
        <v>218</v>
      </c>
      <c r="D219" t="str">
        <f>Tableaux!A219 &amp; "," &amp; Tableaux!B219 &amp; "," &amp; Tableaux!C219</f>
        <v>216,217,34800000</v>
      </c>
    </row>
    <row r="220" spans="3:4" x14ac:dyDescent="0.25">
      <c r="C220">
        <f t="shared" si="4"/>
        <v>219</v>
      </c>
      <c r="D220" t="str">
        <f>Tableaux!A220 &amp; "," &amp; Tableaux!B220 &amp; "," &amp; Tableaux!C220</f>
        <v>217,218,35800000</v>
      </c>
    </row>
    <row r="221" spans="3:4" x14ac:dyDescent="0.25">
      <c r="C221">
        <f t="shared" si="4"/>
        <v>220</v>
      </c>
      <c r="D221" t="str">
        <f>Tableaux!A221 &amp; "," &amp; Tableaux!B221 &amp; "," &amp; Tableaux!C221</f>
        <v>218,219,36700000</v>
      </c>
    </row>
    <row r="222" spans="3:4" x14ac:dyDescent="0.25">
      <c r="C222">
        <f t="shared" si="4"/>
        <v>221</v>
      </c>
      <c r="D222" t="str">
        <f>Tableaux!A222 &amp; "," &amp; Tableaux!B222 &amp; "," &amp; Tableaux!C222</f>
        <v>219,220,37700000</v>
      </c>
    </row>
    <row r="223" spans="3:4" x14ac:dyDescent="0.25">
      <c r="C223">
        <f t="shared" si="4"/>
        <v>222</v>
      </c>
      <c r="D223" t="str">
        <f>Tableaux!A223 &amp; "," &amp; Tableaux!B223 &amp; "," &amp; Tableaux!C223</f>
        <v>220,221,38700000</v>
      </c>
    </row>
    <row r="224" spans="3:4" x14ac:dyDescent="0.25">
      <c r="C224">
        <f t="shared" si="4"/>
        <v>223</v>
      </c>
      <c r="D224" t="str">
        <f>Tableaux!A224 &amp; "," &amp; Tableaux!B224 &amp; "," &amp; Tableaux!C224</f>
        <v>221,222,39700000</v>
      </c>
    </row>
    <row r="225" spans="3:4" x14ac:dyDescent="0.25">
      <c r="C225">
        <f t="shared" si="4"/>
        <v>224</v>
      </c>
      <c r="D225" t="str">
        <f>Tableaux!A225 &amp; "," &amp; Tableaux!B225 &amp; "," &amp; Tableaux!C225</f>
        <v>222,223,40800000</v>
      </c>
    </row>
    <row r="226" spans="3:4" x14ac:dyDescent="0.25">
      <c r="C226">
        <f t="shared" ref="C226:C289" si="5">ROW()-1</f>
        <v>225</v>
      </c>
      <c r="D226" t="str">
        <f>Tableaux!A226 &amp; "," &amp; Tableaux!B226 &amp; "," &amp; Tableaux!C226</f>
        <v>223,224,41800000</v>
      </c>
    </row>
    <row r="227" spans="3:4" x14ac:dyDescent="0.25">
      <c r="C227">
        <f t="shared" si="5"/>
        <v>226</v>
      </c>
      <c r="D227" t="str">
        <f>Tableaux!A227 &amp; "," &amp; Tableaux!B227 &amp; "," &amp; Tableaux!C227</f>
        <v>224,225,42900000</v>
      </c>
    </row>
    <row r="228" spans="3:4" x14ac:dyDescent="0.25">
      <c r="C228">
        <f t="shared" si="5"/>
        <v>227</v>
      </c>
      <c r="D228" t="str">
        <f>Tableaux!A228 &amp; "," &amp; Tableaux!B228 &amp; "," &amp; Tableaux!C228</f>
        <v>225,226,44000000</v>
      </c>
    </row>
    <row r="229" spans="3:4" x14ac:dyDescent="0.25">
      <c r="C229">
        <f t="shared" si="5"/>
        <v>228</v>
      </c>
      <c r="D229" t="str">
        <f>Tableaux!A229 &amp; "," &amp; Tableaux!B229 &amp; "," &amp; Tableaux!C229</f>
        <v>226,227,45200000</v>
      </c>
    </row>
    <row r="230" spans="3:4" x14ac:dyDescent="0.25">
      <c r="C230">
        <f t="shared" si="5"/>
        <v>229</v>
      </c>
      <c r="D230" t="str">
        <f>Tableaux!A230 &amp; "," &amp; Tableaux!B230 &amp; "," &amp; Tableaux!C230</f>
        <v>227,228,46300000</v>
      </c>
    </row>
    <row r="231" spans="3:4" x14ac:dyDescent="0.25">
      <c r="C231">
        <f t="shared" si="5"/>
        <v>230</v>
      </c>
      <c r="D231" t="str">
        <f>Tableaux!A231 &amp; "," &amp; Tableaux!B231 &amp; "," &amp; Tableaux!C231</f>
        <v>228,229,47500000</v>
      </c>
    </row>
    <row r="232" spans="3:4" x14ac:dyDescent="0.25">
      <c r="C232">
        <f t="shared" si="5"/>
        <v>231</v>
      </c>
      <c r="D232" t="str">
        <f>Tableaux!A232 &amp; "," &amp; Tableaux!B232 &amp; "," &amp; Tableaux!C232</f>
        <v>229,230,48700000</v>
      </c>
    </row>
    <row r="233" spans="3:4" x14ac:dyDescent="0.25">
      <c r="C233">
        <f t="shared" si="5"/>
        <v>232</v>
      </c>
      <c r="D233" t="str">
        <f>Tableaux!A233 &amp; "," &amp; Tableaux!B233 &amp; "," &amp; Tableaux!C233</f>
        <v>230,231,50000000</v>
      </c>
    </row>
    <row r="234" spans="3:4" x14ac:dyDescent="0.25">
      <c r="C234">
        <f t="shared" si="5"/>
        <v>233</v>
      </c>
      <c r="D234" t="str">
        <f>Tableaux!A234 &amp; "," &amp; Tableaux!B234 &amp; "," &amp; Tableaux!C234</f>
        <v>231,232,51200000</v>
      </c>
    </row>
    <row r="235" spans="3:4" x14ac:dyDescent="0.25">
      <c r="C235">
        <f t="shared" si="5"/>
        <v>234</v>
      </c>
      <c r="D235" t="str">
        <f>Tableaux!A235 &amp; "," &amp; Tableaux!B235 &amp; "," &amp; Tableaux!C235</f>
        <v>232,233,52500000</v>
      </c>
    </row>
    <row r="236" spans="3:4" x14ac:dyDescent="0.25">
      <c r="C236">
        <f t="shared" si="5"/>
        <v>235</v>
      </c>
      <c r="D236" t="str">
        <f>Tableaux!A236 &amp; "," &amp; Tableaux!B236 &amp; "," &amp; Tableaux!C236</f>
        <v>233,234,53800000</v>
      </c>
    </row>
    <row r="237" spans="3:4" x14ac:dyDescent="0.25">
      <c r="C237">
        <f t="shared" si="5"/>
        <v>236</v>
      </c>
      <c r="D237" t="str">
        <f>Tableaux!A237 &amp; "," &amp; Tableaux!B237 &amp; "," &amp; Tableaux!C237</f>
        <v>234,235,55100000</v>
      </c>
    </row>
    <row r="238" spans="3:4" x14ac:dyDescent="0.25">
      <c r="C238">
        <f t="shared" si="5"/>
        <v>237</v>
      </c>
      <c r="D238" t="str">
        <f>Tableaux!A238 &amp; "," &amp; Tableaux!B238 &amp; "," &amp; Tableaux!C238</f>
        <v>235,236,56500000</v>
      </c>
    </row>
    <row r="239" spans="3:4" x14ac:dyDescent="0.25">
      <c r="C239">
        <f t="shared" si="5"/>
        <v>238</v>
      </c>
      <c r="D239" t="str">
        <f>Tableaux!A239 &amp; "," &amp; Tableaux!B239 &amp; "," &amp; Tableaux!C239</f>
        <v>236,237,57900000</v>
      </c>
    </row>
    <row r="240" spans="3:4" x14ac:dyDescent="0.25">
      <c r="C240">
        <f t="shared" si="5"/>
        <v>239</v>
      </c>
      <c r="D240" t="str">
        <f>Tableaux!A240 &amp; "," &amp; Tableaux!B240 &amp; "," &amp; Tableaux!C240</f>
        <v>237,238,59300000</v>
      </c>
    </row>
    <row r="241" spans="3:4" x14ac:dyDescent="0.25">
      <c r="C241">
        <f t="shared" si="5"/>
        <v>240</v>
      </c>
      <c r="D241" t="str">
        <f>Tableaux!A241 &amp; "," &amp; Tableaux!B241 &amp; "," &amp; Tableaux!C241</f>
        <v>238,239,60700000</v>
      </c>
    </row>
    <row r="242" spans="3:4" x14ac:dyDescent="0.25">
      <c r="C242">
        <f t="shared" si="5"/>
        <v>241</v>
      </c>
      <c r="D242" t="str">
        <f>Tableaux!A242 &amp; "," &amp; Tableaux!B242 &amp; "," &amp; Tableaux!C242</f>
        <v>239,240,62200000</v>
      </c>
    </row>
    <row r="243" spans="3:4" x14ac:dyDescent="0.25">
      <c r="C243">
        <f t="shared" si="5"/>
        <v>242</v>
      </c>
      <c r="D243" t="str">
        <f>Tableaux!A243 &amp; "," &amp; Tableaux!B243 &amp; "," &amp; Tableaux!C243</f>
        <v>240,241,63700000</v>
      </c>
    </row>
    <row r="244" spans="3:4" x14ac:dyDescent="0.25">
      <c r="C244">
        <f t="shared" si="5"/>
        <v>243</v>
      </c>
      <c r="D244" t="str">
        <f>Tableaux!A244 &amp; "," &amp; Tableaux!B244 &amp; "," &amp; Tableaux!C244</f>
        <v>241,242,65200000</v>
      </c>
    </row>
    <row r="245" spans="3:4" x14ac:dyDescent="0.25">
      <c r="C245">
        <f t="shared" si="5"/>
        <v>244</v>
      </c>
      <c r="D245" t="str">
        <f>Tableaux!A245 &amp; "," &amp; Tableaux!B245 &amp; "," &amp; Tableaux!C245</f>
        <v>242,243,66700000</v>
      </c>
    </row>
    <row r="246" spans="3:4" x14ac:dyDescent="0.25">
      <c r="C246">
        <f t="shared" si="5"/>
        <v>245</v>
      </c>
      <c r="D246" t="str">
        <f>Tableaux!A246 &amp; "," &amp; Tableaux!B246 &amp; "," &amp; Tableaux!C246</f>
        <v>243,244,68300000</v>
      </c>
    </row>
    <row r="247" spans="3:4" x14ac:dyDescent="0.25">
      <c r="C247">
        <f t="shared" si="5"/>
        <v>246</v>
      </c>
      <c r="D247" t="str">
        <f>Tableaux!A247 &amp; "," &amp; Tableaux!B247 &amp; "," &amp; Tableaux!C247</f>
        <v>244,245,69900000</v>
      </c>
    </row>
    <row r="248" spans="3:4" x14ac:dyDescent="0.25">
      <c r="C248">
        <f t="shared" si="5"/>
        <v>247</v>
      </c>
      <c r="D248" t="str">
        <f>Tableaux!A248 &amp; "," &amp; Tableaux!B248 &amp; "," &amp; Tableaux!C248</f>
        <v>245,246,71500000</v>
      </c>
    </row>
    <row r="249" spans="3:4" x14ac:dyDescent="0.25">
      <c r="C249">
        <f t="shared" si="5"/>
        <v>248</v>
      </c>
      <c r="D249" t="str">
        <f>Tableaux!A249 &amp; "," &amp; Tableaux!B249 &amp; "," &amp; Tableaux!C249</f>
        <v>246,247,73200000</v>
      </c>
    </row>
    <row r="250" spans="3:4" x14ac:dyDescent="0.25">
      <c r="C250">
        <f t="shared" si="5"/>
        <v>249</v>
      </c>
      <c r="D250" t="str">
        <f>Tableaux!A250 &amp; "," &amp; Tableaux!B250 &amp; "," &amp; Tableaux!C250</f>
        <v>247,248,74900000</v>
      </c>
    </row>
    <row r="251" spans="3:4" x14ac:dyDescent="0.25">
      <c r="C251">
        <f t="shared" si="5"/>
        <v>250</v>
      </c>
      <c r="D251" t="str">
        <f>Tableaux!A251 &amp; "," &amp; Tableaux!B251 &amp; "," &amp; Tableaux!C251</f>
        <v>248,249,76600000</v>
      </c>
    </row>
    <row r="252" spans="3:4" x14ac:dyDescent="0.25">
      <c r="C252">
        <f t="shared" si="5"/>
        <v>251</v>
      </c>
      <c r="D252" t="str">
        <f>Tableaux!A252 &amp; "," &amp; Tableaux!B252 &amp; "," &amp; Tableaux!C252</f>
        <v>249,250,78400000</v>
      </c>
    </row>
    <row r="253" spans="3:4" x14ac:dyDescent="0.25">
      <c r="C253">
        <f t="shared" si="5"/>
        <v>252</v>
      </c>
      <c r="D253" t="str">
        <f>Tableaux!A253 &amp; "," &amp; Tableaux!B253 &amp; "," &amp; Tableaux!C253</f>
        <v>250,251,80200000</v>
      </c>
    </row>
    <row r="254" spans="3:4" x14ac:dyDescent="0.25">
      <c r="C254">
        <f t="shared" si="5"/>
        <v>253</v>
      </c>
      <c r="D254" t="str">
        <f>Tableaux!A254 &amp; "," &amp; Tableaux!B254 &amp; "," &amp; Tableaux!C254</f>
        <v>251,252,82000000</v>
      </c>
    </row>
    <row r="255" spans="3:4" x14ac:dyDescent="0.25">
      <c r="C255">
        <f t="shared" si="5"/>
        <v>254</v>
      </c>
      <c r="D255" t="str">
        <f>Tableaux!A255 &amp; "," &amp; Tableaux!B255 &amp; "," &amp; Tableaux!C255</f>
        <v>252,253,83800000</v>
      </c>
    </row>
    <row r="256" spans="3:4" x14ac:dyDescent="0.25">
      <c r="C256">
        <f t="shared" si="5"/>
        <v>255</v>
      </c>
      <c r="D256" t="str">
        <f>Tableaux!A256 &amp; "," &amp; Tableaux!B256 &amp; "," &amp; Tableaux!C256</f>
        <v>253,254,85700000</v>
      </c>
    </row>
    <row r="257" spans="3:4" x14ac:dyDescent="0.25">
      <c r="C257">
        <f t="shared" si="5"/>
        <v>256</v>
      </c>
      <c r="D257" t="str">
        <f>Tableaux!A257 &amp; "," &amp; Tableaux!B257 &amp; "," &amp; Tableaux!C257</f>
        <v>254,255,87600000</v>
      </c>
    </row>
    <row r="258" spans="3:4" x14ac:dyDescent="0.25">
      <c r="C258">
        <f t="shared" si="5"/>
        <v>257</v>
      </c>
      <c r="D258" t="str">
        <f>Tableaux!A258 &amp; "," &amp; Tableaux!B258 &amp; "," &amp; Tableaux!C258</f>
        <v>255,256,89600000</v>
      </c>
    </row>
    <row r="259" spans="3:4" x14ac:dyDescent="0.25">
      <c r="C259">
        <f t="shared" si="5"/>
        <v>258</v>
      </c>
      <c r="D259" t="str">
        <f>Tableaux!A259 &amp; "," &amp; Tableaux!B259 &amp; "," &amp; Tableaux!C259</f>
        <v>256,257,91600000</v>
      </c>
    </row>
    <row r="260" spans="3:4" x14ac:dyDescent="0.25">
      <c r="C260">
        <f t="shared" si="5"/>
        <v>259</v>
      </c>
      <c r="D260" t="str">
        <f>Tableaux!A260 &amp; "," &amp; Tableaux!B260 &amp; "," &amp; Tableaux!C260</f>
        <v>257,258,93600000</v>
      </c>
    </row>
    <row r="261" spans="3:4" x14ac:dyDescent="0.25">
      <c r="C261">
        <f t="shared" si="5"/>
        <v>260</v>
      </c>
      <c r="D261" t="str">
        <f>Tableaux!A261 &amp; "," &amp; Tableaux!B261 &amp; "," &amp; Tableaux!C261</f>
        <v>258,259,95700000</v>
      </c>
    </row>
    <row r="262" spans="3:4" x14ac:dyDescent="0.25">
      <c r="C262">
        <f t="shared" si="5"/>
        <v>261</v>
      </c>
      <c r="D262" t="str">
        <f>Tableaux!A262 &amp; "," &amp; Tableaux!B262 &amp; "," &amp; Tableaux!C262</f>
        <v>259,260,97700000</v>
      </c>
    </row>
    <row r="263" spans="3:4" x14ac:dyDescent="0.25">
      <c r="C263">
        <f t="shared" si="5"/>
        <v>262</v>
      </c>
      <c r="D263" t="str">
        <f>Tableaux!A263 &amp; "," &amp; Tableaux!B263 &amp; "," &amp; Tableaux!C263</f>
        <v>260,261,99900000</v>
      </c>
    </row>
    <row r="264" spans="3:4" x14ac:dyDescent="0.25">
      <c r="C264">
        <f t="shared" si="5"/>
        <v>263</v>
      </c>
      <c r="D264" t="str">
        <f>Tableaux!A264 &amp; "," &amp; Tableaux!B264 &amp; "," &amp; Tableaux!C264</f>
        <v>261,262,102000000</v>
      </c>
    </row>
    <row r="265" spans="3:4" x14ac:dyDescent="0.25">
      <c r="C265">
        <f t="shared" si="5"/>
        <v>264</v>
      </c>
      <c r="D265" t="str">
        <f>Tableaux!A265 &amp; "," &amp; Tableaux!B265 &amp; "," &amp; Tableaux!C265</f>
        <v>262,263,104200000</v>
      </c>
    </row>
    <row r="266" spans="3:4" x14ac:dyDescent="0.25">
      <c r="C266">
        <f t="shared" si="5"/>
        <v>265</v>
      </c>
      <c r="D266" t="str">
        <f>Tableaux!A266 &amp; "," &amp; Tableaux!B266 &amp; "," &amp; Tableaux!C266</f>
        <v>263,264,106500000</v>
      </c>
    </row>
    <row r="267" spans="3:4" x14ac:dyDescent="0.25">
      <c r="C267">
        <f t="shared" si="5"/>
        <v>266</v>
      </c>
      <c r="D267" t="str">
        <f>Tableaux!A267 &amp; "," &amp; Tableaux!B267 &amp; "," &amp; Tableaux!C267</f>
        <v>264,265,108700000</v>
      </c>
    </row>
    <row r="268" spans="3:4" x14ac:dyDescent="0.25">
      <c r="C268">
        <f t="shared" si="5"/>
        <v>267</v>
      </c>
      <c r="D268" t="str">
        <f>Tableaux!A268 &amp; "," &amp; Tableaux!B268 &amp; "," &amp; Tableaux!C268</f>
        <v>265,266,111000000</v>
      </c>
    </row>
    <row r="269" spans="3:4" x14ac:dyDescent="0.25">
      <c r="C269">
        <f t="shared" si="5"/>
        <v>268</v>
      </c>
      <c r="D269" t="str">
        <f>Tableaux!A269 &amp; "," &amp; Tableaux!B269 &amp; "," &amp; Tableaux!C269</f>
        <v>266,267,113400000</v>
      </c>
    </row>
    <row r="270" spans="3:4" x14ac:dyDescent="0.25">
      <c r="C270">
        <f t="shared" si="5"/>
        <v>269</v>
      </c>
      <c r="D270" t="str">
        <f>Tableaux!A270 &amp; "," &amp; Tableaux!B270 &amp; "," &amp; Tableaux!C270</f>
        <v>267,268,115800000</v>
      </c>
    </row>
    <row r="271" spans="3:4" x14ac:dyDescent="0.25">
      <c r="C271">
        <f t="shared" si="5"/>
        <v>270</v>
      </c>
      <c r="D271" t="str">
        <f>Tableaux!A271 &amp; "," &amp; Tableaux!B271 &amp; "," &amp; Tableaux!C271</f>
        <v>268,269,118200000</v>
      </c>
    </row>
    <row r="272" spans="3:4" x14ac:dyDescent="0.25">
      <c r="C272">
        <f t="shared" si="5"/>
        <v>271</v>
      </c>
      <c r="D272" t="str">
        <f>Tableaux!A272 &amp; "," &amp; Tableaux!B272 &amp; "," &amp; Tableaux!C272</f>
        <v>269,270,120700000</v>
      </c>
    </row>
    <row r="273" spans="3:4" x14ac:dyDescent="0.25">
      <c r="C273">
        <f t="shared" si="5"/>
        <v>272</v>
      </c>
      <c r="D273" t="str">
        <f>Tableaux!A273 &amp; "," &amp; Tableaux!B273 &amp; "," &amp; Tableaux!C273</f>
        <v>270,271,123200000</v>
      </c>
    </row>
    <row r="274" spans="3:4" x14ac:dyDescent="0.25">
      <c r="C274">
        <f t="shared" si="5"/>
        <v>273</v>
      </c>
      <c r="D274" t="str">
        <f>Tableaux!A274 &amp; "," &amp; Tableaux!B274 &amp; "," &amp; Tableaux!C274</f>
        <v>271,272,125700000</v>
      </c>
    </row>
    <row r="275" spans="3:4" x14ac:dyDescent="0.25">
      <c r="C275">
        <f t="shared" si="5"/>
        <v>274</v>
      </c>
      <c r="D275" t="str">
        <f>Tableaux!A275 &amp; "," &amp; Tableaux!B275 &amp; "," &amp; Tableaux!C275</f>
        <v>272,273,128300000</v>
      </c>
    </row>
    <row r="276" spans="3:4" x14ac:dyDescent="0.25">
      <c r="C276">
        <f t="shared" si="5"/>
        <v>275</v>
      </c>
      <c r="D276" t="str">
        <f>Tableaux!A276 &amp; "," &amp; Tableaux!B276 &amp; "," &amp; Tableaux!C276</f>
        <v>273,274,130900000</v>
      </c>
    </row>
    <row r="277" spans="3:4" x14ac:dyDescent="0.25">
      <c r="C277">
        <f t="shared" si="5"/>
        <v>276</v>
      </c>
      <c r="D277" t="str">
        <f>Tableaux!A277 &amp; "," &amp; Tableaux!B277 &amp; "," &amp; Tableaux!C277</f>
        <v>274,275,133600000</v>
      </c>
    </row>
    <row r="278" spans="3:4" x14ac:dyDescent="0.25">
      <c r="C278">
        <f t="shared" si="5"/>
        <v>277</v>
      </c>
      <c r="D278" t="str">
        <f>Tableaux!A278 &amp; "," &amp; Tableaux!B278 &amp; "," &amp; Tableaux!C278</f>
        <v>275,276,136300000</v>
      </c>
    </row>
    <row r="279" spans="3:4" x14ac:dyDescent="0.25">
      <c r="C279">
        <f t="shared" si="5"/>
        <v>278</v>
      </c>
      <c r="D279" t="str">
        <f>Tableaux!A279 &amp; "," &amp; Tableaux!B279 &amp; "," &amp; Tableaux!C279</f>
        <v>276,277,139100000</v>
      </c>
    </row>
    <row r="280" spans="3:4" x14ac:dyDescent="0.25">
      <c r="C280">
        <f t="shared" si="5"/>
        <v>279</v>
      </c>
      <c r="D280" t="str">
        <f>Tableaux!A280 &amp; "," &amp; Tableaux!B280 &amp; "," &amp; Tableaux!C280</f>
        <v>277,278,141800000</v>
      </c>
    </row>
    <row r="281" spans="3:4" x14ac:dyDescent="0.25">
      <c r="C281">
        <f t="shared" si="5"/>
        <v>280</v>
      </c>
      <c r="D281" t="str">
        <f>Tableaux!A281 &amp; "," &amp; Tableaux!B281 &amp; "," &amp; Tableaux!C281</f>
        <v>278,279,144700000</v>
      </c>
    </row>
    <row r="282" spans="3:4" x14ac:dyDescent="0.25">
      <c r="C282">
        <f t="shared" si="5"/>
        <v>281</v>
      </c>
      <c r="D282" t="str">
        <f>Tableaux!A282 &amp; "," &amp; Tableaux!B282 &amp; "," &amp; Tableaux!C282</f>
        <v>279,280,147600000</v>
      </c>
    </row>
    <row r="283" spans="3:4" x14ac:dyDescent="0.25">
      <c r="C283">
        <f t="shared" si="5"/>
        <v>282</v>
      </c>
      <c r="D283" t="str">
        <f>Tableaux!A283 &amp; "," &amp; Tableaux!B283 &amp; "," &amp; Tableaux!C283</f>
        <v>280,281,164440000</v>
      </c>
    </row>
    <row r="284" spans="3:4" x14ac:dyDescent="0.25">
      <c r="C284">
        <f t="shared" si="5"/>
        <v>283</v>
      </c>
      <c r="D284" t="str">
        <f>Tableaux!A284 &amp; "," &amp; Tableaux!B284 &amp; "," &amp; Tableaux!C284</f>
        <v>281,282,164440000</v>
      </c>
    </row>
    <row r="285" spans="3:4" x14ac:dyDescent="0.25">
      <c r="C285">
        <f t="shared" si="5"/>
        <v>284</v>
      </c>
      <c r="D285" t="str">
        <f>Tableaux!A285 &amp; "," &amp; Tableaux!B285 &amp; "," &amp; Tableaux!C285</f>
        <v>282,283,164440000</v>
      </c>
    </row>
    <row r="286" spans="3:4" x14ac:dyDescent="0.25">
      <c r="C286">
        <f t="shared" si="5"/>
        <v>285</v>
      </c>
      <c r="D286" t="str">
        <f>Tableaux!A286 &amp; "," &amp; Tableaux!B286 &amp; "," &amp; Tableaux!C286</f>
        <v>283,284,164440000</v>
      </c>
    </row>
    <row r="287" spans="3:4" x14ac:dyDescent="0.25">
      <c r="C287">
        <f t="shared" si="5"/>
        <v>286</v>
      </c>
      <c r="D287" t="str">
        <f>Tableaux!A287 &amp; "," &amp; Tableaux!B287 &amp; "," &amp; Tableaux!C287</f>
        <v>284,285,164440000</v>
      </c>
    </row>
    <row r="288" spans="3:4" x14ac:dyDescent="0.25">
      <c r="C288">
        <f t="shared" si="5"/>
        <v>287</v>
      </c>
      <c r="D288" t="str">
        <f>Tableaux!A288 &amp; "," &amp; Tableaux!B288 &amp; "," &amp; Tableaux!C288</f>
        <v>285,286,164440000</v>
      </c>
    </row>
    <row r="289" spans="3:4" x14ac:dyDescent="0.25">
      <c r="C289">
        <f t="shared" si="5"/>
        <v>288</v>
      </c>
      <c r="D289" t="str">
        <f>Tableaux!A289 &amp; "," &amp; Tableaux!B289 &amp; "," &amp; Tableaux!C289</f>
        <v>286,287,164440000</v>
      </c>
    </row>
    <row r="290" spans="3:4" x14ac:dyDescent="0.25">
      <c r="C290">
        <f t="shared" ref="C290:C302" si="6">ROW()-1</f>
        <v>289</v>
      </c>
      <c r="D290" t="str">
        <f>Tableaux!A290 &amp; "," &amp; Tableaux!B290 &amp; "," &amp; Tableaux!C290</f>
        <v>287,288,164440000</v>
      </c>
    </row>
    <row r="291" spans="3:4" x14ac:dyDescent="0.25">
      <c r="C291">
        <f t="shared" si="6"/>
        <v>290</v>
      </c>
      <c r="D291" t="str">
        <f>Tableaux!A291 &amp; "," &amp; Tableaux!B291 &amp; "," &amp; Tableaux!C291</f>
        <v>288,289,164440000</v>
      </c>
    </row>
    <row r="292" spans="3:4" x14ac:dyDescent="0.25">
      <c r="C292">
        <f t="shared" si="6"/>
        <v>291</v>
      </c>
      <c r="D292" t="str">
        <f>Tableaux!A292 &amp; "," &amp; Tableaux!B292 &amp; "," &amp; Tableaux!C292</f>
        <v>289,290,164440000</v>
      </c>
    </row>
    <row r="293" spans="3:4" x14ac:dyDescent="0.25">
      <c r="C293">
        <f t="shared" si="6"/>
        <v>292</v>
      </c>
      <c r="D293" t="str">
        <f>Tableaux!A293 &amp; "," &amp; Tableaux!B293 &amp; "," &amp; Tableaux!C293</f>
        <v>290,291,198470000</v>
      </c>
    </row>
    <row r="294" spans="3:4" x14ac:dyDescent="0.25">
      <c r="C294">
        <f t="shared" si="6"/>
        <v>293</v>
      </c>
      <c r="D294" t="str">
        <f>Tableaux!A294 &amp; "," &amp; Tableaux!B294 &amp; "," &amp; Tableaux!C294</f>
        <v>291,292,198470000</v>
      </c>
    </row>
    <row r="295" spans="3:4" x14ac:dyDescent="0.25">
      <c r="C295">
        <f t="shared" si="6"/>
        <v>294</v>
      </c>
      <c r="D295" t="str">
        <f>Tableaux!A295 &amp; "," &amp; Tableaux!B295 &amp; "," &amp; Tableaux!C295</f>
        <v>292,293,198470000</v>
      </c>
    </row>
    <row r="296" spans="3:4" x14ac:dyDescent="0.25">
      <c r="C296">
        <f t="shared" si="6"/>
        <v>295</v>
      </c>
      <c r="D296" t="str">
        <f>Tableaux!A296 &amp; "," &amp; Tableaux!B296 &amp; "," &amp; Tableaux!C296</f>
        <v>293,294,198470000</v>
      </c>
    </row>
    <row r="297" spans="3:4" x14ac:dyDescent="0.25">
      <c r="C297">
        <f t="shared" si="6"/>
        <v>296</v>
      </c>
      <c r="D297" t="str">
        <f>Tableaux!A297 &amp; "," &amp; Tableaux!B297 &amp; "," &amp; Tableaux!C297</f>
        <v>294,295,198470000</v>
      </c>
    </row>
    <row r="298" spans="3:4" x14ac:dyDescent="0.25">
      <c r="C298">
        <f t="shared" si="6"/>
        <v>297</v>
      </c>
      <c r="D298" t="str">
        <f>Tableaux!A298 &amp; "," &amp; Tableaux!B298 &amp; "," &amp; Tableaux!C298</f>
        <v>295,296,198470000</v>
      </c>
    </row>
    <row r="299" spans="3:4" x14ac:dyDescent="0.25">
      <c r="C299">
        <f t="shared" si="6"/>
        <v>298</v>
      </c>
      <c r="D299" t="str">
        <f>Tableaux!A299 &amp; "," &amp; Tableaux!B299 &amp; "," &amp; Tableaux!C299</f>
        <v>296,297,198470000</v>
      </c>
    </row>
    <row r="300" spans="3:4" x14ac:dyDescent="0.25">
      <c r="C300">
        <f t="shared" si="6"/>
        <v>299</v>
      </c>
      <c r="D300" t="str">
        <f>Tableaux!A300 &amp; "," &amp; Tableaux!B300 &amp; "," &amp; Tableaux!C300</f>
        <v>297,298,198470000</v>
      </c>
    </row>
    <row r="301" spans="3:4" x14ac:dyDescent="0.25">
      <c r="C301">
        <f t="shared" si="6"/>
        <v>300</v>
      </c>
      <c r="D301" t="str">
        <f>Tableaux!A301 &amp; "," &amp; Tableaux!B301 &amp; "," &amp; Tableaux!C301</f>
        <v>298,299,198470000</v>
      </c>
    </row>
    <row r="302" spans="3:4" x14ac:dyDescent="0.25">
      <c r="C302">
        <f t="shared" si="6"/>
        <v>301</v>
      </c>
      <c r="D302" t="str">
        <f>Tableaux!A302 &amp; "," &amp; Tableaux!B302 &amp; "," &amp; Tableaux!C302</f>
        <v>299,300,198470000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ADD7-972B-4ED3-9B83-28503D575A3F}">
  <dimension ref="A1:AI7"/>
  <sheetViews>
    <sheetView workbookViewId="0">
      <selection activeCell="B17" sqref="B17"/>
    </sheetView>
  </sheetViews>
  <sheetFormatPr baseColWidth="10" defaultRowHeight="15" x14ac:dyDescent="0.25"/>
  <sheetData>
    <row r="1" spans="1:35" x14ac:dyDescent="0.25">
      <c r="A1" t="s">
        <v>237</v>
      </c>
    </row>
    <row r="2" spans="1:35" x14ac:dyDescent="0.25">
      <c r="A2" t="str" cm="1">
        <f t="array" ref="A2">_xlfn.CONCAT(_xlfn.LAMBDA(_xlpm.cell,_xlpm.cell &amp; ",")(Palmon!B2:'Palmon'!AJ2))</f>
        <v>Name,Type,Skill,Level,Upgradable,Step,Stars,Stock,1,2,3,4,5,,1,2,3,4,5,Achievement,Needs,,Cost to max,Upgradable,,RankPower,Rank,Team,,URL,URL Mutation,,,1,2,</v>
      </c>
    </row>
    <row r="3" spans="1:35" x14ac:dyDescent="0.25">
      <c r="A3" t="str" cm="1">
        <f t="array" ref="A3">_xlfn.CONCAT(_xlfn.LAMBDA(_xlpm.cell,_xlpm.cell &amp; ",")(Palmon!B3:'Palmon'!AJ3))</f>
        <v>Bufonobi,Water,Attack,270,1,5,5,0,30,30,30,Max,10,,1,1,1,1,1,1,0,,1515640000,1,,5270,2,1,,https://encrypted-tbn0.gstatic.com/images?q=tbn:ANd9GcRXczs_Bjhslhr7Mf2HENU6MTyGpz0RJEMjNA&amp;s, , ,,,Shadowkaeru,</v>
      </c>
    </row>
    <row r="4" spans="1:35" x14ac:dyDescent="0.25">
      <c r="A4" t="str">
        <f>ADDRESS(2,5,1,1,"Palmon")</f>
        <v>Palmon!$E$2</v>
      </c>
      <c r="B4" t="str" cm="1">
        <f t="array" aca="1" ref="B4" ca="1">INDIRECT(ADDRESS(2,5,1,1,"Palmon"))</f>
        <v>Level</v>
      </c>
    </row>
    <row r="5" spans="1:35" x14ac:dyDescent="0.25">
      <c r="A5" t="str" cm="1">
        <f t="array" ref="A5">_xlfn.LAMBDA(_xlpm.cell,ADDRESS(2,5,1,1,"Palmon"))(A1)</f>
        <v>Palmon!$E$2</v>
      </c>
    </row>
    <row r="7" spans="1:35" x14ac:dyDescent="0.25">
      <c r="A7" t="str" cm="1">
        <f t="array" ref="A7:AI7">_xlfn.LAMBDA(_xlpm.cell,IF(_xlpm.cell="","Unused" &amp; COLUMN(_xlpm.cell),_xlpm.cell) &amp; ",")(Palmon!B2:'Palmon'!AJ2)</f>
        <v>Name,</v>
      </c>
      <c r="B7" t="str">
        <v>Type,</v>
      </c>
      <c r="C7" t="str">
        <v>Skill,</v>
      </c>
      <c r="D7" t="str">
        <v>Level,</v>
      </c>
      <c r="E7" t="str">
        <v>Upgradable,</v>
      </c>
      <c r="F7" t="str">
        <v>Step,</v>
      </c>
      <c r="G7" t="str">
        <v>Stars,</v>
      </c>
      <c r="H7" t="str">
        <v>Stock,</v>
      </c>
      <c r="I7" t="str">
        <v>1,</v>
      </c>
      <c r="J7" t="str">
        <v>2,</v>
      </c>
      <c r="K7" t="str">
        <v>3,</v>
      </c>
      <c r="L7" t="str">
        <v>4,</v>
      </c>
      <c r="M7" t="str">
        <v>5,</v>
      </c>
      <c r="N7" t="str">
        <v>Unused15,</v>
      </c>
      <c r="O7" t="str">
        <v>1,</v>
      </c>
      <c r="P7" t="str">
        <v>2,</v>
      </c>
      <c r="Q7" t="str">
        <v>3,</v>
      </c>
      <c r="R7" t="str">
        <v>4,</v>
      </c>
      <c r="S7" t="str">
        <v>5,</v>
      </c>
      <c r="T7" t="str">
        <v>Achievement,</v>
      </c>
      <c r="U7" t="str">
        <v>Needs,</v>
      </c>
      <c r="V7" t="str">
        <v>Unused23,</v>
      </c>
      <c r="W7" t="str">
        <v>Cost to max,</v>
      </c>
      <c r="X7" t="str">
        <v>Upgradable,</v>
      </c>
      <c r="Y7" t="str">
        <v>Unused26,</v>
      </c>
      <c r="Z7" t="str">
        <v>RankPower,</v>
      </c>
      <c r="AA7" t="str">
        <v>Rank,</v>
      </c>
      <c r="AB7" t="str">
        <v>Team,</v>
      </c>
      <c r="AC7" t="str">
        <v>Unused30,</v>
      </c>
      <c r="AD7" t="str">
        <v>URL,</v>
      </c>
      <c r="AE7" t="str">
        <v>URL Mutation,</v>
      </c>
      <c r="AF7" t="str">
        <v>Unused33,</v>
      </c>
      <c r="AG7" t="str">
        <v>Unused34,</v>
      </c>
      <c r="AH7" t="str">
        <v>1,</v>
      </c>
      <c r="AI7" t="str">
        <v>2,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0428da-ac0f-4a84-a429-a80e20cb35de}" enabled="1" method="Standard" siteId="{80c03608-5f64-40bb-9c70-9394abe6011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9</vt:i4>
      </vt:variant>
    </vt:vector>
  </HeadingPairs>
  <TitlesOfParts>
    <vt:vector size="20" baseType="lpstr">
      <vt:lpstr>Palmon</vt:lpstr>
      <vt:lpstr>Palmon_data</vt:lpstr>
      <vt:lpstr>TCD</vt:lpstr>
      <vt:lpstr>Details</vt:lpstr>
      <vt:lpstr>Tableaux</vt:lpstr>
      <vt:lpstr>Valeurs</vt:lpstr>
      <vt:lpstr>Equipement</vt:lpstr>
      <vt:lpstr>Stars</vt:lpstr>
      <vt:lpstr>Tests</vt:lpstr>
      <vt:lpstr>CSV tableaux</vt:lpstr>
      <vt:lpstr>Tests Concat</vt:lpstr>
      <vt:lpstr>HallLevel</vt:lpstr>
      <vt:lpstr>NeedsFull</vt:lpstr>
      <vt:lpstr>PalmonList</vt:lpstr>
      <vt:lpstr>PalmonListCols</vt:lpstr>
      <vt:lpstr>PalmonListWIthHeaders</vt:lpstr>
      <vt:lpstr>PalmonMutationCost</vt:lpstr>
      <vt:lpstr>PalmonNamesSorted</vt:lpstr>
      <vt:lpstr>PalmonUpgradeCost</vt:lpstr>
      <vt:lpstr>StepNeeds</vt:lpstr>
    </vt:vector>
  </TitlesOfParts>
  <Company>DSIBR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TOUSSAINT Arnaud [EXT]</dc:creator>
  <cp:lastModifiedBy>TOUSSAINT Arnaud</cp:lastModifiedBy>
  <dcterms:created xsi:type="dcterms:W3CDTF">2025-10-20T14:07:43Z</dcterms:created>
  <dcterms:modified xsi:type="dcterms:W3CDTF">2026-05-05T10:18:29Z</dcterms:modified>
</cp:coreProperties>
</file>