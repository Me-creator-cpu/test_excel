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96F11454-2024-4F51-A845-290D98F2F678}" xr6:coauthVersionLast="47" xr6:coauthVersionMax="47" xr10:uidLastSave="{00000000-0000-0000-0000-000000000000}"/>
  <bookViews>
    <workbookView xWindow="-120" yWindow="-120" windowWidth="29040" windowHeight="15720" activeTab="1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1" l="1"/>
  <c r="AI3" i="11"/>
  <c r="AH4" i="11"/>
  <c r="AI4" i="11"/>
  <c r="AH5" i="11"/>
  <c r="AI5" i="11"/>
  <c r="AH6" i="11"/>
  <c r="AI6" i="11"/>
  <c r="AH7" i="11"/>
  <c r="AI7" i="11"/>
  <c r="AH8" i="11"/>
  <c r="AI8" i="11"/>
  <c r="AH9" i="11"/>
  <c r="AI9" i="11"/>
  <c r="AH10" i="11"/>
  <c r="AI10" i="11"/>
  <c r="AH11" i="11"/>
  <c r="AI11" i="11"/>
  <c r="AH12" i="11"/>
  <c r="AI12" i="11"/>
  <c r="AH13" i="11"/>
  <c r="AI13" i="11"/>
  <c r="AH14" i="11"/>
  <c r="AI14" i="11"/>
  <c r="AH15" i="11"/>
  <c r="AI15" i="11"/>
  <c r="AH16" i="11"/>
  <c r="AI16" i="11"/>
  <c r="AH17" i="11"/>
  <c r="AI17" i="11"/>
  <c r="AH18" i="11"/>
  <c r="AI18" i="11"/>
  <c r="AH19" i="11"/>
  <c r="AI19" i="11"/>
  <c r="AH20" i="11"/>
  <c r="AI20" i="11"/>
  <c r="AH21" i="11"/>
  <c r="AI21" i="11"/>
  <c r="AH22" i="11"/>
  <c r="AI22" i="11"/>
  <c r="AH23" i="11"/>
  <c r="AI23" i="11"/>
  <c r="AH24" i="11"/>
  <c r="AI24" i="11"/>
  <c r="AH25" i="11"/>
  <c r="AI25" i="11"/>
  <c r="AH26" i="11"/>
  <c r="AI26" i="11"/>
  <c r="AH27" i="11"/>
  <c r="AI27" i="11"/>
  <c r="AH28" i="11"/>
  <c r="AI28" i="11"/>
  <c r="AH29" i="11"/>
  <c r="AI29" i="11"/>
  <c r="AH30" i="11"/>
  <c r="AI30" i="11"/>
  <c r="AH31" i="11"/>
  <c r="AI31" i="11"/>
  <c r="AH32" i="11"/>
  <c r="AI32" i="11"/>
  <c r="AH33" i="11"/>
  <c r="AI33" i="11"/>
  <c r="AH34" i="11"/>
  <c r="AI34" i="11"/>
  <c r="AH35" i="11"/>
  <c r="AI35" i="11"/>
  <c r="AH36" i="11"/>
  <c r="AI36" i="11"/>
  <c r="AH37" i="11"/>
  <c r="AI37" i="11"/>
  <c r="AH38" i="11"/>
  <c r="AI38" i="11"/>
  <c r="AH39" i="11"/>
  <c r="AI39" i="11"/>
  <c r="AH40" i="11"/>
  <c r="AI40" i="11"/>
  <c r="AH41" i="11"/>
  <c r="AI41" i="11"/>
  <c r="AH42" i="11"/>
  <c r="AI42" i="11"/>
  <c r="AH43" i="11"/>
  <c r="AI43" i="11"/>
  <c r="AH44" i="11"/>
  <c r="AI44" i="11"/>
  <c r="AH45" i="11"/>
  <c r="AI45" i="11"/>
  <c r="AI2" i="11"/>
  <c r="AH2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D35" i="11"/>
  <c r="AE35" i="11"/>
  <c r="AF35" i="11"/>
  <c r="AG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D36" i="11"/>
  <c r="AE36" i="11"/>
  <c r="AF36" i="11"/>
  <c r="AG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D37" i="11"/>
  <c r="AE37" i="11"/>
  <c r="AF37" i="11"/>
  <c r="AG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D38" i="11"/>
  <c r="AE38" i="11"/>
  <c r="AF38" i="11"/>
  <c r="AG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D39" i="11"/>
  <c r="AE39" i="11"/>
  <c r="AF39" i="11"/>
  <c r="AG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D40" i="11"/>
  <c r="AE40" i="11"/>
  <c r="AF40" i="11"/>
  <c r="AG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D41" i="11"/>
  <c r="AE41" i="11"/>
  <c r="AF41" i="11"/>
  <c r="AG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D42" i="11"/>
  <c r="AE42" i="11"/>
  <c r="AF42" i="11"/>
  <c r="AG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D43" i="11"/>
  <c r="AE43" i="11"/>
  <c r="AF43" i="11"/>
  <c r="AG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D44" i="11"/>
  <c r="AE44" i="11"/>
  <c r="AF44" i="11"/>
  <c r="AG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D45" i="11"/>
  <c r="AE45" i="11"/>
  <c r="AF45" i="11"/>
  <c r="AG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G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J30" i="11"/>
  <c r="A31" i="11"/>
  <c r="B31" i="11"/>
  <c r="C31" i="11"/>
  <c r="D31" i="11"/>
  <c r="G31" i="11"/>
  <c r="H31" i="11"/>
  <c r="N31" i="11"/>
  <c r="V31" i="11"/>
  <c r="Y31" i="11"/>
  <c r="AC31" i="11"/>
  <c r="AD31" i="11"/>
  <c r="AE31" i="11"/>
  <c r="AG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D2" i="11" s="1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E34" i="11" s="1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<sst xmlns="http://schemas.openxmlformats.org/spreadsheetml/2006/main" count="403" uniqueCount="266">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</sst>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31</xdr:col>
          <xdr:colOff>476250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workbookViewId="0">
      <selection activeCell="AK3" sqref="AK3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hidden="1" customWidth="1" outlineLevel="1"/>
    <col min="7" max="14" width="6.28515625" style="1" hidden="1" customWidth="1" outlineLevel="1"/>
    <col min="15" max="15" width="1.28515625" style="1" customWidth="1" collapsed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RANK($AA5,$AA$3:$AA$46)+COUNTIF($AA$3:$AA5,AA5)-1</f>
        <v>9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8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205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13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216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22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210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15</v>
      </c>
      <c r="AC10" s="61" cm="1">
        <f t="array" ref="AC10">IFERROR(_xlfn.IFS($AB10&lt;8,1,$AB10&lt;15,2,$AB10&lt;21,3),"")</f>
        <v>3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222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4</v>
      </c>
      <c r="H11" s="198">
        <v>4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>Max</v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1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0.48717948717948717</v>
      </c>
      <c r="V11" s="13" cm="1">
        <f t="array" ref="V11">Details!$D$9-SUMPRODUCT(TRANSPOSE(Details!$D$4:$D$8),$P11:$T11)-$I11</f>
        <v>486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4230</v>
      </c>
      <c r="AB11" s="63">
        <f>RANK($AA11,$AA$3:$AA$46)+COUNTIF($AA$3:$AA11,AA11)-1</f>
        <v>11</v>
      </c>
      <c r="AC11" s="61" cm="1">
        <f t="array" ref="AC11">IFERROR(_xlfn.IFS($AB11&lt;8,1,$AB11&lt;15,2,$AB11&lt;21,3),"")</f>
        <v>2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220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19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207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270</v>
      </c>
      <c r="F13" s="125" t="str" cm="1">
        <f t="array" ref="F13">IsUpgradable(E13)</f>
        <v/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135120000</v>
      </c>
      <c r="Y13" s="61" t="str">
        <f t="shared" si="4"/>
        <v/>
      </c>
      <c r="AA13" s="110">
        <f t="shared" si="5"/>
        <v>4270</v>
      </c>
      <c r="AB13" s="63">
        <f>RANK($AA13,$AA$3:$AA$46)+COUNTIF($AA$3:$AA13,AA13)-1</f>
        <v>10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214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23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219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3</v>
      </c>
      <c r="H16" s="198">
        <v>3</v>
      </c>
      <c r="I16" s="123">
        <v>0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1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0.17948717948717949</v>
      </c>
      <c r="V16" s="13" cm="1">
        <f t="array" ref="V16">Details!$D$9-SUMPRODUCT(TRANSPOSE(Details!$D$4:$D$8),$P16:$T16)-$I16</f>
        <v>800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3210</v>
      </c>
      <c r="AB16" s="63">
        <f>RANK($AA16,$AA$3:$AA$46)+COUNTIF($AA$3:$AA16,AA16)-1</f>
        <v>17</v>
      </c>
      <c r="AC16" s="61" cm="1">
        <f t="array" ref="AC16">IFERROR(_xlfn.IFS($AB16&lt;8,1,$AB16&lt;15,2,$AB16&lt;21,3),"")</f>
        <v>3</v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208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0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860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24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212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16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218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270</v>
      </c>
      <c r="F19" s="125" t="str" cm="1">
        <f t="array" ref="F19">IsUpgradable(E19)</f>
        <v/>
      </c>
      <c r="G19" s="127">
        <f t="shared" si="0"/>
        <v>4</v>
      </c>
      <c r="H19" s="198">
        <v>4.0999999999999996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0.19999999999999929</v>
      </c>
      <c r="U19" s="9" cm="1">
        <f t="array" ref="U19">SUMPRODUCT(TRANSPOSE(Details!$D$4:$D$8),$P19:$T19)/Details!$D$9</f>
        <v>0.58974358974358942</v>
      </c>
      <c r="V19" s="13" cm="1">
        <f t="array" ref="V19">Details!$D$9-SUMPRODUCT(TRANSPOSE(Details!$D$4:$D$8),$P19:$T19)-$I19</f>
        <v>387.00000000000034</v>
      </c>
      <c r="X19" s="13" cm="1">
        <f t="array" ref="X19">LevelUpgradeCost($E19)</f>
        <v>135120000</v>
      </c>
      <c r="Y19" s="61" t="str">
        <f t="shared" si="4"/>
        <v/>
      </c>
      <c r="AA19" s="110">
        <f t="shared" si="5"/>
        <v>4370</v>
      </c>
      <c r="AB19" s="63">
        <f>RANK($AA19,$AA$3:$AA$46)+COUNTIF($AA$3:$AA19,AA19)-1</f>
        <v>7</v>
      </c>
      <c r="AC19" s="61" cm="1">
        <f t="array" ref="AC19">IFERROR(_xlfn.IFS($AB19&lt;8,1,$AB19&lt;15,2,$AB19&lt;21,3),"")</f>
        <v>1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206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215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25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20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27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213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RANK($AA25,$AA$3:$AA$46)+COUNTIF($AA$3:$AA25,AA25)-1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209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18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221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5</v>
      </c>
      <c r="H27" s="199">
        <v>5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>
        <f t="shared" ref="N27:N33" si="8">IF(H27=5,10,"")</f>
        <v>10</v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1</v>
      </c>
      <c r="U27" s="9" cm="1">
        <f t="array" ref="U27">SUMPRODUCT(TRANSPOSE(Details!$D$4:$D$8),$P27:$T27)/Details!$D$9</f>
        <v>1</v>
      </c>
      <c r="V27" s="13" cm="1">
        <f t="array" ref="V27">Details!$D$9-SUMPRODUCT(TRANSPOSE(Details!$D$4:$D$8),$P27:$T27)-$I27</f>
        <v>-128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5260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14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236</v>
      </c>
      <c r="C29" s="19" t="s">
        <v>53</v>
      </c>
      <c r="D29" s="71" t="s">
        <v>98</v>
      </c>
      <c r="E29" s="63">
        <v>186</v>
      </c>
      <c r="F29" s="125" cm="1">
        <f t="array" ref="F29">IsUpgradable(E29)</f>
        <v>1</v>
      </c>
      <c r="G29" s="127">
        <f t="shared" ref="G29" si="9">INT(H29)</f>
        <v>3</v>
      </c>
      <c r="H29" s="198">
        <v>3.3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0.59999999999999964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0.36410256410256397</v>
      </c>
      <c r="V29" s="13" cm="1">
        <f t="array" ref="V29">Details!$D$9-SUMPRODUCT(TRANSPOSE(Details!$D$4:$D$8),$P29:$T29)-$I29</f>
        <v>575.00000000000011</v>
      </c>
      <c r="X29" s="13" cm="1">
        <f t="array" ref="X29">LevelUpgradeCost($E29)</f>
        <v>4667020000</v>
      </c>
      <c r="Y29" s="61">
        <f t="shared" ref="Y29" si="10">F29</f>
        <v>1</v>
      </c>
      <c r="AA29" s="110">
        <f t="shared" si="5"/>
        <v>3486</v>
      </c>
      <c r="AB29" s="63">
        <f>RANK($AA29,$AA$3:$AA$46)+COUNTIF($AA$3:$AA29,AA29)-1</f>
        <v>12</v>
      </c>
      <c r="AC29" s="61" cm="1">
        <f t="array" ref="AC29">IFERROR(_xlfn.IFS($AB29&lt;8,1,$AB29&lt;15,2,$AB29&lt;21,3),"")</f>
        <v>2</v>
      </c>
      <c r="AE29" s="63" t="s">
        <v>239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26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217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223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0</v>
      </c>
      <c r="H32" s="198">
        <v>0</v>
      </c>
      <c r="I32" s="123">
        <v>250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725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140</v>
      </c>
      <c r="AB32" s="63">
        <f>RANK($AA32,$AA$3:$AA$46)+COUNTIF($AA$3:$AA32,AA32)-1</f>
        <v>31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224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225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264</v>
      </c>
      <c r="C36" s="162" t="s">
        <v>53</v>
      </c>
      <c r="D36" s="152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265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263</v>
      </c>
      <c r="C37" s="162" t="s">
        <v>53</v>
      </c>
      <c r="D37" s="152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265</v>
      </c>
      <c r="AF37" s="166"/>
      <c r="AG37" s="167"/>
      <c r="AI37" s="170" t="s">
        <v>263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214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21</v>
      </c>
      <c r="AC46" s="62" t="str" cm="1">
        <f t="array" ref="AC46">IFERROR(_xlfn.IFS($AB46&lt;8,1,$AB46&lt;15,2,$AB46&lt;21,3),"")</f>
        <v/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195</v>
      </c>
      <c r="AJ46" s="70"/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25</v>
      </c>
      <c r="F48" s="142"/>
      <c r="G48" s="142"/>
      <c r="I48" s="5"/>
      <c r="X48" s="5">
        <f>SUMPRODUCT(X3:X46,Y3:Y46)</f>
        <v>91824673700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204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203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2036</v>
      </c>
      <c r="R58" s="1">
        <f t="shared" ref="R58:R60" si="23">COUNTIFS($C$3:$C$46,"=" &amp; $P58,$E$3:$E$46,"&gt;0")</f>
        <v>9</v>
      </c>
      <c r="S58" s="1">
        <f t="shared" ref="S58:S60" si="24">Q58/R58</f>
        <v>226.22222222222223</v>
      </c>
      <c r="X58"/>
    </row>
    <row r="59" spans="2:24" ht="12" customHeight="1" x14ac:dyDescent="0.25">
      <c r="B59" s="240" t="s">
        <v>196</v>
      </c>
      <c r="C59" s="60">
        <v>400000</v>
      </c>
      <c r="D59" s="142"/>
      <c r="I59" s="5"/>
      <c r="P59" s="1" t="s">
        <v>50</v>
      </c>
      <c r="Q59" s="1">
        <f t="shared" si="22"/>
        <v>1900</v>
      </c>
      <c r="R59" s="1">
        <f t="shared" si="23"/>
        <v>8</v>
      </c>
      <c r="S59" s="1">
        <f t="shared" si="24"/>
        <v>237.5</v>
      </c>
      <c r="X59"/>
    </row>
    <row r="60" spans="2:24" ht="12" customHeight="1" x14ac:dyDescent="0.25">
      <c r="B60" s="204" t="s">
        <v>197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198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57:D81 D3:D53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51">
      <formula>VLOOKUP($B57,PalmonList,3,FALSE)="Attack"</formula>
    </cfRule>
    <cfRule type="expression" dxfId="58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57" priority="254">
      <formula>VLOOKUP($B76,PalmonList,3,FALSE)="Attack"</formula>
    </cfRule>
    <cfRule type="expression" dxfId="56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5" priority="242">
      <formula>VLOOKUP($B81,PalmonList,3,FALSE)="Attack"</formula>
    </cfRule>
    <cfRule type="expression" dxfId="54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31</xdr:col>
                    <xdr:colOff>476250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tabSelected="1" topLeftCell="N1" workbookViewId="0">
      <selection activeCell="AJ2" sqref="AJ2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IF(Palmon!AI3=0,"Non",Palmon!AI3)</f>
        <v>Non</v>
      </c>
      <c r="AI2" t="str">
        <f>IF(Palmon!AJ3=0,"Non",Palmon!AJ3)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 t="str">
        <f>IF(Palmon!AI4=0,"Non",Palmon!AI4)</f>
        <v>Non</v>
      </c>
      <c r="AI3" t="str">
        <f>IF(Palmon!AJ4=0,"Non",Palmon!AJ4)</f>
        <v>Non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9</v>
      </c>
      <c r="AB4">
        <f>Palmon!AC5</f>
        <v>2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IF(Palmon!AI5=0,"Non",Palmon!AI5)</f>
        <v>Flaries</v>
      </c>
      <c r="AI4" t="str">
        <f>IF(Palmon!AJ5=0,"Non",Palmon!AJ5)</f>
        <v>Non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8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IF(Palmon!AI6=0,"Non",Palmon!AI6)</f>
        <v>Chefeuillier</v>
      </c>
      <c r="AI5" t="str">
        <f>IF(Palmon!AJ6=0,"Non",Palmon!AJ6)</f>
        <v>Non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IF(Palmon!AI7=0,"Non",Palmon!AI7)</f>
        <v>Gnashfin</v>
      </c>
      <c r="AI6" t="str">
        <f>IF(Palmon!AJ7=0,"Non",Palmon!AJ7)</f>
        <v>Non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13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IF(Palmon!AI8=0,"Non",Palmon!AI8)</f>
        <v>Obsidrake</v>
      </c>
      <c r="AI7" t="str">
        <f>IF(Palmon!AJ8=0,"Non",Palmon!AJ8)</f>
        <v>Non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22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IF(Palmon!AI9=0,"Non",Palmon!AI9)</f>
        <v>Bunodroid</v>
      </c>
      <c r="AI8" t="str">
        <f>IF(Palmon!AJ9=0,"Non",Palmon!AJ9)</f>
        <v>Non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15</v>
      </c>
      <c r="AB9">
        <f>Palmon!AC10</f>
        <v>3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IF(Palmon!AI10=0,"Non",Palmon!AI10)</f>
        <v>Wattweiler</v>
      </c>
      <c r="AI9" t="str">
        <f>IF(Palmon!AJ10=0,"Non",Palmon!AJ10)</f>
        <v>Non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4</v>
      </c>
      <c r="G10">
        <f>Palmon!H11</f>
        <v>4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>Max</v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1</v>
      </c>
      <c r="S10">
        <f>Palmon!T11</f>
        <v>0</v>
      </c>
      <c r="T10">
        <f>Palmon!U11</f>
        <v>0.48717948717948717</v>
      </c>
      <c r="U10">
        <f>Palmon!V11</f>
        <v>486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4230</v>
      </c>
      <c r="AA10">
        <f>Palmon!AB11</f>
        <v>11</v>
      </c>
      <c r="AB10">
        <f>Palmon!AC11</f>
        <v>2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IF(Palmon!AI11=0,"Non",Palmon!AI11)</f>
        <v>Servolt</v>
      </c>
      <c r="AI10" t="str">
        <f>IF(Palmon!AJ11=0,"Non",Palmon!AJ11)</f>
        <v>Non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19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IF(Palmon!AI12=0,"Non",Palmon!AI12)</f>
        <v>Essaucier</v>
      </c>
      <c r="AI11" t="str">
        <f>IF(Palmon!AJ12=0,"Non",Palmon!AJ12)</f>
        <v>Non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270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135120000</v>
      </c>
      <c r="X12" t="str">
        <f>Palmon!Y13</f>
        <v/>
      </c>
      <c r="Y12">
        <f>Palmon!Z13</f>
        <v>0</v>
      </c>
      <c r="Z12">
        <f>Palmon!AA13</f>
        <v>4270</v>
      </c>
      <c r="AA12">
        <f>Palmon!AB13</f>
        <v>10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IF(Palmon!AI13=0,"Non",Palmon!AI13)</f>
        <v>Oneirina</v>
      </c>
      <c r="AI12" t="str">
        <f>IF(Palmon!AJ13=0,"Non",Palmon!AJ13)</f>
        <v>Non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 t="str">
        <f>IF(Palmon!AI14=0,"Non",Palmon!AI14)</f>
        <v>Non</v>
      </c>
      <c r="AI13" t="str">
        <f>IF(Palmon!AJ14=0,"Non",Palmon!AJ14)</f>
        <v>Non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23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IF(Palmon!AI15=0,"Non",Palmon!AI15)</f>
        <v>Anubeast</v>
      </c>
      <c r="AI14" t="str">
        <f>IF(Palmon!AJ15=0,"Non",Palmon!AJ15)</f>
        <v>Non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3</v>
      </c>
      <c r="G15">
        <f>Palmon!H16</f>
        <v>3</v>
      </c>
      <c r="H15">
        <f>Palmon!I16</f>
        <v>0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1</v>
      </c>
      <c r="R15">
        <f>Palmon!S16</f>
        <v>0</v>
      </c>
      <c r="S15">
        <f>Palmon!T16</f>
        <v>0</v>
      </c>
      <c r="T15">
        <f>Palmon!U16</f>
        <v>0.17948717948717949</v>
      </c>
      <c r="U15">
        <f>Palmon!V16</f>
        <v>800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3210</v>
      </c>
      <c r="AA15">
        <f>Palmon!AB16</f>
        <v>17</v>
      </c>
      <c r="AB15">
        <f>Palmon!AC16</f>
        <v>3</v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IF(Palmon!AI16=0,"Non",Palmon!AI16)</f>
        <v>Ampereina</v>
      </c>
      <c r="AI15" t="str">
        <f>IF(Palmon!AJ16=0,"Non",Palmon!AJ16)</f>
        <v>Non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0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860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24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IF(Palmon!AI17=0,"Non",Palmon!AI17)</f>
        <v>Keraunosaur</v>
      </c>
      <c r="AI16" t="str">
        <f>IF(Palmon!AJ17=0,"Non",Palmon!AJ17)</f>
        <v>Non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16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IF(Palmon!AI18=0,"Non",Palmon!AI18)</f>
        <v>Wildfuror</v>
      </c>
      <c r="AI17" t="str">
        <f>IF(Palmon!AJ18=0,"Non",Palmon!AJ18)</f>
        <v>Non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270</v>
      </c>
      <c r="E18" t="str">
        <f>Palmon!F19</f>
        <v/>
      </c>
      <c r="F18">
        <f>Palmon!G19</f>
        <v>4</v>
      </c>
      <c r="G18">
        <f>Palmon!H19</f>
        <v>4.0999999999999996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0.19999999999999929</v>
      </c>
      <c r="T18">
        <f>Palmon!U19</f>
        <v>0.58974358974358942</v>
      </c>
      <c r="U18">
        <f>Palmon!V19</f>
        <v>387.00000000000034</v>
      </c>
      <c r="V18">
        <f>Palmon!W19</f>
        <v>0</v>
      </c>
      <c r="W18">
        <f>Palmon!X19</f>
        <v>135120000</v>
      </c>
      <c r="X18" t="str">
        <f>Palmon!Y19</f>
        <v/>
      </c>
      <c r="Y18">
        <f>Palmon!Z19</f>
        <v>0</v>
      </c>
      <c r="Z18">
        <f>Palmon!AA19</f>
        <v>4370</v>
      </c>
      <c r="AA18">
        <f>Palmon!AB19</f>
        <v>7</v>
      </c>
      <c r="AB18">
        <f>Palmon!AC19</f>
        <v>1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IF(Palmon!AI19=0,"Non",Palmon!AI19)</f>
        <v>Azurostrigoi</v>
      </c>
      <c r="AI18" t="str">
        <f>IF(Palmon!AJ19=0,"Non",Palmon!AJ19)</f>
        <v>Non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IF(Palmon!AI20=0,"Non",Palmon!AI20)</f>
        <v>Finnabelle</v>
      </c>
      <c r="AI19" t="str">
        <f>IF(Palmon!AJ20=0,"Non",Palmon!AJ20)</f>
        <v>Non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25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IF(Palmon!AI21=0,"Non",Palmon!AI21)</f>
        <v>Adolphonis</v>
      </c>
      <c r="AI20" t="str">
        <f>IF(Palmon!AJ21=0,"Non",Palmon!AJ21)</f>
        <v>Non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20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IF(Palmon!AI22=0,"Non",Palmon!AI22)</f>
        <v>Bufonobi</v>
      </c>
      <c r="AI21" t="str">
        <f>IF(Palmon!AJ22=0,"Non",Palmon!AJ22)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27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IF(Palmon!AI23=0,"Non",Palmon!AI23)</f>
        <v>Camouflynx</v>
      </c>
      <c r="AI22" t="str">
        <f>IF(Palmon!AJ23=0,"Non",Palmon!AJ23)</f>
        <v>Non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IF(Palmon!AI24=0,"Non",Palmon!AI24)</f>
        <v>Silvaurus</v>
      </c>
      <c r="AI23" t="str">
        <f>IF(Palmon!AJ24=0,"Non",Palmon!AJ24)</f>
        <v>Non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IF(Palmon!AI25=0,"Non",Palmon!AI25)</f>
        <v>Lionarch</v>
      </c>
      <c r="AI24" t="str">
        <f>IF(Palmon!AJ25=0,"Non",Palmon!AJ25)</f>
        <v>Non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18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IF(Palmon!AI26=0,"Non",Palmon!AI26)</f>
        <v>Sorceray</v>
      </c>
      <c r="AI25" t="str">
        <f>IF(Palmon!AJ26=0,"Non",Palmon!AJ26)</f>
        <v>Non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5</v>
      </c>
      <c r="G26">
        <f>Palmon!H27</f>
        <v>5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>
        <f>Palmon!N27</f>
        <v>10</v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1</v>
      </c>
      <c r="T26">
        <f>Palmon!U27</f>
        <v>1</v>
      </c>
      <c r="U26">
        <f>Palmon!V27</f>
        <v>-128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5260</v>
      </c>
      <c r="AA26">
        <f>Palmon!AB27</f>
        <v>6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 t="str">
        <f>IF(Palmon!AI27=0,"Non",Palmon!AI27)</f>
        <v>Non</v>
      </c>
      <c r="AI26" t="str">
        <f>IF(Palmon!AJ27=0,"Non",Palmon!AJ27)</f>
        <v>Non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14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 t="str">
        <f>IF(Palmon!AI28=0,"Non",Palmon!AI28)</f>
        <v>Non</v>
      </c>
      <c r="AI27" t="str">
        <f>IF(Palmon!AJ28=0,"Non",Palmon!AJ28)</f>
        <v>Non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186</v>
      </c>
      <c r="E28">
        <f>Palmon!F29</f>
        <v>1</v>
      </c>
      <c r="F28">
        <f>Palmon!G29</f>
        <v>3</v>
      </c>
      <c r="G28">
        <f>Palmon!H29</f>
        <v>3.3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0.59999999999999964</v>
      </c>
      <c r="S28">
        <f>Palmon!T29</f>
        <v>0</v>
      </c>
      <c r="T28">
        <f>Palmon!U29</f>
        <v>0.36410256410256397</v>
      </c>
      <c r="U28">
        <f>Palmon!V29</f>
        <v>575.00000000000011</v>
      </c>
      <c r="V28">
        <f>Palmon!W29</f>
        <v>0</v>
      </c>
      <c r="W28">
        <f>Palmon!X29</f>
        <v>4667020000</v>
      </c>
      <c r="X28">
        <f>Palmon!Y29</f>
        <v>1</v>
      </c>
      <c r="Y28">
        <f>Palmon!Z29</f>
        <v>0</v>
      </c>
      <c r="Z28">
        <f>Palmon!AA29</f>
        <v>3486</v>
      </c>
      <c r="AA28">
        <f>Palmon!AB29</f>
        <v>12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 t="str">
        <f>IF(Palmon!AI29=0,"Non",Palmon!AI29)</f>
        <v>Non</v>
      </c>
      <c r="AI28" t="str">
        <f>IF(Palmon!AJ29=0,"Non",Palmon!AJ29)</f>
        <v>Non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26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IF(Palmon!AI30=0,"Non",Palmon!AI30)</f>
        <v>Rumbkey</v>
      </c>
      <c r="AI29" t="str">
        <f>IF(Palmon!AJ30=0,"Non",Palmon!AJ30)</f>
        <v>Non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IF(Palmon!AI31=0,"Non",Palmon!AI31)</f>
        <v>Embergeist</v>
      </c>
      <c r="AI30" t="str">
        <f>IF(Palmon!AJ31=0,"Non",Palmon!AJ31)</f>
        <v>Non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0</v>
      </c>
      <c r="G31">
        <f>Palmon!H32</f>
        <v>0</v>
      </c>
      <c r="H31">
        <f>Palmon!I32</f>
        <v>250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725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140</v>
      </c>
      <c r="AA31">
        <f>Palmon!AB32</f>
        <v>31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IF(Palmon!AI32=0,"Non",Palmon!AI32)</f>
        <v>Thundermane</v>
      </c>
      <c r="AI31" t="str">
        <f>IF(Palmon!AJ32=0,"Non",Palmon!AJ32)</f>
        <v>Non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IF(Palmon!AI33=0,"Non",Palmon!AI33)</f>
        <v>Prismalith</v>
      </c>
      <c r="AI32" t="str">
        <f>IF(Palmon!AJ33=0,"Non",Palmon!AJ33)</f>
        <v>Non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IF(Palmon!AI34=0,"Non",Palmon!AI34)</f>
        <v>Cryovern</v>
      </c>
      <c r="AI33" t="str">
        <f>IF(Palmon!AJ34=0,"Non",Palmon!AJ34)</f>
        <v>Non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 t="str">
        <f>IF(Palmon!AI35=0,"Non",Palmon!AI35)</f>
        <v>Non</v>
      </c>
      <c r="AI34" t="str">
        <f>IF(Palmon!AJ35=0,"Non",Palmon!AJ35)</f>
        <v>Non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Palmon!AE36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>
        <f>Palmon!AF36</f>
        <v>0</v>
      </c>
      <c r="AF35">
        <f>Palmon!AG36</f>
        <v>0</v>
      </c>
      <c r="AG35">
        <f>Palmon!AH36</f>
        <v>0</v>
      </c>
      <c r="AH35" t="str">
        <f>IF(Palmon!AI36=0,"Non",Palmon!AI36)</f>
        <v>Non</v>
      </c>
      <c r="AI35" t="str">
        <f>IF(Palmon!AJ36=0,"Non",Palmon!AJ36)</f>
        <v>Non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Palmon!AE37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>
        <f>Palmon!AF37</f>
        <v>0</v>
      </c>
      <c r="AF36">
        <f>Palmon!AG37</f>
        <v>0</v>
      </c>
      <c r="AG36">
        <f>Palmon!AH37</f>
        <v>0</v>
      </c>
      <c r="AH36" t="str">
        <f>IF(Palmon!AI37=0,"Non",Palmon!AI37)</f>
        <v>Dreadmaw</v>
      </c>
      <c r="AI36" t="str">
        <f>IF(Palmon!AJ37=0,"Non",Palmon!AJ37)</f>
        <v>Non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Palmon!AE38</f>
        <v>https://encrypted-tbn0.gstatic.com/images?q=tbn:ANd9GcQCf63iS9oq-SMn3DO74UTS2j_zSrzNVTRMOQ&amp;s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 t="str">
        <f>IF(Palmon!AI38=0,"Non",Palmon!AI38)</f>
        <v>Fleurizard</v>
      </c>
      <c r="AI37" t="str">
        <f>IF(Palmon!AJ38=0,"Non",Palmon!AJ38)</f>
        <v>Non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 t="str">
        <f>IF(Palmon!AI39=0,"Non",Palmon!AI39)</f>
        <v>Non</v>
      </c>
      <c r="AI38" t="str">
        <f>IF(Palmon!AJ39=0,"Non",Palmon!AJ39)</f>
        <v>Non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 t="str">
        <f>IF(Palmon!AI40=0,"Non",Palmon!AI40)</f>
        <v>Non</v>
      </c>
      <c r="AI39" t="str">
        <f>IF(Palmon!AJ40=0,"Non",Palmon!AJ40)</f>
        <v>Non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 t="str">
        <f>IF(Palmon!AI41=0,"Non",Palmon!AI41)</f>
        <v>Non</v>
      </c>
      <c r="AI40" t="str">
        <f>IF(Palmon!AJ41=0,"Non",Palmon!AJ41)</f>
        <v>Non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 t="str">
        <f>IF(Palmon!AI42=0,"Non",Palmon!AI42)</f>
        <v>Non</v>
      </c>
      <c r="AI41" t="str">
        <f>IF(Palmon!AJ42=0,"Non",Palmon!AJ42)</f>
        <v>Non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 t="str">
        <f>IF(Palmon!AI43=0,"Non",Palmon!AI43)</f>
        <v>Non</v>
      </c>
      <c r="AI42" t="str">
        <f>IF(Palmon!AJ43=0,"Non",Palmon!AJ43)</f>
        <v>Non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 t="str">
        <f>IF(Palmon!AI44=0,"Non",Palmon!AI44)</f>
        <v>Non</v>
      </c>
      <c r="AI43" t="str">
        <f>IF(Palmon!AJ44=0,"Non",Palmon!AJ44)</f>
        <v>Non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>
        <f>Palmon!AE45</f>
        <v>0</v>
      </c>
      <c r="AE44" t="str">
        <f>Palmon!AF45</f>
        <v xml:space="preserve"> </v>
      </c>
      <c r="AF44" t="str">
        <f>Palmon!AG45</f>
        <v xml:space="preserve"> </v>
      </c>
      <c r="AG44">
        <f>Palmon!AH45</f>
        <v>0</v>
      </c>
      <c r="AH44" t="str">
        <f>IF(Palmon!AI45=0,"Non",Palmon!AI45)</f>
        <v>Non</v>
      </c>
      <c r="AI44" t="str">
        <f>IF(Palmon!AJ45=0,"Non",Palmon!AJ45)</f>
        <v>Non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21</v>
      </c>
      <c r="AB45" t="str">
        <f>Palmon!AC46</f>
        <v/>
      </c>
      <c r="AC45">
        <f>Palmon!AD46</f>
        <v>0</v>
      </c>
      <c r="AD45">
        <f>Palmon!AE46</f>
        <v>0</v>
      </c>
      <c r="AE45" t="str">
        <f>Palmon!AF46</f>
        <v xml:space="preserve"> </v>
      </c>
      <c r="AF45" t="str">
        <f>Palmon!AG46</f>
        <v xml:space="preserve"> </v>
      </c>
      <c r="AG45">
        <f>Palmon!AH46</f>
        <v>0</v>
      </c>
      <c r="AH45" t="str">
        <f>IF(Palmon!AI46=0,"Non",Palmon!AI46)</f>
        <v>Vulpyrean</v>
      </c>
      <c r="AI45" t="str">
        <f>IF(Palmon!AJ46=0,"Non",Palmon!AJ46)</f>
        <v>Non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5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>
        <v>486</v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>
        <v>300</v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59.999999999999972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59.999999999999972</v>
      </c>
      <c r="N16" s="33">
        <v>300</v>
      </c>
      <c r="O16" s="33">
        <v>486</v>
      </c>
      <c r="P16" s="47">
        <v>486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75.000000000000114</v>
      </c>
      <c r="O18" s="33">
        <v>500</v>
      </c>
      <c r="P18" s="47">
        <v>500</v>
      </c>
      <c r="Q18" s="40"/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236.54761904761907</v>
      </c>
      <c r="W20" s="196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75.000000000000114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3</v>
      </c>
      <c r="N26" s="33">
        <v>2</v>
      </c>
      <c r="O26" s="33">
        <v>1</v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 t="str">
        <v/>
      </c>
      <c r="H27" s="33">
        <v>0</v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387.00000000000034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1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1</v>
      </c>
      <c r="P29" s="33">
        <v>2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12</v>
      </c>
      <c r="N30" s="86">
        <v>6</v>
      </c>
      <c r="O30" s="86">
        <v>5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2</v>
      </c>
      <c r="N35" s="33">
        <v>3</v>
      </c>
      <c r="O35" s="40">
        <v>2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Ghillant</v>
      </c>
      <c r="N42" s="75" t="str">
        <v>Barkplug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Ghillant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Hoofrit</v>
      </c>
      <c r="N43" s="78" t="str">
        <v>Blazeal</v>
      </c>
      <c r="O43" s="1"/>
      <c r="P43" s="1" t="str">
        <v>Vulpyrean</v>
      </c>
      <c r="Q43" s="1" t="str">
        <v>Hoofrit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Lucidina</v>
      </c>
      <c r="N44" s="78" t="str">
        <v>Battereina</v>
      </c>
      <c r="O44" s="1"/>
      <c r="P44" s="1" t="str">
        <v>Gnashley</v>
      </c>
      <c r="Q44" s="1" t="str">
        <v>Lucidina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Abuzzinian</v>
      </c>
      <c r="N45" s="78" t="str">
        <v>Mantleray</v>
      </c>
      <c r="O45" s="1"/>
      <c r="P45" s="1" t="str">
        <v>Glacewing</v>
      </c>
      <c r="Q45" s="1" t="str">
        <v>Abuzzinian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Kungpaw</v>
      </c>
      <c r="N46" s="78" t="str">
        <v>Escarffier</v>
      </c>
      <c r="O46" s="1"/>
      <c r="P46" s="1" t="str">
        <v>Fleurizard</v>
      </c>
      <c r="Q46" s="1" t="str">
        <v>Kungpaw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Magmolin</v>
      </c>
      <c r="N47" s="78" t="str">
        <v>Ninjump</v>
      </c>
      <c r="O47" s="1"/>
      <c r="P47" s="1" t="str">
        <v>Oleana</v>
      </c>
      <c r="Q47" s="1" t="str">
        <v>Magmolin</v>
      </c>
      <c r="R47" s="1"/>
      <c r="T47"/>
      <c r="U47"/>
      <c r="V47"/>
      <c r="W47"/>
    </row>
    <row r="48" spans="2:23" ht="15.75" thickBot="1" x14ac:dyDescent="0.3">
      <c r="L48" s="81" t="str">
        <v>Pipistrigoi</v>
      </c>
      <c r="M48" s="82" t="str">
        <v>Spookaboo</v>
      </c>
      <c r="N48" s="83" t="str">
        <v>Revontulet</v>
      </c>
      <c r="O48" s="1"/>
      <c r="P48" s="1" t="str">
        <v>Pipistrigoi</v>
      </c>
      <c r="Q48" s="1" t="str">
        <v>Spookaboo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11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26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15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17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16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25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19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24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8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7</v>
      </c>
      <c r="H65" s="1" t="str">
        <v/>
      </c>
      <c r="L65" s="1" t="str">
        <v>Hoofrit</v>
      </c>
      <c r="M65" s="1">
        <v>9</v>
      </c>
      <c r="N65" s="1" t="str">
        <v/>
      </c>
      <c r="P65" s="1">
        <v>5</v>
      </c>
      <c r="Q65" s="1" t="str">
        <v/>
      </c>
    </row>
    <row r="66" spans="7:20" s="1" customFormat="1" ht="12" x14ac:dyDescent="0.2">
      <c r="G66" s="1" t="str">
        <v/>
      </c>
      <c r="H66" s="1">
        <v>10</v>
      </c>
      <c r="L66" s="1" t="str">
        <v>Kungpaw</v>
      </c>
      <c r="M66" s="1" t="str">
        <v/>
      </c>
      <c r="N66" s="1">
        <v>12</v>
      </c>
      <c r="P66" s="1" t="str">
        <v/>
      </c>
      <c r="Q66" s="1">
        <v>4</v>
      </c>
    </row>
    <row r="67" spans="7:20" s="1" customFormat="1" ht="12" x14ac:dyDescent="0.2">
      <c r="G67" s="1">
        <v>19</v>
      </c>
      <c r="H67" s="1" t="str">
        <v/>
      </c>
      <c r="L67" s="1" t="str">
        <v>Limudroid</v>
      </c>
      <c r="M67" s="1">
        <v>22</v>
      </c>
      <c r="N67" s="1" t="str">
        <v/>
      </c>
      <c r="P67" s="1">
        <v>12</v>
      </c>
      <c r="Q67" s="1" t="str">
        <v/>
      </c>
    </row>
    <row r="68" spans="7:20" s="1" customFormat="1" ht="12" x14ac:dyDescent="0.2">
      <c r="G68" s="1">
        <v>8</v>
      </c>
      <c r="H68" s="1" t="str">
        <v/>
      </c>
      <c r="L68" s="1" t="str">
        <v>Lucidina</v>
      </c>
      <c r="M68" s="1">
        <v>10</v>
      </c>
      <c r="N68" s="1" t="str">
        <v/>
      </c>
      <c r="P68" s="1">
        <v>6</v>
      </c>
      <c r="Q68" s="1" t="str">
        <v/>
      </c>
    </row>
    <row r="69" spans="7:20" s="1" customFormat="1" ht="12" x14ac:dyDescent="0.2">
      <c r="G69" s="1" t="str">
        <v/>
      </c>
      <c r="H69" s="1">
        <v>11</v>
      </c>
      <c r="L69" s="1" t="str">
        <v>Magmolin</v>
      </c>
      <c r="M69" s="1" t="str">
        <v/>
      </c>
      <c r="N69" s="1">
        <v>13</v>
      </c>
      <c r="P69" s="1" t="str">
        <v/>
      </c>
      <c r="Q69" s="1">
        <v>5</v>
      </c>
    </row>
    <row r="70" spans="7:20" s="1" customFormat="1" ht="12" x14ac:dyDescent="0.2">
      <c r="G70" s="1">
        <v>16</v>
      </c>
      <c r="H70" s="1" t="str">
        <v/>
      </c>
      <c r="L70" s="1" t="str">
        <v>Mantleray</v>
      </c>
      <c r="M70" s="1">
        <v>18</v>
      </c>
      <c r="N70" s="1" t="str">
        <v/>
      </c>
      <c r="P70" s="1">
        <v>10</v>
      </c>
      <c r="Q70" s="1" t="str">
        <v/>
      </c>
    </row>
    <row r="71" spans="7:20" s="1" customFormat="1" ht="12" x14ac:dyDescent="0.2">
      <c r="G71" s="1">
        <v>18</v>
      </c>
      <c r="H71" s="1" t="str">
        <v/>
      </c>
      <c r="L71" s="1" t="str">
        <v>Ninjump</v>
      </c>
      <c r="M71" s="1">
        <v>20</v>
      </c>
      <c r="N71" s="1" t="str">
        <v/>
      </c>
      <c r="P71" s="1">
        <v>11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5</v>
      </c>
      <c r="H73" s="1" t="str">
        <v/>
      </c>
      <c r="L73" s="1" t="str">
        <v>Pipistrigoi</v>
      </c>
      <c r="M73" s="1">
        <v>7</v>
      </c>
      <c r="N73" s="1" t="str">
        <v/>
      </c>
      <c r="P73" s="1">
        <v>4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14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20</v>
      </c>
      <c r="L77" s="1" t="str">
        <v>Statchew</v>
      </c>
      <c r="M77" s="1" t="str">
        <v/>
      </c>
      <c r="N77" s="1">
        <v>23</v>
      </c>
      <c r="P77" s="1" t="str">
        <v/>
      </c>
      <c r="Q77" s="1">
        <v>8</v>
      </c>
    </row>
    <row r="78" spans="7:20" s="1" customFormat="1" ht="12" x14ac:dyDescent="0.2">
      <c r="G78" s="1">
        <v>24</v>
      </c>
      <c r="H78" s="1" t="str">
        <v/>
      </c>
      <c r="L78" s="1" t="str">
        <v>Surveilynx</v>
      </c>
      <c r="M78" s="1">
        <v>27</v>
      </c>
      <c r="N78" s="1" t="str">
        <v/>
      </c>
      <c r="P78" s="1">
        <v>14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E1" workbookViewId="0">
      <selection activeCell="M14" sqref="M14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3" t="s">
        <v>203</v>
      </c>
      <c r="B1" s="254"/>
      <c r="D1" s="292" t="s">
        <v>240</v>
      </c>
      <c r="E1" s="293"/>
      <c r="F1" s="293"/>
      <c r="H1" s="292" t="s">
        <v>240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257</v>
      </c>
      <c r="AA1" s="254"/>
      <c r="AC1" s="253" t="s">
        <v>262</v>
      </c>
      <c r="AD1" s="254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250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251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33">
      <formula>$C2="Fire"</formula>
    </cfRule>
    <cfRule type="expression" dxfId="26" priority="34">
      <formula>$C2="Water"</formula>
    </cfRule>
    <cfRule type="expression" dxfId="25" priority="35">
      <formula>$C2="Electricity"</formula>
    </cfRule>
    <cfRule type="expression" dxfId="24" priority="36">
      <formula>$C2="Wood"</formula>
    </cfRule>
  </conditionalFormatting>
  <conditionalFormatting sqref="E2:E4">
    <cfRule type="expression" dxfId="23" priority="29">
      <formula>$C2="Fire"</formula>
    </cfRule>
    <cfRule type="expression" dxfId="22" priority="30">
      <formula>$C2="Water"</formula>
    </cfRule>
    <cfRule type="expression" dxfId="21" priority="31">
      <formula>$C2="Electricity"</formula>
    </cfRule>
    <cfRule type="expression" dxfId="20" priority="32">
      <formula>$C2="Wood"</formula>
    </cfRule>
  </conditionalFormatting>
  <conditionalFormatting sqref="J2:P4">
    <cfRule type="expression" dxfId="19" priority="1">
      <formula>$C2="Fire"</formula>
    </cfRule>
    <cfRule type="expression" dxfId="18" priority="2">
      <formula>$C2="Water"</formula>
    </cfRule>
    <cfRule type="expression" dxfId="17" priority="3">
      <formula>$C2="Electricity"</formula>
    </cfRule>
    <cfRule type="expression" dxfId="16" priority="4">
      <formula>$C2="Wood"</formula>
    </cfRule>
  </conditionalFormatting>
  <conditionalFormatting sqref="Q2:Q7">
    <cfRule type="expression" dxfId="15" priority="21">
      <formula>$C2="Fire"</formula>
    </cfRule>
    <cfRule type="expression" dxfId="14" priority="22">
      <formula>$C2="Water"</formula>
    </cfRule>
    <cfRule type="expression" dxfId="13" priority="23">
      <formula>$C2="Electricity"</formula>
    </cfRule>
    <cfRule type="expression" dxfId="12" priority="24">
      <formula>$C2="Wood"</formula>
    </cfRule>
  </conditionalFormatting>
  <conditionalFormatting sqref="T2:X2">
    <cfRule type="expression" dxfId="11" priority="17">
      <formula>$C2="Fire"</formula>
    </cfRule>
    <cfRule type="expression" dxfId="10" priority="18">
      <formula>$C2="Water"</formula>
    </cfRule>
    <cfRule type="expression" dxfId="9" priority="19">
      <formula>$C2="Electricity"</formula>
    </cfRule>
    <cfRule type="expression" dxfId="8" priority="20">
      <formula>$C2="Wood"</formula>
    </cfRule>
  </conditionalFormatting>
  <conditionalFormatting sqref="AA2">
    <cfRule type="expression" dxfId="7" priority="13">
      <formula>$C2="Fire"</formula>
    </cfRule>
    <cfRule type="expression" dxfId="6" priority="14">
      <formula>$C2="Water"</formula>
    </cfRule>
    <cfRule type="expression" dxfId="5" priority="15">
      <formula>$C2="Electricity"</formula>
    </cfRule>
    <cfRule type="expression" dxfId="4" priority="16">
      <formula>$C2="Wood"</formula>
    </cfRule>
  </conditionalFormatting>
  <conditionalFormatting sqref="AD2">
    <cfRule type="expression" dxfId="3" priority="9">
      <formula>$C2="Fire"</formula>
    </cfRule>
    <cfRule type="expression" dxfId="2" priority="10">
      <formula>$C2="Water"</formula>
    </cfRule>
    <cfRule type="expression" dxfId="1" priority="11">
      <formula>$C2="Electricity"</formula>
    </cfRule>
    <cfRule type="expression" dxfId="0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Bufonobi,Water,Attack,270,5,5,0,1,1,1,1,1,30,20,20,Max,10,1,0,135120000,,5270,1,1,https://encrypted-tbn0.gstatic.com/images?q=tbn:ANd9GcRXczs_Bjhslhr7Mf2HENU6MTyGpz0RJEMjNA&amp;s,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4270,9,2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Ghillant,Wood,Defend,250,4,4.1,0,1,1,1,1,0.199999999999999,5,5,5,Max,,0.589743589743589,400,2123020000,1,4350,8,2,https://encrypted-tbn0.gstatic.com/images?q=tbn:ANd9GcQOwDXppnwkCtCXXAqUiiNMhf6T-lane54jPg&amp;s,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Magmolin,Fire,Defend,240,3,3.1,61,1,1,1,0.2,0,10,5,15,,,0.241025641025641,679,2831420000,1,3340,13,2,https://encrypted-tbn0.gstatic.com/images?q=tbn:ANd9GcRebc6KbOAxblleg_L3rr2K13bt-Yyzq1bAaw&amp;s,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0.117948717948718,856,3390620000,1,2430,22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0.179487179487179,800,2123020000,1,3250,15,3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230,4,4,14,1,1,1,1,0,1,1,1,Max,,0.487179487179487,486,3390620000,1,4230,11,2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Escarffier,Fire,Defend,230,2,2.3,8,1,1,0.6,0,0,5,5,5,,,0.138461538461538,832,3390620000,1,2530,19,3,https://encrypted-tbn0.gstatic.com/images?q=tbn:ANd9GcST2CrUIPAlFNBLPgZn0Tu93KelabHVVAbNLQ&amp;s,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Lucidina,Water,Attack,270,4,4,0,1,1,1,1,0,5,5,15,Max,,0.487179487179487,500,135120000,,4270,10,2,https://encrypted-tbn0.gstatic.com/images?q=tbn:ANd9GcR9A_xtftnwTH1zCnLIOcgmJKNZtFnB-e8QOw&amp;s,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Statchew,Wood,Defend,230,2,2.2,10,1,1,0.4,0,0,15,5,9,,,0.117948717948718,850,3390620000,1,2430,23,,https://encrypted-tbn0.gstatic.com/images?q=tbn:ANd9GcSC1rp-0lIuUyVvSi8kN_vJnr_Ln4mF4lh4zg&amp;s,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210,3,3,0,1,1,1,0,0,1,1,1,,,0.179487179487179,800,4161420000,1,3210,17,3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210,2,2.2,0,1,1,0.4,0,0,5,5,10,,,0.117948717948718,860,4161420000,1,2410,24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0.179487179487179,790,2123020000,1,3250,16,3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Pipistrigoi,Fire,Attack,270,4,4.1,13,1,1,1,1,0.199999999999999,15,15,15,Max,,0.589743589743589,387,135120000,,4370,7,1,https://encrypted-tbn0.gstatic.com/images?q=tbn:ANd9GcSSdARGNHB_mPJlsb0v4ULv5HaXw2movjzNTNSrkzsi&amp;s,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0.117948717948718,859,4161420000,1,2410,25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0.138461538461538,830,4919220000,1,2460,20,3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0.0769230769230769,900,3826220000,1,2220,27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Mantleray,Electricity,Attack,210,2,2.4,3,1,1,0.8,0,0,4,1,1,,,0.158974358974359,817,4161420000,1,2610,18,3,https://encrypted-tbn0.gstatic.com/images?q=tbn:ANd9GcSWhzppoZXwh-zBnWIY3GFkIp0x0kc0hAzG0A&amp;s,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Spookaboo,Fire,Attack,210,3,3.1,10,1,1,1,0.2,0,1,1,1,,,0.241025641025641,730,4161420000,1,3310,14,2,https://encrypted-tbn0.gstatic.com/images?q=tbn:ANd9GcT29K673YTBvt_EofrppvnWB4sgt43DEq1pTw&amp;s,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Kungpaw,Water,Defend,186,3,3.3,45,1,1,1,0.6,0,1,1,1,,,0.364102564102564,575,4667020000,1,3486,12,2,https://encrypted-tbn0.gstatic.com/images?q=tbn:ANd9GcRV1HdRcNPUS4HjDBZ2YOXgaMW_I8FgZEP5xg&amp;s,,,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0.0974358974358975,870,4161420000,1,2310,26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140,0,0,250,0,0,0,0,0,1,1,1,,,0,725,4999220000,1,140,31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Revontulet,Fire,Attack,160,2,2.3,0,1,1,0.6,0,0,1,1,1,,,0.138461538461538,840,4919220000,1,2460,21,,,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Bufonobi,Water,Attack,270,,5,5,0,30,20,20,Max,10,,1,1,1,1,1,1,0,,135120000,,,5270,1,1,,https://encrypted-tbn0.gstatic.com/images?q=tbn:ANd9GcRXczs_Bjhslhr7Mf2HENU6MTyGpz0RJEMjNA&amp;s,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2026-03-31T13:40:25Z</dcterms:modified>
</cp:coreProperties>
</file>