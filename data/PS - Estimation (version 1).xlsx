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D2CE5F14-B10B-42DC-8097-C9FBE7022FFC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Palmon!$B$2:$G$48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Palmon!$C$47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Palmon!$B$3:$AK$44</definedName>
    <definedName name="PalmonListCols">Palmon!$B$2:$I$2</definedName>
    <definedName name="PalmonListWIthHeaders">Palmon!$B$2:$O$44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_xlfn._xlws.SORT(Palmon!$B$3:$B$44)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_xlfn._xlws.SORT(_xlfn._xlws.FILTER(Palmon!$B$3:$B$44,Palmon!$G$3:$G$44&gt;0))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2" i="4" l="1"/>
  <c r="H292" i="4"/>
  <c r="H282" i="4"/>
  <c r="H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E34" i="11"/>
  <c r="AF34" i="11"/>
  <c r="AG34" i="11"/>
  <c r="AH34" i="11"/>
  <c r="AI34" i="11"/>
  <c r="AJ34" i="11"/>
  <c r="A35" i="11"/>
  <c r="B35" i="11"/>
  <c r="C35" i="11"/>
  <c r="D35" i="11"/>
  <c r="G35" i="11"/>
  <c r="H35" i="11"/>
  <c r="N35" i="11"/>
  <c r="V35" i="11"/>
  <c r="Y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G36" i="11"/>
  <c r="H36" i="11"/>
  <c r="J36" i="11"/>
  <c r="K36" i="11"/>
  <c r="N36" i="11"/>
  <c r="V36" i="11"/>
  <c r="Y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G37" i="11"/>
  <c r="H37" i="11"/>
  <c r="J37" i="11"/>
  <c r="K37" i="11"/>
  <c r="N37" i="11"/>
  <c r="V37" i="11"/>
  <c r="Y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G38" i="11"/>
  <c r="H38" i="11"/>
  <c r="J38" i="11"/>
  <c r="K38" i="11"/>
  <c r="N38" i="11"/>
  <c r="V38" i="11"/>
  <c r="Y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G39" i="11"/>
  <c r="H39" i="11"/>
  <c r="J39" i="11"/>
  <c r="K39" i="11"/>
  <c r="N39" i="11"/>
  <c r="V39" i="11"/>
  <c r="Y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G40" i="11"/>
  <c r="H40" i="11"/>
  <c r="J40" i="11"/>
  <c r="K40" i="11"/>
  <c r="N40" i="11"/>
  <c r="V40" i="11"/>
  <c r="Y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G41" i="11"/>
  <c r="H41" i="11"/>
  <c r="J41" i="11"/>
  <c r="K41" i="11"/>
  <c r="N41" i="11"/>
  <c r="V41" i="11"/>
  <c r="Y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G42" i="11"/>
  <c r="H42" i="11"/>
  <c r="J42" i="11"/>
  <c r="K42" i="11"/>
  <c r="N42" i="11"/>
  <c r="V42" i="11"/>
  <c r="Y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G43" i="11"/>
  <c r="H43" i="11"/>
  <c r="N43" i="11"/>
  <c r="V43" i="11"/>
  <c r="Y43" i="11"/>
  <c r="AC43" i="11"/>
  <c r="AD43" i="11"/>
  <c r="AE43" i="11"/>
  <c r="AF43" i="11"/>
  <c r="AG43" i="11"/>
  <c r="AH43" i="11"/>
  <c r="AI43" i="11"/>
  <c r="AJ43" i="11"/>
  <c r="AG36" i="2" l="1"/>
  <c r="AF36" i="2"/>
  <c r="AA36" i="2"/>
  <c r="Z35" i="11" s="1"/>
  <c r="T36" i="2"/>
  <c r="S35" i="11" s="1"/>
  <c r="S36" i="2"/>
  <c r="R35" i="11" s="1"/>
  <c r="R36" i="2"/>
  <c r="Q35" i="11" s="1"/>
  <c r="Q36" i="2"/>
  <c r="P35" i="11" s="1"/>
  <c r="P36" i="2"/>
  <c r="N36" i="2"/>
  <c r="M35" i="11" s="1"/>
  <c r="J36" i="2" a="1"/>
  <c r="G36" i="2"/>
  <c r="F36" i="2" a="1"/>
  <c r="F36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H2" i="11"/>
  <c r="AI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H3" i="11"/>
  <c r="AI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H4" i="11"/>
  <c r="AI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H5" i="11"/>
  <c r="AI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H6" i="11"/>
  <c r="AI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H7" i="11"/>
  <c r="AI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H8" i="11"/>
  <c r="AI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H9" i="11"/>
  <c r="AI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H10" i="11"/>
  <c r="AI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H11" i="11"/>
  <c r="AI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H12" i="11"/>
  <c r="AI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H13" i="11"/>
  <c r="AI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H14" i="11"/>
  <c r="AI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H15" i="11"/>
  <c r="AI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H16" i="11"/>
  <c r="AI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H17" i="11"/>
  <c r="AI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H18" i="11"/>
  <c r="AI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H19" i="11"/>
  <c r="AI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H20" i="11"/>
  <c r="AI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H21" i="11"/>
  <c r="AI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H22" i="11"/>
  <c r="AI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H23" i="11"/>
  <c r="AI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H24" i="11"/>
  <c r="AI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H25" i="11"/>
  <c r="AI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H26" i="11"/>
  <c r="AI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H27" i="11"/>
  <c r="AI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H28" i="11"/>
  <c r="AI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H29" i="11"/>
  <c r="AI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H30" i="11"/>
  <c r="AI30" i="11"/>
  <c r="AJ30" i="11"/>
  <c r="A31" i="11"/>
  <c r="B31" i="11"/>
  <c r="C31" i="11"/>
  <c r="D31" i="11"/>
  <c r="G31" i="11"/>
  <c r="H31" i="11"/>
  <c r="J31" i="11"/>
  <c r="K31" i="11"/>
  <c r="N31" i="11"/>
  <c r="V31" i="11"/>
  <c r="Y31" i="11"/>
  <c r="AC31" i="11"/>
  <c r="AD31" i="11"/>
  <c r="AE31" i="11"/>
  <c r="AG31" i="11"/>
  <c r="AH31" i="11"/>
  <c r="AI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H32" i="11"/>
  <c r="AI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H33" i="11"/>
  <c r="AI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6" i="2"/>
  <c r="R57" i="2"/>
  <c r="R58" i="2"/>
  <c r="R55" i="2"/>
  <c r="Q56" i="2"/>
  <c r="Q57" i="2"/>
  <c r="Q58" i="2"/>
  <c r="Q55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6" i="2" l="1"/>
  <c r="I35" i="11" s="1"/>
  <c r="J35" i="11"/>
  <c r="K35" i="11"/>
  <c r="U36" i="2" a="1"/>
  <c r="U36" i="2" s="1"/>
  <c r="T35" i="11" s="1"/>
  <c r="O35" i="11"/>
  <c r="M36" i="2"/>
  <c r="L35" i="11" s="1"/>
  <c r="F35" i="11"/>
  <c r="Y36" i="2"/>
  <c r="X35" i="11" s="1"/>
  <c r="E35" i="11"/>
  <c r="V36" i="2" a="1"/>
  <c r="V36" i="2" s="1"/>
  <c r="U35" i="11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6" i="2"/>
  <c r="S55" i="2"/>
  <c r="S58" i="2"/>
  <c r="S57" i="2"/>
  <c r="AC22" i="4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8" i="2" a="1"/>
  <c r="A38" i="2" s="1"/>
  <c r="A37" i="2" a="1"/>
  <c r="A37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5" i="2" l="1"/>
  <c r="AJ45" i="2"/>
  <c r="AI45" i="2"/>
  <c r="J44" i="2" l="1" a="1"/>
  <c r="J43" i="2" a="1"/>
  <c r="J43" i="2" s="1"/>
  <c r="I42" i="11" s="1"/>
  <c r="J42" i="2" a="1"/>
  <c r="J42" i="2" s="1"/>
  <c r="I41" i="11" s="1"/>
  <c r="J41" i="2" a="1"/>
  <c r="J41" i="2" s="1"/>
  <c r="I40" i="11" s="1"/>
  <c r="J40" i="2" a="1"/>
  <c r="J40" i="2" s="1"/>
  <c r="I39" i="11" s="1"/>
  <c r="J39" i="2" a="1"/>
  <c r="J39" i="2" s="1"/>
  <c r="I38" i="11" s="1"/>
  <c r="J38" i="2" a="1"/>
  <c r="J38" i="2" s="1"/>
  <c r="I37" i="11" s="1"/>
  <c r="J37" i="2" a="1"/>
  <c r="J37" i="2" s="1"/>
  <c r="I36" i="11" s="1"/>
  <c r="J35" i="2" a="1"/>
  <c r="J35" i="2" s="1"/>
  <c r="I34" i="11" s="1"/>
  <c r="J33" i="2" a="1"/>
  <c r="J33" i="2" s="1"/>
  <c r="I32" i="11" s="1"/>
  <c r="J32" i="2" a="1"/>
  <c r="J32" i="2" s="1"/>
  <c r="I31" i="11" s="1"/>
  <c r="J31" i="2" a="1"/>
  <c r="J31" i="2" s="1"/>
  <c r="I30" i="11" s="1"/>
  <c r="Q33" i="7" a="1"/>
  <c r="Q33" i="7" s="1"/>
  <c r="AE3" i="2"/>
  <c r="AD2" i="11" s="1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AF44" i="2"/>
  <c r="AF43" i="2"/>
  <c r="AF42" i="2"/>
  <c r="AF41" i="2"/>
  <c r="AF40" i="2"/>
  <c r="AF39" i="2"/>
  <c r="AF38" i="2"/>
  <c r="AF37" i="2"/>
  <c r="AF35" i="2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4" i="2"/>
  <c r="AG43" i="2"/>
  <c r="AG42" i="2"/>
  <c r="AG41" i="2"/>
  <c r="AG40" i="2"/>
  <c r="AG39" i="2"/>
  <c r="AG38" i="2"/>
  <c r="AG37" i="2"/>
  <c r="AG35" i="2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5" i="2"/>
  <c r="B45" i="2"/>
  <c r="AA44" i="2"/>
  <c r="Z43" i="11" s="1"/>
  <c r="AA43" i="2"/>
  <c r="Z42" i="11" s="1"/>
  <c r="AA42" i="2"/>
  <c r="Z41" i="11" s="1"/>
  <c r="AA41" i="2"/>
  <c r="Z40" i="11" s="1"/>
  <c r="AA40" i="2"/>
  <c r="Z39" i="11" s="1"/>
  <c r="AA39" i="2"/>
  <c r="Z38" i="11" s="1"/>
  <c r="AA38" i="2"/>
  <c r="Z37" i="11" s="1"/>
  <c r="AA37" i="2"/>
  <c r="Z36" i="11" s="1"/>
  <c r="AA35" i="2"/>
  <c r="Z34" i="11" s="1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7" i="2"/>
  <c r="P36" i="11" s="1"/>
  <c r="Q38" i="2"/>
  <c r="P37" i="11" s="1"/>
  <c r="Q39" i="2"/>
  <c r="P38" i="11" s="1"/>
  <c r="Q40" i="2"/>
  <c r="P39" i="11" s="1"/>
  <c r="Q41" i="2"/>
  <c r="P40" i="11" s="1"/>
  <c r="Q42" i="2"/>
  <c r="P41" i="11" s="1"/>
  <c r="Q43" i="2"/>
  <c r="P42" i="11" s="1"/>
  <c r="Q44" i="2"/>
  <c r="P43" i="11" s="1"/>
  <c r="AA3" i="2"/>
  <c r="Z2" i="11" s="1"/>
  <c r="J43" i="11" l="1"/>
  <c r="K43" i="11"/>
  <c r="Z13" i="11"/>
  <c r="AB36" i="2"/>
  <c r="J44" i="2"/>
  <c r="I43" i="11" s="1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2" i="2"/>
  <c r="AA41" i="11" s="1"/>
  <c r="AB43" i="2"/>
  <c r="AA42" i="11" s="1"/>
  <c r="AB44" i="2"/>
  <c r="AA43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0" i="2"/>
  <c r="AA39" i="11" s="1"/>
  <c r="AB16" i="2"/>
  <c r="AA15" i="11" s="1"/>
  <c r="AB41" i="2"/>
  <c r="AA40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7" i="2"/>
  <c r="AA36" i="11" s="1"/>
  <c r="AB12" i="2"/>
  <c r="AA11" i="11" s="1"/>
  <c r="AB24" i="2"/>
  <c r="AA23" i="11" s="1"/>
  <c r="AB38" i="2"/>
  <c r="AA37" i="11" s="1"/>
  <c r="AB13" i="2"/>
  <c r="AA12" i="11" s="1"/>
  <c r="AB25" i="2"/>
  <c r="AA24" i="11" s="1"/>
  <c r="AB39" i="2"/>
  <c r="AA38" i="11" s="1"/>
  <c r="L2" i="4"/>
  <c r="K2" i="4"/>
  <c r="J2" i="4"/>
  <c r="I2" i="4"/>
  <c r="AC36" i="2" l="1" a="1"/>
  <c r="AC36" i="2" s="1"/>
  <c r="AB35" i="11" s="1"/>
  <c r="AA35" i="1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7" i="2" a="1"/>
  <c r="AC37" i="2" s="1"/>
  <c r="AB36" i="11" s="1"/>
  <c r="AC38" i="2" a="1"/>
  <c r="AC38" i="2" s="1"/>
  <c r="AB37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N34" i="2"/>
  <c r="M33" i="11" s="1"/>
  <c r="N35" i="2"/>
  <c r="M34" i="11" s="1"/>
  <c r="N37" i="2"/>
  <c r="M36" i="11" s="1"/>
  <c r="N38" i="2"/>
  <c r="M37" i="11" s="1"/>
  <c r="N39" i="2"/>
  <c r="M38" i="11" s="1"/>
  <c r="N40" i="2"/>
  <c r="M39" i="11" s="1"/>
  <c r="N41" i="2"/>
  <c r="M40" i="11" s="1"/>
  <c r="N42" i="2"/>
  <c r="M41" i="11" s="1"/>
  <c r="N43" i="2"/>
  <c r="M42" i="11" s="1"/>
  <c r="G35" i="2"/>
  <c r="F34" i="11" s="1"/>
  <c r="G37" i="2"/>
  <c r="F36" i="11" s="1"/>
  <c r="G38" i="2"/>
  <c r="F37" i="11" s="1"/>
  <c r="G39" i="2"/>
  <c r="F38" i="11" s="1"/>
  <c r="G40" i="2"/>
  <c r="F39" i="11" s="1"/>
  <c r="G41" i="2"/>
  <c r="F40" i="11" s="1"/>
  <c r="G42" i="2"/>
  <c r="F41" i="11" s="1"/>
  <c r="F35" i="2" a="1"/>
  <c r="F35" i="2" s="1"/>
  <c r="E34" i="11" s="1"/>
  <c r="F37" i="2" a="1"/>
  <c r="F37" i="2" s="1"/>
  <c r="E36" i="11" s="1"/>
  <c r="F38" i="2" a="1"/>
  <c r="F38" i="2" s="1"/>
  <c r="E37" i="11" s="1"/>
  <c r="F39" i="2" a="1"/>
  <c r="F39" i="2" s="1"/>
  <c r="E38" i="11" s="1"/>
  <c r="F40" i="2" a="1"/>
  <c r="F40" i="2" s="1"/>
  <c r="E39" i="11" s="1"/>
  <c r="F41" i="2" a="1"/>
  <c r="F41" i="2" s="1"/>
  <c r="E40" i="11" s="1"/>
  <c r="F42" i="2" a="1"/>
  <c r="F42" i="2" s="1"/>
  <c r="E41" i="11" s="1"/>
  <c r="F43" i="2" a="1"/>
  <c r="F43" i="2" s="1"/>
  <c r="E42" i="11" s="1"/>
  <c r="AC34" i="2" a="1"/>
  <c r="AC34" i="2" s="1"/>
  <c r="AB33" i="11" s="1"/>
  <c r="G43" i="2"/>
  <c r="F42" i="11" s="1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7" i="2" l="1"/>
  <c r="X36" i="11" s="1"/>
  <c r="Y38" i="2"/>
  <c r="X37" i="11" s="1"/>
  <c r="Y32" i="2"/>
  <c r="X31" i="11" s="1"/>
  <c r="E31" i="11"/>
  <c r="M42" i="2"/>
  <c r="L41" i="11" s="1"/>
  <c r="Y40" i="2"/>
  <c r="X39" i="11" s="1"/>
  <c r="Y35" i="2"/>
  <c r="X34" i="11" s="1"/>
  <c r="M41" i="2"/>
  <c r="L40" i="11" s="1"/>
  <c r="M43" i="2"/>
  <c r="L42" i="11" s="1"/>
  <c r="M40" i="2"/>
  <c r="L39" i="11" s="1"/>
  <c r="Y34" i="2"/>
  <c r="X33" i="11" s="1"/>
  <c r="E33" i="11"/>
  <c r="Y31" i="2"/>
  <c r="X30" i="11" s="1"/>
  <c r="E30" i="11"/>
  <c r="M39" i="2"/>
  <c r="L38" i="11" s="1"/>
  <c r="M38" i="2"/>
  <c r="L37" i="11" s="1"/>
  <c r="M34" i="2"/>
  <c r="L33" i="11" s="1"/>
  <c r="F33" i="11"/>
  <c r="Y39" i="2"/>
  <c r="X38" i="11" s="1"/>
  <c r="Y33" i="2"/>
  <c r="X32" i="11" s="1"/>
  <c r="E32" i="11"/>
  <c r="Y43" i="2"/>
  <c r="X42" i="11" s="1"/>
  <c r="Y42" i="2"/>
  <c r="X41" i="11" s="1"/>
  <c r="M37" i="2"/>
  <c r="L36" i="11" s="1"/>
  <c r="Y41" i="2"/>
  <c r="X40" i="11" s="1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6" i="2"/>
  <c r="AC44" i="2" a="1"/>
  <c r="AC44" i="2" s="1"/>
  <c r="AB43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X28" i="2" a="1"/>
  <c r="X28" i="2" s="1"/>
  <c r="W27" i="11" s="1"/>
  <c r="X27" i="2" a="1"/>
  <c r="X27" i="2" s="1"/>
  <c r="X35" i="2" a="1"/>
  <c r="X35" i="2" s="1"/>
  <c r="W34" i="11" s="1"/>
  <c r="X39" i="2" a="1"/>
  <c r="X39" i="2" s="1"/>
  <c r="W38" i="11" s="1"/>
  <c r="X41" i="2" a="1"/>
  <c r="X41" i="2" s="1"/>
  <c r="W40" i="11" s="1"/>
  <c r="X40" i="2" a="1"/>
  <c r="X40" i="2" s="1"/>
  <c r="W39" i="11" s="1"/>
  <c r="X43" i="2" a="1"/>
  <c r="X43" i="2" s="1"/>
  <c r="W42" i="11" s="1"/>
  <c r="X34" i="2" a="1"/>
  <c r="X34" i="2" s="1"/>
  <c r="X42" i="2" a="1"/>
  <c r="X42" i="2" s="1"/>
  <c r="W41" i="11" s="1"/>
  <c r="X37" i="2" a="1"/>
  <c r="X37" i="2" s="1"/>
  <c r="W36" i="11" s="1"/>
  <c r="X15" i="2" a="1"/>
  <c r="X15" i="2" s="1"/>
  <c r="W14" i="11" s="1"/>
  <c r="X21" i="2" a="1"/>
  <c r="X21" i="2" s="1"/>
  <c r="W20" i="11" s="1"/>
  <c r="X26" i="2" a="1"/>
  <c r="X26" i="2" s="1"/>
  <c r="W25" i="11" s="1"/>
  <c r="X14" i="2" a="1"/>
  <c r="X14" i="2" s="1"/>
  <c r="W13" i="11" s="1"/>
  <c r="X25" i="2" a="1"/>
  <c r="X25" i="2" s="1"/>
  <c r="W24" i="11" s="1"/>
  <c r="X6" i="2" a="1"/>
  <c r="X6" i="2" s="1"/>
  <c r="W5" i="11" s="1"/>
  <c r="X24" i="2" a="1"/>
  <c r="X24" i="2" s="1"/>
  <c r="W23" i="11" s="1"/>
  <c r="X12" i="2" a="1"/>
  <c r="X12" i="2" s="1"/>
  <c r="W11" i="11" s="1"/>
  <c r="X11" i="2" a="1"/>
  <c r="X11" i="2" s="1"/>
  <c r="W10" i="11" s="1"/>
  <c r="X10" i="2" a="1"/>
  <c r="X10" i="2" s="1"/>
  <c r="W9" i="11" s="1"/>
  <c r="X20" i="2" a="1"/>
  <c r="X20" i="2" s="1"/>
  <c r="W19" i="11" s="1"/>
  <c r="X7" i="2" a="1"/>
  <c r="X7" i="2" s="1"/>
  <c r="W6" i="11" s="1"/>
  <c r="X18" i="2" a="1"/>
  <c r="X18" i="2" s="1"/>
  <c r="W17" i="11" s="1"/>
  <c r="X17" i="2" a="1"/>
  <c r="X17" i="2" s="1"/>
  <c r="W16" i="11" s="1"/>
  <c r="X23" i="2" a="1"/>
  <c r="X23" i="2" s="1"/>
  <c r="W22" i="11" s="1"/>
  <c r="X22" i="2" a="1"/>
  <c r="X22" i="2" s="1"/>
  <c r="W21" i="11" s="1"/>
  <c r="X19" i="2" a="1"/>
  <c r="X19" i="2" s="1"/>
  <c r="W18" i="11" s="1"/>
  <c r="X33" i="2" a="1"/>
  <c r="X33" i="2" s="1"/>
  <c r="W32" i="11" s="1"/>
  <c r="X5" i="2" a="1"/>
  <c r="X5" i="2" s="1"/>
  <c r="W4" i="11" s="1"/>
  <c r="X31" i="2" a="1"/>
  <c r="X31" i="2" s="1"/>
  <c r="W30" i="11" s="1"/>
  <c r="X16" i="2" a="1"/>
  <c r="X16" i="2" s="1"/>
  <c r="W15" i="11" s="1"/>
  <c r="X4" i="2" a="1"/>
  <c r="X4" i="2" s="1"/>
  <c r="W3" i="11" s="1"/>
  <c r="X30" i="2" a="1"/>
  <c r="X30" i="2" s="1"/>
  <c r="W29" i="11" s="1"/>
  <c r="X3" i="2" a="1"/>
  <c r="X3" i="2" s="1"/>
  <c r="W2" i="11" s="1"/>
  <c r="X13" i="2" a="1"/>
  <c r="X13" i="2" s="1"/>
  <c r="W12" i="11" s="1"/>
  <c r="X9" i="2" a="1"/>
  <c r="X9" i="2" s="1"/>
  <c r="W8" i="11" s="1"/>
  <c r="X8" i="2" a="1"/>
  <c r="X8" i="2" s="1"/>
  <c r="W7" i="11" s="1"/>
  <c r="X44" i="2" a="1"/>
  <c r="X44" i="2" s="1"/>
  <c r="W43" i="11" s="1"/>
  <c r="X32" i="2" a="1"/>
  <c r="X32" i="2" s="1"/>
  <c r="W31" i="11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36" i="2" a="1"/>
  <c r="X36" i="2" s="1"/>
  <c r="W35" i="11" s="1"/>
  <c r="X29" i="2" a="1"/>
  <c r="X29" i="2" s="1"/>
  <c r="X38" i="2" a="1"/>
  <c r="X38" i="2" s="1"/>
  <c r="W37" i="11" s="1"/>
  <c r="F27" i="9"/>
  <c r="W26" i="11"/>
  <c r="W33" i="11"/>
  <c r="F28" i="9"/>
  <c r="O5" i="4"/>
  <c r="O6" i="4" s="1"/>
  <c r="F44" i="2" a="1"/>
  <c r="F44" i="2" s="1"/>
  <c r="E43" i="11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W28" i="11" l="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4" i="2"/>
  <c r="X43" i="11" s="1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4" i="2"/>
  <c r="M43" i="11" s="1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X46" i="2" l="1"/>
  <c r="N7" i="4"/>
  <c r="N8" i="4" s="1"/>
  <c r="G8" i="2"/>
  <c r="F7" i="11" s="1"/>
  <c r="G4" i="2"/>
  <c r="F3" i="11" s="1"/>
  <c r="M32" i="2"/>
  <c r="L31" i="11" s="1"/>
  <c r="M31" i="2"/>
  <c r="L30" i="11" s="1"/>
  <c r="G44" i="2"/>
  <c r="F43" i="11" s="1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4" i="2"/>
  <c r="L43" i="11" s="1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3" i="2" a="1"/>
  <c r="C53" i="2" s="1"/>
  <c r="D53" i="2" s="1" a="1"/>
  <c r="D53" i="2" s="1"/>
  <c r="N9" i="4" l="1"/>
  <c r="O9" i="4"/>
  <c r="F145" i="2" a="1"/>
  <c r="F145" i="2" s="1"/>
  <c r="N10" i="4" l="1"/>
  <c r="O10" i="4"/>
  <c r="O11" i="4" s="1"/>
  <c r="N11" i="4" l="1"/>
  <c r="N12" i="4" l="1"/>
  <c r="O12" i="4"/>
  <c r="O13" i="4" s="1"/>
  <c r="P43" i="2"/>
  <c r="O42" i="11" s="1"/>
  <c r="P42" i="2"/>
  <c r="O41" i="11" s="1"/>
  <c r="P35" i="2"/>
  <c r="O34" i="11" s="1"/>
  <c r="P37" i="2"/>
  <c r="O36" i="11" s="1"/>
  <c r="P38" i="2"/>
  <c r="O37" i="11" s="1"/>
  <c r="P39" i="2"/>
  <c r="O38" i="11" s="1"/>
  <c r="P40" i="2"/>
  <c r="O39" i="11" s="1"/>
  <c r="P41" i="2"/>
  <c r="O40" i="11" s="1"/>
  <c r="T34" i="2"/>
  <c r="S33" i="11" s="1"/>
  <c r="T43" i="2"/>
  <c r="S42" i="11" s="1"/>
  <c r="T42" i="2"/>
  <c r="S41" i="11" s="1"/>
  <c r="T35" i="2"/>
  <c r="S34" i="11" s="1"/>
  <c r="T37" i="2"/>
  <c r="S36" i="11" s="1"/>
  <c r="T38" i="2"/>
  <c r="S37" i="11" s="1"/>
  <c r="T39" i="2"/>
  <c r="S38" i="11" s="1"/>
  <c r="T40" i="2"/>
  <c r="S39" i="11" s="1"/>
  <c r="T41" i="2"/>
  <c r="S40" i="11" s="1"/>
  <c r="R34" i="2"/>
  <c r="Q33" i="11" s="1"/>
  <c r="R42" i="2"/>
  <c r="Q41" i="11" s="1"/>
  <c r="R35" i="2"/>
  <c r="Q34" i="11" s="1"/>
  <c r="R37" i="2"/>
  <c r="Q36" i="11" s="1"/>
  <c r="R38" i="2"/>
  <c r="Q37" i="11" s="1"/>
  <c r="R39" i="2"/>
  <c r="Q38" i="11" s="1"/>
  <c r="R40" i="2"/>
  <c r="Q39" i="11" s="1"/>
  <c r="R41" i="2"/>
  <c r="Q40" i="11" s="1"/>
  <c r="R43" i="2"/>
  <c r="Q42" i="11" s="1"/>
  <c r="S34" i="2"/>
  <c r="R33" i="11" s="1"/>
  <c r="S43" i="2"/>
  <c r="R42" i="11" s="1"/>
  <c r="S42" i="2"/>
  <c r="R41" i="11" s="1"/>
  <c r="S35" i="2"/>
  <c r="R34" i="11" s="1"/>
  <c r="S37" i="2"/>
  <c r="R36" i="11" s="1"/>
  <c r="S38" i="2"/>
  <c r="R37" i="11" s="1"/>
  <c r="S39" i="2"/>
  <c r="R38" i="11" s="1"/>
  <c r="S40" i="2"/>
  <c r="R39" i="11" s="1"/>
  <c r="S41" i="2"/>
  <c r="R40" i="11" s="1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4" i="2"/>
  <c r="S43" i="11" s="1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4" i="2"/>
  <c r="O43" i="11" s="1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4" i="2"/>
  <c r="R43" i="11" s="1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4" i="2"/>
  <c r="Q43" i="11" s="1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38" i="2" a="1"/>
  <c r="U38" i="2" s="1"/>
  <c r="T37" i="11" s="1"/>
  <c r="U41" i="2" a="1"/>
  <c r="U41" i="2" s="1"/>
  <c r="T40" i="11" s="1"/>
  <c r="U40" i="2" a="1"/>
  <c r="U40" i="2" s="1"/>
  <c r="T39" i="11" s="1"/>
  <c r="U39" i="2" a="1"/>
  <c r="U39" i="2" s="1"/>
  <c r="T38" i="11" s="1"/>
  <c r="U37" i="2" a="1"/>
  <c r="U37" i="2" s="1"/>
  <c r="T36" i="11" s="1"/>
  <c r="U35" i="2" a="1"/>
  <c r="U35" i="2" s="1"/>
  <c r="T34" i="11" s="1"/>
  <c r="U42" i="2" a="1"/>
  <c r="U42" i="2" s="1"/>
  <c r="T41" i="11" s="1"/>
  <c r="U43" i="2" a="1"/>
  <c r="U43" i="2" s="1"/>
  <c r="T42" i="11" s="1"/>
  <c r="V34" i="2" a="1"/>
  <c r="V34" i="2" s="1"/>
  <c r="U33" i="11" s="1"/>
  <c r="V35" i="2" a="1"/>
  <c r="V35" i="2" s="1"/>
  <c r="U34" i="11" s="1"/>
  <c r="V38" i="2" a="1"/>
  <c r="V38" i="2" s="1"/>
  <c r="U37" i="11" s="1"/>
  <c r="V40" i="2" a="1"/>
  <c r="V40" i="2" s="1"/>
  <c r="U39" i="11" s="1"/>
  <c r="V43" i="2" a="1"/>
  <c r="V43" i="2" s="1"/>
  <c r="U42" i="11" s="1"/>
  <c r="V41" i="2" a="1"/>
  <c r="V41" i="2" s="1"/>
  <c r="U40" i="11" s="1"/>
  <c r="V42" i="2" a="1"/>
  <c r="V42" i="2" s="1"/>
  <c r="U41" i="11" s="1"/>
  <c r="V37" i="2" a="1"/>
  <c r="V37" i="2" s="1"/>
  <c r="U36" i="11" s="1"/>
  <c r="V39" i="2" a="1"/>
  <c r="V39" i="2" s="1"/>
  <c r="U38" i="11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4" i="2" a="1"/>
  <c r="U44" i="2" s="1"/>
  <c r="T43" i="11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4" i="2" a="1"/>
  <c r="V44" i="2" s="1"/>
  <c r="U43" i="11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2" i="2"/>
  <c r="L41" i="7" l="1"/>
  <c r="L33" i="7"/>
  <c r="N41" i="7"/>
  <c r="E52" i="2"/>
  <c r="E53" i="2"/>
  <c r="E54" i="2" l="1"/>
  <c r="F5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<sst xmlns="http://schemas.openxmlformats.org/spreadsheetml/2006/main" count="393" uniqueCount="263">
  <si>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</si>
  <si>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</si>
  <si>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</si>
  <si>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</si>
  <si>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</si>
  <si>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</si>
  <si>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</si>
  <si>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</si>
  <si>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</si>
  <si>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</si>
  <si>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</si>
  <si>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</si>
  <si>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</si>
  <si>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</si>
  <si>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</si>
  <si>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</si>
  <si>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</si>
  <si>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</si>
  <si>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</si>
  <si>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</si>
  <si>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</si>
  <si>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</si>
  <si>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</si>
  <si>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</si>
  <si>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</si>
  <si>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</si>
  <si>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</si>
  <si>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</si>
  <si>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</si>
  <si>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</si>
  <si>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</si>
  <si>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</si>
  <si>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</si>
  <si>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</si>
  <si>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</si>
  <si>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</si>
  <si>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</si>
  <si>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</si>
  <si>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</si>
  <si>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</si>
  <si>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</si>
  <si>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</si>
  <si>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</si>
  <si>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</si>
  <si>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</si>
  <si>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</si>
  <si>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</si>
  <si>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</si>
  <si>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</si>
  <si>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</si>
  <si>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</si>
  <si>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</si>
  <si>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</si>
  <si>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</si>
  <si>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</si>
  <si>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</si>
  <si>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</si>
  <si>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</si>
  <si>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</si>
  <si>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</si>
  <si>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</si>
  <si>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</si>
  <si>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</si>
  <si>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</si>
  <si>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</si>
  <si>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</si>
  <si>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</si>
  <si>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</si>
  <si>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</si>
  <si>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</si>
  <si>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</si>
  <si>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</si>
  <si>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</si>
  <si>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</si>
  <si>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</si>
  <si>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</si>
  <si>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</si>
  <si>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</si>
  <si>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</si>
  <si>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</si>
  <si>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</si>
  <si>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</si>
  <si>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</si>
  <si>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</si>
  <si>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</si>
  <si>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</si>
  <si>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</si>
  <si>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</si>
  <si>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</si>
  <si>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</si>
  <si>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</si>
  <si>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</si>
  <si>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</si>
  <si>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</si>
  <si>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</si>
  <si>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</si>
  <si>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</si>
  <si>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</si>
  <si>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</si>
  <si>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</si>
  <si>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</si>
  <si>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</si>
  <si>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</si>
  <si>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</si>
  <si>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</si>
  <si>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</si>
  <si>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</si>
  <si>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</si>
  <si>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</si>
  <si>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</si>
  <si>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</si>
  <si>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</si>
  <si>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</si>
  <si>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</si>
  <si>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</si>
  <si>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</si>
  <si>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</si>
  <si>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</si>
  <si>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</si>
  <si>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</si>
  <si>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</si>
  <si>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</si>
  <si>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</si>
  <si>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</si>
  <si>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</si>
  <si>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</si>
  <si>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</si>
  <si>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</si>
  <si>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</si>
  <si>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</si>
  <si>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</si>
  <si>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</si>
  <si>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</si>
  <si>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</si>
  <si>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</si>
  <si>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</si>
  <si>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</si>
  <si>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</si>
  <si>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</si>
  <si>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</si>
  <si>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</si>
  <si>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</si>
  <si>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</si>
  <si>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</si>
  <si>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</si>
  <si>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</si>
  <si>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</si>
  <si>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</si>
  <si>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</si>
  <si>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</si>
  <si>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</si>
  <si>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</si>
  <si>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</si>
  <si>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</si>
  <si>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</si>
  <si>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</si>
  <si>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</si>
  <si>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</si>
  <si>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</si>
  <si>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</si>
  <si>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</si>
  <si>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</si>
  <si>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</si>
  <si>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</si>
  <si>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</si>
  <si>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</si>
  <si>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</si>
  <si>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</si>
  <si>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</si>
  <si>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</si>
  <si>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</si>
  <si>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</si>
  <si>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</si>
  <si>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</si>
  <si>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</si>
  <si>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</si>
  <si>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</si>
  <si>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</si>
  <si>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</si>
  <si>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</si>
  <si>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</si>
  <si>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</si>
  <si>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</si>
  <si>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</si>
  <si>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</si>
  <si>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</si>
  <si>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</si>
  <si>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</si>
  <si>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</si>
  <si>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</si>
  <si>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</si>
  <si>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</si>
  <si>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</si>
  <si>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</si>
  <si>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</si>
  <si>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/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</si>
  <si>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</si>
  <si>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</si>
  <si>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</si>
  <si>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</si>
  <si>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</si>
  <si>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</si>
  <si>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</si>
  <si>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</si>
  <si>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</si>
  <si>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</si>
  <si>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</si>
  <si>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</si>
  <si>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</si>
  <si>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</si>
  <si>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</si>
  <si>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</si>
  <si>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</si>
  <si>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</si>
  <si>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</si>
  <si>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</si>
  <si>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</si>
  <si>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</si>
  <si>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</si>
  <si>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</si>
  <si>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</si>
  <si>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</si>
  <si>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</si>
  <si>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</si>
  <si>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</si>
  <si>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</si>
  <si>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</si>
  <si>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</si>
  <si>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</si>
  <si>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</si>
  <si>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</si>
  <si>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</si>
  <si>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</si>
  <si>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</si>
  <si>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</si>
  <si>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</si>
  <si>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</si>
  <si>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</si>
  <si>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</si>
  <si>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</si>
  <si>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</si>
  <si>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</si>
  <si>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</si>
  <si>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</si>
  <si>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</si>
  <si>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</si>
  <si>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</si>
  <si>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</si>
  <si>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</si>
  <si>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</si>
  <si>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</si>
  <si>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</si>
  <si>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</si>
  <si>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</si>
  <si>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</si>
  <si>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</si>
  <si>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https://i.ytimg.com/vi/uPG43VtfVrI/maxresdefault.jpg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</si>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</sst>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7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67" xfId="0" applyFont="1" applyBorder="1"/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3" fontId="1" fillId="0" borderId="71" xfId="0" applyNumberFormat="1" applyFont="1" applyBorder="1"/>
    <xf numFmtId="0" fontId="1" fillId="0" borderId="72" xfId="0" applyFont="1" applyBorder="1"/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3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3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5" xfId="0" applyFont="1" applyFill="1" applyBorder="1" applyAlignment="1">
      <alignment horizontal="center"/>
    </xf>
    <xf numFmtId="3" fontId="6" fillId="2" borderId="74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167" fontId="1" fillId="0" borderId="67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7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8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7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7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68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67"/>
      <tableStyleElement type="pageFieldValues" dxfId="66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6" fmlaRange="PalmonNamesSorted" noThreeD="1" sel="10" val="0"/>
</file>

<file path=xl/ctrlProps/ctrlProp2.xml><?xml version="1.0" encoding="utf-8"?>
<formControlPr xmlns="http://schemas.microsoft.com/office/spreadsheetml/2009/9/main" objectType="Spin" dx="22" fmlaLink="$C$47" max="30" min="1" page="10" val="26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620C05B9-1412-4A3C-BBE2-32BE3CC5E897}" type="doc">
      <dgm:prSet loTypeId="urn:microsoft.com/office/officeart/2005/8/layout/hierarchy2" loCatId="hierarchy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fr-FR"/>
        </a:p>
      </dgm:t>
    </dgm:pt>
    <dgm:pt modelId="{42AF3EF2-3B18-4E68-845F-2D5674AAB998}">
      <dgm:prSet phldrT="[Texte]"/>
      <dgm:spPr/>
      <dgm:t>
        <a:bodyPr/>
        <a:lstStyle/>
        <a:p>
          <a:pPr>
            <a:buNone/>
          </a:pPr>
          <a:r>
            <a:rPr lang="fr-FR" b="0" i="0" u="none"/>
            <a:t>Fire</a:t>
          </a:r>
          <a:endParaRPr lang="fr-FR"/>
        </a:p>
      </dgm:t>
    </dgm:pt>
    <dgm:pt modelId="{DECDC3E7-C8B4-4359-B590-E3592DB9C857}" type="parTrans" cxnId="{61846067-9D18-4BAC-8F2B-DC5243D0F2C4}">
      <dgm:prSet/>
      <dgm:spPr/>
      <dgm:t>
        <a:bodyPr/>
        <a:lstStyle/>
        <a:p>
          <a:endParaRPr lang="fr-FR"/>
        </a:p>
      </dgm:t>
    </dgm:pt>
    <dgm:pt modelId="{A997D84B-FE9A-45C7-8A8F-7EA6BADAFC25}" type="sibTrans" cxnId="{61846067-9D18-4BAC-8F2B-DC5243D0F2C4}">
      <dgm:prSet/>
      <dgm:spPr/>
      <dgm:t>
        <a:bodyPr/>
        <a:lstStyle/>
        <a:p>
          <a:endParaRPr lang="fr-FR"/>
        </a:p>
      </dgm:t>
    </dgm:pt>
    <dgm:pt modelId="{BAF79D47-4F13-4A72-BB94-1ED36224831C}">
      <dgm:prSet/>
      <dgm:spPr/>
      <dgm:t>
        <a:bodyPr/>
        <a:lstStyle/>
        <a:p>
          <a:pPr>
            <a:buNone/>
          </a:pPr>
          <a:r>
            <a:rPr lang="fr-FR" b="0" i="0" u="none"/>
            <a:t>Electricity</a:t>
          </a:r>
          <a:endParaRPr lang="fr-FR"/>
        </a:p>
      </dgm:t>
    </dgm:pt>
    <dgm:pt modelId="{ACCC7D68-BC87-425E-ACA2-360B32A5D5AA}" type="parTrans" cxnId="{CC4B7626-0889-43BB-B740-A94FE515B288}">
      <dgm:prSet/>
      <dgm:spPr/>
      <dgm:t>
        <a:bodyPr/>
        <a:lstStyle/>
        <a:p>
          <a:endParaRPr lang="fr-FR"/>
        </a:p>
      </dgm:t>
    </dgm:pt>
    <dgm:pt modelId="{572735C3-BF09-4D16-A25E-3D73CA871391}" type="sibTrans" cxnId="{CC4B7626-0889-43BB-B740-A94FE515B288}">
      <dgm:prSet/>
      <dgm:spPr/>
      <dgm:t>
        <a:bodyPr/>
        <a:lstStyle/>
        <a:p>
          <a:endParaRPr lang="fr-FR"/>
        </a:p>
      </dgm:t>
    </dgm:pt>
    <dgm:pt modelId="{B188828D-A18B-488D-ACFA-C6AE99ABA04A}">
      <dgm:prSet/>
      <dgm:spPr/>
      <dgm:t>
        <a:bodyPr/>
        <a:lstStyle/>
        <a:p>
          <a:pPr>
            <a:buNone/>
          </a:pPr>
          <a:r>
            <a:rPr lang="fr-FR" b="0" i="0" u="none"/>
            <a:t>Wood</a:t>
          </a:r>
          <a:endParaRPr lang="fr-FR"/>
        </a:p>
      </dgm:t>
    </dgm:pt>
    <dgm:pt modelId="{4AB90137-11BB-47CC-BB10-559E3E97F745}" type="parTrans" cxnId="{459FC130-ACB0-48CB-B5AF-8A1AA889536F}">
      <dgm:prSet/>
      <dgm:spPr/>
      <dgm:t>
        <a:bodyPr/>
        <a:lstStyle/>
        <a:p>
          <a:endParaRPr lang="fr-FR"/>
        </a:p>
      </dgm:t>
    </dgm:pt>
    <dgm:pt modelId="{E5693CD5-86A9-45D0-A1D3-168FB8ED8F26}" type="sibTrans" cxnId="{459FC130-ACB0-48CB-B5AF-8A1AA889536F}">
      <dgm:prSet/>
      <dgm:spPr/>
      <dgm:t>
        <a:bodyPr/>
        <a:lstStyle/>
        <a:p>
          <a:endParaRPr lang="fr-FR"/>
        </a:p>
      </dgm:t>
    </dgm:pt>
    <dgm:pt modelId="{E1AF9DB2-8F4E-41E1-8AEF-1FE1709FCB86}">
      <dgm:prSet/>
      <dgm:spPr/>
      <dgm:t>
        <a:bodyPr/>
        <a:lstStyle/>
        <a:p>
          <a:pPr>
            <a:buNone/>
          </a:pPr>
          <a:r>
            <a:rPr lang="fr-FR" b="0" i="0" u="none"/>
            <a:t>Water</a:t>
          </a:r>
          <a:endParaRPr lang="fr-FR"/>
        </a:p>
      </dgm:t>
    </dgm:pt>
    <dgm:pt modelId="{5F94AEB5-7324-4A93-A491-51A88C516205}" type="parTrans" cxnId="{D2B6FAA3-346C-43C2-BA3A-541842C58FAB}">
      <dgm:prSet/>
      <dgm:spPr/>
      <dgm:t>
        <a:bodyPr/>
        <a:lstStyle/>
        <a:p>
          <a:endParaRPr lang="fr-FR"/>
        </a:p>
      </dgm:t>
    </dgm:pt>
    <dgm:pt modelId="{A2F73825-E916-4538-962E-201968B9CFAE}" type="sibTrans" cxnId="{D2B6FAA3-346C-43C2-BA3A-541842C58FAB}">
      <dgm:prSet/>
      <dgm:spPr/>
      <dgm:t>
        <a:bodyPr/>
        <a:lstStyle/>
        <a:p>
          <a:endParaRPr lang="fr-FR"/>
        </a:p>
      </dgm:t>
    </dgm:pt>
    <dgm:pt modelId="{0C5B9616-2519-4EDF-91AA-1A825705647A}">
      <dgm:prSet phldrT="[Texte]"/>
      <dgm:spPr/>
      <dgm:t>
        <a:bodyPr/>
        <a:lstStyle/>
        <a:p>
          <a:pPr>
            <a:buNone/>
          </a:pPr>
          <a:r>
            <a:rPr lang="fr-FR" b="1" i="0" u="none"/>
            <a:t>Revontulet</a:t>
          </a:r>
          <a:endParaRPr lang="fr-FR"/>
        </a:p>
      </dgm:t>
    </dgm:pt>
    <dgm:pt modelId="{DBAE3184-FEF6-4354-AF95-60016236E311}" type="parTrans" cxnId="{371FC8FC-EBE4-4F37-AD6E-BFDEAB7B29B8}">
      <dgm:prSet/>
      <dgm:spPr/>
      <dgm:t>
        <a:bodyPr/>
        <a:lstStyle/>
        <a:p>
          <a:endParaRPr lang="fr-FR"/>
        </a:p>
      </dgm:t>
    </dgm:pt>
    <dgm:pt modelId="{E6CAD063-617A-4F82-AE05-5FE4D2A093E3}" type="sibTrans" cxnId="{371FC8FC-EBE4-4F37-AD6E-BFDEAB7B29B8}">
      <dgm:prSet/>
      <dgm:spPr/>
      <dgm:t>
        <a:bodyPr/>
        <a:lstStyle/>
        <a:p>
          <a:endParaRPr lang="fr-FR"/>
        </a:p>
      </dgm:t>
    </dgm:pt>
    <dgm:pt modelId="{670E09CB-72CB-477B-9969-8C3F69110651}">
      <dgm:prSet/>
      <dgm:spPr/>
      <dgm:t>
        <a:bodyPr/>
        <a:lstStyle/>
        <a:p>
          <a:pPr>
            <a:buNone/>
          </a:pPr>
          <a:r>
            <a:rPr lang="fr-FR" b="1" i="0" u="none"/>
            <a:t>Hoofrit</a:t>
          </a:r>
          <a:endParaRPr lang="fr-FR"/>
        </a:p>
      </dgm:t>
    </dgm:pt>
    <dgm:pt modelId="{553B575F-8188-4479-9148-86E837394BDE}" type="parTrans" cxnId="{542790EA-866B-400A-A960-BD3E4C2DBFAC}">
      <dgm:prSet/>
      <dgm:spPr/>
      <dgm:t>
        <a:bodyPr/>
        <a:lstStyle/>
        <a:p>
          <a:endParaRPr lang="fr-FR"/>
        </a:p>
      </dgm:t>
    </dgm:pt>
    <dgm:pt modelId="{EF9F6BA9-A715-42B2-A269-664F34D296CA}" type="sibTrans" cxnId="{542790EA-866B-400A-A960-BD3E4C2DBFAC}">
      <dgm:prSet/>
      <dgm:spPr/>
      <dgm:t>
        <a:bodyPr/>
        <a:lstStyle/>
        <a:p>
          <a:endParaRPr lang="fr-FR"/>
        </a:p>
      </dgm:t>
    </dgm:pt>
    <dgm:pt modelId="{43115FF6-8DBF-45A6-A308-B1825B84F198}">
      <dgm:prSet/>
      <dgm:spPr/>
      <dgm:t>
        <a:bodyPr/>
        <a:lstStyle/>
        <a:p>
          <a:pPr>
            <a:buNone/>
          </a:pPr>
          <a:r>
            <a:rPr lang="fr-FR" b="1" i="0" u="none"/>
            <a:t>Magmolin</a:t>
          </a:r>
          <a:endParaRPr lang="fr-FR"/>
        </a:p>
      </dgm:t>
    </dgm:pt>
    <dgm:pt modelId="{43852A73-CD61-4175-9D75-950F52D4021C}" type="parTrans" cxnId="{2204F968-F781-46AB-8847-98FB30CDA272}">
      <dgm:prSet/>
      <dgm:spPr/>
      <dgm:t>
        <a:bodyPr/>
        <a:lstStyle/>
        <a:p>
          <a:endParaRPr lang="fr-FR"/>
        </a:p>
      </dgm:t>
    </dgm:pt>
    <dgm:pt modelId="{F7E87E0F-05C0-4443-A811-9C3484F63741}" type="sibTrans" cxnId="{2204F968-F781-46AB-8847-98FB30CDA272}">
      <dgm:prSet/>
      <dgm:spPr/>
      <dgm:t>
        <a:bodyPr/>
        <a:lstStyle/>
        <a:p>
          <a:endParaRPr lang="fr-FR"/>
        </a:p>
      </dgm:t>
    </dgm:pt>
    <dgm:pt modelId="{F6392E67-B05C-4100-8CB9-2EFC196F901D}">
      <dgm:prSet/>
      <dgm:spPr/>
      <dgm:t>
        <a:bodyPr/>
        <a:lstStyle/>
        <a:p>
          <a:pPr>
            <a:buNone/>
          </a:pPr>
          <a:r>
            <a:rPr lang="fr-FR" b="1" i="0" u="none"/>
            <a:t>Escarffier</a:t>
          </a:r>
          <a:endParaRPr lang="fr-FR"/>
        </a:p>
      </dgm:t>
    </dgm:pt>
    <dgm:pt modelId="{D92D7890-E602-4352-958C-405A71548BE4}" type="parTrans" cxnId="{9D115BE3-C5F2-46EA-988F-5FE1B01F94B7}">
      <dgm:prSet/>
      <dgm:spPr/>
      <dgm:t>
        <a:bodyPr/>
        <a:lstStyle/>
        <a:p>
          <a:endParaRPr lang="fr-FR"/>
        </a:p>
      </dgm:t>
    </dgm:pt>
    <dgm:pt modelId="{E8EC55DA-47FA-4059-A8E7-F7B5D37A5DDC}" type="sibTrans" cxnId="{9D115BE3-C5F2-46EA-988F-5FE1B01F94B7}">
      <dgm:prSet/>
      <dgm:spPr/>
      <dgm:t>
        <a:bodyPr/>
        <a:lstStyle/>
        <a:p>
          <a:endParaRPr lang="fr-FR"/>
        </a:p>
      </dgm:t>
    </dgm:pt>
    <dgm:pt modelId="{1CE93431-8211-4D84-A058-08A41C06B6F4}">
      <dgm:prSet/>
      <dgm:spPr/>
      <dgm:t>
        <a:bodyPr/>
        <a:lstStyle/>
        <a:p>
          <a:pPr>
            <a:buNone/>
          </a:pPr>
          <a:r>
            <a:rPr lang="fr-FR" b="1" i="0" u="none"/>
            <a:t>Blazeal</a:t>
          </a:r>
          <a:endParaRPr lang="fr-FR"/>
        </a:p>
      </dgm:t>
    </dgm:pt>
    <dgm:pt modelId="{03FAD118-7B8B-4900-BEE8-1DA548DE6DC7}" type="parTrans" cxnId="{22D0C4FF-DC0B-4194-A59F-E4611763A53E}">
      <dgm:prSet/>
      <dgm:spPr/>
      <dgm:t>
        <a:bodyPr/>
        <a:lstStyle/>
        <a:p>
          <a:endParaRPr lang="fr-FR"/>
        </a:p>
      </dgm:t>
    </dgm:pt>
    <dgm:pt modelId="{4BBC40BB-E086-4AB7-A989-9E9BEC6C5F12}" type="sibTrans" cxnId="{22D0C4FF-DC0B-4194-A59F-E4611763A53E}">
      <dgm:prSet/>
      <dgm:spPr/>
      <dgm:t>
        <a:bodyPr/>
        <a:lstStyle/>
        <a:p>
          <a:endParaRPr lang="fr-FR"/>
        </a:p>
      </dgm:t>
    </dgm:pt>
    <dgm:pt modelId="{143FAA84-A994-4E60-891B-5C044EF28207}">
      <dgm:prSet/>
      <dgm:spPr/>
      <dgm:t>
        <a:bodyPr/>
        <a:lstStyle/>
        <a:p>
          <a:pPr>
            <a:buNone/>
          </a:pPr>
          <a:r>
            <a:rPr lang="fr-FR" b="1" i="0" u="none"/>
            <a:t>Pipistrigoi</a:t>
          </a:r>
          <a:endParaRPr lang="fr-FR"/>
        </a:p>
      </dgm:t>
    </dgm:pt>
    <dgm:pt modelId="{D71AFC73-427D-459A-919D-BBECD0184BDC}" type="parTrans" cxnId="{C00DB5C1-39AA-4187-A14E-E7FE8D63FA57}">
      <dgm:prSet/>
      <dgm:spPr/>
      <dgm:t>
        <a:bodyPr/>
        <a:lstStyle/>
        <a:p>
          <a:endParaRPr lang="fr-FR"/>
        </a:p>
      </dgm:t>
    </dgm:pt>
    <dgm:pt modelId="{6C6300BF-D9E4-4F0E-91CE-91FAC2D8AF43}" type="sibTrans" cxnId="{C00DB5C1-39AA-4187-A14E-E7FE8D63FA57}">
      <dgm:prSet/>
      <dgm:spPr/>
      <dgm:t>
        <a:bodyPr/>
        <a:lstStyle/>
        <a:p>
          <a:endParaRPr lang="fr-FR"/>
        </a:p>
      </dgm:t>
    </dgm:pt>
    <dgm:pt modelId="{ADCFF1D0-AD6C-47F4-8C0E-6443EF0C15C2}">
      <dgm:prSet/>
      <dgm:spPr/>
      <dgm:t>
        <a:bodyPr/>
        <a:lstStyle/>
        <a:p>
          <a:pPr>
            <a:buNone/>
          </a:pPr>
          <a:r>
            <a:rPr lang="fr-FR" b="1" i="0" u="none"/>
            <a:t>Pyregeist</a:t>
          </a:r>
          <a:endParaRPr lang="fr-FR"/>
        </a:p>
      </dgm:t>
    </dgm:pt>
    <dgm:pt modelId="{5BB0A942-3CA1-4862-8301-F1DD8F890C61}" type="parTrans" cxnId="{C1B96C2A-5A70-477F-9023-118B100FB724}">
      <dgm:prSet/>
      <dgm:spPr/>
      <dgm:t>
        <a:bodyPr/>
        <a:lstStyle/>
        <a:p>
          <a:endParaRPr lang="fr-FR"/>
        </a:p>
      </dgm:t>
    </dgm:pt>
    <dgm:pt modelId="{842AF6BA-73FA-4949-B4DB-6DACE20100D1}" type="sibTrans" cxnId="{C1B96C2A-5A70-477F-9023-118B100FB724}">
      <dgm:prSet/>
      <dgm:spPr/>
      <dgm:t>
        <a:bodyPr/>
        <a:lstStyle/>
        <a:p>
          <a:endParaRPr lang="fr-FR"/>
        </a:p>
      </dgm:t>
    </dgm:pt>
    <dgm:pt modelId="{602D697D-4319-4407-A26A-CE4BED2696E6}">
      <dgm:prSet/>
      <dgm:spPr/>
      <dgm:t>
        <a:bodyPr/>
        <a:lstStyle/>
        <a:p>
          <a:pPr>
            <a:buNone/>
          </a:pPr>
          <a:r>
            <a:rPr lang="fr-FR" b="1" i="0" u="none"/>
            <a:t>Limudroid</a:t>
          </a:r>
          <a:endParaRPr lang="fr-FR"/>
        </a:p>
      </dgm:t>
    </dgm:pt>
    <dgm:pt modelId="{28B14D77-3C8B-4849-9874-E89C3419EA3E}" type="parTrans" cxnId="{E1629236-E215-414C-9993-5E9853DC32EC}">
      <dgm:prSet/>
      <dgm:spPr/>
      <dgm:t>
        <a:bodyPr/>
        <a:lstStyle/>
        <a:p>
          <a:endParaRPr lang="fr-FR"/>
        </a:p>
      </dgm:t>
    </dgm:pt>
    <dgm:pt modelId="{9B1EB862-F958-4A14-B871-8A72CAE19F3C}" type="sibTrans" cxnId="{E1629236-E215-414C-9993-5E9853DC32EC}">
      <dgm:prSet/>
      <dgm:spPr/>
      <dgm:t>
        <a:bodyPr/>
        <a:lstStyle/>
        <a:p>
          <a:endParaRPr lang="fr-FR"/>
        </a:p>
      </dgm:t>
    </dgm:pt>
    <dgm:pt modelId="{8C1A7AAE-8C88-4DA4-BAE1-190C0ABED381}">
      <dgm:prSet/>
      <dgm:spPr/>
      <dgm:t>
        <a:bodyPr/>
        <a:lstStyle/>
        <a:p>
          <a:pPr>
            <a:buNone/>
          </a:pPr>
          <a:r>
            <a:rPr lang="fr-FR" b="1" i="0" u="none"/>
            <a:t>Barkplug</a:t>
          </a:r>
          <a:endParaRPr lang="fr-FR"/>
        </a:p>
      </dgm:t>
    </dgm:pt>
    <dgm:pt modelId="{0CBCD057-B34F-4537-83CA-65A998D38BFC}" type="parTrans" cxnId="{8F981E1D-3562-4255-AD2A-3067EE039E33}">
      <dgm:prSet/>
      <dgm:spPr/>
      <dgm:t>
        <a:bodyPr/>
        <a:lstStyle/>
        <a:p>
          <a:endParaRPr lang="fr-FR"/>
        </a:p>
      </dgm:t>
    </dgm:pt>
    <dgm:pt modelId="{AFF42F14-CD28-4755-92AA-C49A82227F17}" type="sibTrans" cxnId="{8F981E1D-3562-4255-AD2A-3067EE039E33}">
      <dgm:prSet/>
      <dgm:spPr/>
      <dgm:t>
        <a:bodyPr/>
        <a:lstStyle/>
        <a:p>
          <a:endParaRPr lang="fr-FR"/>
        </a:p>
      </dgm:t>
    </dgm:pt>
    <dgm:pt modelId="{F615F225-17B0-40B5-B28F-327700BDC55E}">
      <dgm:prSet/>
      <dgm:spPr/>
      <dgm:t>
        <a:bodyPr/>
        <a:lstStyle/>
        <a:p>
          <a:pPr>
            <a:buNone/>
          </a:pPr>
          <a:r>
            <a:rPr lang="fr-FR" b="1" i="0" u="none"/>
            <a:t>Abuzzinian</a:t>
          </a:r>
          <a:endParaRPr lang="fr-FR"/>
        </a:p>
      </dgm:t>
    </dgm:pt>
    <dgm:pt modelId="{96275FE3-4ADD-4330-9737-2841E56A92D9}" type="parTrans" cxnId="{C4FD6AB0-75C7-4D6E-A234-2D599BBDC899}">
      <dgm:prSet/>
      <dgm:spPr/>
      <dgm:t>
        <a:bodyPr/>
        <a:lstStyle/>
        <a:p>
          <a:endParaRPr lang="fr-FR"/>
        </a:p>
      </dgm:t>
    </dgm:pt>
    <dgm:pt modelId="{3D5A644F-04FD-4FAD-ABC2-4300CDC12202}" type="sibTrans" cxnId="{C4FD6AB0-75C7-4D6E-A234-2D599BBDC899}">
      <dgm:prSet/>
      <dgm:spPr/>
      <dgm:t>
        <a:bodyPr/>
        <a:lstStyle/>
        <a:p>
          <a:endParaRPr lang="fr-FR"/>
        </a:p>
      </dgm:t>
    </dgm:pt>
    <dgm:pt modelId="{AE7BC1A8-D9CC-40D8-B803-571B31EDC0F4}">
      <dgm:prSet/>
      <dgm:spPr/>
      <dgm:t>
        <a:bodyPr/>
        <a:lstStyle/>
        <a:p>
          <a:pPr>
            <a:buNone/>
          </a:pPr>
          <a:r>
            <a:rPr lang="fr-FR" b="1" i="0" u="none"/>
            <a:t>Battereina</a:t>
          </a:r>
          <a:endParaRPr lang="fr-FR"/>
        </a:p>
      </dgm:t>
    </dgm:pt>
    <dgm:pt modelId="{8B8A0996-0C12-4241-A7E8-DBED0DDD9E3C}" type="parTrans" cxnId="{6EA0AB83-E6CF-4F32-9256-20BB9A99F5EC}">
      <dgm:prSet/>
      <dgm:spPr/>
      <dgm:t>
        <a:bodyPr/>
        <a:lstStyle/>
        <a:p>
          <a:endParaRPr lang="fr-FR"/>
        </a:p>
      </dgm:t>
    </dgm:pt>
    <dgm:pt modelId="{86D1BA58-2078-4453-AC17-D168636305A3}" type="sibTrans" cxnId="{6EA0AB83-E6CF-4F32-9256-20BB9A99F5EC}">
      <dgm:prSet/>
      <dgm:spPr/>
      <dgm:t>
        <a:bodyPr/>
        <a:lstStyle/>
        <a:p>
          <a:endParaRPr lang="fr-FR"/>
        </a:p>
      </dgm:t>
    </dgm:pt>
    <dgm:pt modelId="{F1F7BD05-87CB-42EF-AD19-E82B694B2124}">
      <dgm:prSet/>
      <dgm:spPr/>
      <dgm:t>
        <a:bodyPr/>
        <a:lstStyle/>
        <a:p>
          <a:pPr>
            <a:buNone/>
          </a:pPr>
          <a:r>
            <a:rPr lang="fr-FR" b="1" i="0" u="none"/>
            <a:t>Fulgairy</a:t>
          </a:r>
          <a:endParaRPr lang="fr-FR"/>
        </a:p>
      </dgm:t>
    </dgm:pt>
    <dgm:pt modelId="{6FC4A721-320F-49AD-8DDD-24E1109E7335}" type="parTrans" cxnId="{A17E2F3B-4BDB-4D47-BF42-1C15B2C8F404}">
      <dgm:prSet/>
      <dgm:spPr/>
      <dgm:t>
        <a:bodyPr/>
        <a:lstStyle/>
        <a:p>
          <a:endParaRPr lang="fr-FR"/>
        </a:p>
      </dgm:t>
    </dgm:pt>
    <dgm:pt modelId="{7B32BFB1-C8B0-40D0-A4DB-B13B1CAF4FE6}" type="sibTrans" cxnId="{A17E2F3B-4BDB-4D47-BF42-1C15B2C8F404}">
      <dgm:prSet/>
      <dgm:spPr/>
      <dgm:t>
        <a:bodyPr/>
        <a:lstStyle/>
        <a:p>
          <a:endParaRPr lang="fr-FR"/>
        </a:p>
      </dgm:t>
    </dgm:pt>
    <dgm:pt modelId="{BCF07C6E-FD36-40CC-B949-AA0E81507E41}">
      <dgm:prSet/>
      <dgm:spPr/>
      <dgm:t>
        <a:bodyPr/>
        <a:lstStyle/>
        <a:p>
          <a:pPr>
            <a:buNone/>
          </a:pPr>
          <a:r>
            <a:rPr lang="fr-FR" b="1" i="0" u="none"/>
            <a:t>Mantleray</a:t>
          </a:r>
          <a:endParaRPr lang="fr-FR"/>
        </a:p>
      </dgm:t>
    </dgm:pt>
    <dgm:pt modelId="{7D8C7768-E874-4C07-8891-1EAB24B791D7}" type="parTrans" cxnId="{5A6B6478-13F5-41A6-8F23-05EAB79074C4}">
      <dgm:prSet/>
      <dgm:spPr/>
      <dgm:t>
        <a:bodyPr/>
        <a:lstStyle/>
        <a:p>
          <a:endParaRPr lang="fr-FR"/>
        </a:p>
      </dgm:t>
    </dgm:pt>
    <dgm:pt modelId="{B9B0BDEE-B850-46AD-B9E0-1E3EC0618B40}" type="sibTrans" cxnId="{5A6B6478-13F5-41A6-8F23-05EAB79074C4}">
      <dgm:prSet/>
      <dgm:spPr/>
      <dgm:t>
        <a:bodyPr/>
        <a:lstStyle/>
        <a:p>
          <a:endParaRPr lang="fr-FR"/>
        </a:p>
      </dgm:t>
    </dgm:pt>
    <dgm:pt modelId="{558C09B1-C7E7-4BB1-87A2-AE8F304665F6}">
      <dgm:prSet/>
      <dgm:spPr/>
      <dgm:t>
        <a:bodyPr/>
        <a:lstStyle/>
        <a:p>
          <a:pPr>
            <a:buNone/>
          </a:pPr>
          <a:r>
            <a:rPr lang="fr-FR" b="1" i="0" u="none"/>
            <a:t>Thundertooth</a:t>
          </a:r>
          <a:endParaRPr lang="fr-FR"/>
        </a:p>
      </dgm:t>
    </dgm:pt>
    <dgm:pt modelId="{AAA9E15A-946E-4EA6-853A-CE81A5C91315}" type="parTrans" cxnId="{727CF856-381E-45AC-9525-27CC87A44AC8}">
      <dgm:prSet/>
      <dgm:spPr/>
      <dgm:t>
        <a:bodyPr/>
        <a:lstStyle/>
        <a:p>
          <a:endParaRPr lang="fr-FR"/>
        </a:p>
      </dgm:t>
    </dgm:pt>
    <dgm:pt modelId="{68545B94-0847-46AF-B960-5060CA2A0DD9}" type="sibTrans" cxnId="{727CF856-381E-45AC-9525-27CC87A44AC8}">
      <dgm:prSet/>
      <dgm:spPr/>
      <dgm:t>
        <a:bodyPr/>
        <a:lstStyle/>
        <a:p>
          <a:endParaRPr lang="fr-FR"/>
        </a:p>
      </dgm:t>
    </dgm:pt>
    <dgm:pt modelId="{F3D40897-738C-40C5-8428-139826FAAF6E}">
      <dgm:prSet/>
      <dgm:spPr/>
      <dgm:t>
        <a:bodyPr/>
        <a:lstStyle/>
        <a:p>
          <a:pPr>
            <a:buNone/>
          </a:pPr>
          <a:r>
            <a:rPr lang="fr-FR" b="1" i="0" u="none"/>
            <a:t>Ghillant</a:t>
          </a:r>
          <a:endParaRPr lang="fr-FR"/>
        </a:p>
      </dgm:t>
    </dgm:pt>
    <dgm:pt modelId="{98597BCE-A326-4AE0-BABB-917900080182}" type="parTrans" cxnId="{1BDD3E3A-A783-45E1-9EA6-D18BEB075A40}">
      <dgm:prSet/>
      <dgm:spPr/>
      <dgm:t>
        <a:bodyPr/>
        <a:lstStyle/>
        <a:p>
          <a:endParaRPr lang="fr-FR"/>
        </a:p>
      </dgm:t>
    </dgm:pt>
    <dgm:pt modelId="{CFB4D691-D2F7-43B8-9C61-632E6832FAAA}" type="sibTrans" cxnId="{1BDD3E3A-A783-45E1-9EA6-D18BEB075A40}">
      <dgm:prSet/>
      <dgm:spPr/>
      <dgm:t>
        <a:bodyPr/>
        <a:lstStyle/>
        <a:p>
          <a:endParaRPr lang="fr-FR"/>
        </a:p>
      </dgm:t>
    </dgm:pt>
    <dgm:pt modelId="{B35ED5BF-E883-43C3-91F5-14C658F823DA}">
      <dgm:prSet/>
      <dgm:spPr/>
      <dgm:t>
        <a:bodyPr/>
        <a:lstStyle/>
        <a:p>
          <a:pPr>
            <a:buNone/>
          </a:pPr>
          <a:r>
            <a:rPr lang="fr-FR" b="1" i="0" u="none"/>
            <a:t>Woozard</a:t>
          </a:r>
          <a:endParaRPr lang="fr-FR"/>
        </a:p>
      </dgm:t>
    </dgm:pt>
    <dgm:pt modelId="{9C9B5131-0D51-4CCC-B456-4A38C8A54625}" type="parTrans" cxnId="{FD29F4AA-A220-4525-9BB3-52DC130EFF2B}">
      <dgm:prSet/>
      <dgm:spPr/>
      <dgm:t>
        <a:bodyPr/>
        <a:lstStyle/>
        <a:p>
          <a:endParaRPr lang="fr-FR"/>
        </a:p>
      </dgm:t>
    </dgm:pt>
    <dgm:pt modelId="{85BDAD44-9C76-4FD7-95A2-757FC9EF7033}" type="sibTrans" cxnId="{FD29F4AA-A220-4525-9BB3-52DC130EFF2B}">
      <dgm:prSet/>
      <dgm:spPr/>
      <dgm:t>
        <a:bodyPr/>
        <a:lstStyle/>
        <a:p>
          <a:endParaRPr lang="fr-FR"/>
        </a:p>
      </dgm:t>
    </dgm:pt>
    <dgm:pt modelId="{B95720C1-4A24-4142-BED2-7D2CBFF1D478}">
      <dgm:prSet/>
      <dgm:spPr/>
      <dgm:t>
        <a:bodyPr/>
        <a:lstStyle/>
        <a:p>
          <a:pPr>
            <a:buNone/>
          </a:pPr>
          <a:r>
            <a:rPr lang="fr-FR" b="1" i="0" u="none"/>
            <a:t>Statchew</a:t>
          </a:r>
          <a:endParaRPr lang="fr-FR"/>
        </a:p>
      </dgm:t>
    </dgm:pt>
    <dgm:pt modelId="{2D68EF62-7E8F-4884-A401-E9B0E1134E37}" type="parTrans" cxnId="{DD3AF2F7-09B4-403F-91FC-13C72C55F5E9}">
      <dgm:prSet/>
      <dgm:spPr/>
      <dgm:t>
        <a:bodyPr/>
        <a:lstStyle/>
        <a:p>
          <a:endParaRPr lang="fr-FR"/>
        </a:p>
      </dgm:t>
    </dgm:pt>
    <dgm:pt modelId="{8F4B1195-0B6D-46EF-A1E8-C06C8A37DBAD}" type="sibTrans" cxnId="{DD3AF2F7-09B4-403F-91FC-13C72C55F5E9}">
      <dgm:prSet/>
      <dgm:spPr/>
      <dgm:t>
        <a:bodyPr/>
        <a:lstStyle/>
        <a:p>
          <a:endParaRPr lang="fr-FR"/>
        </a:p>
      </dgm:t>
    </dgm:pt>
    <dgm:pt modelId="{932C4982-F2AF-4875-A696-BBDE6BBFD0B3}">
      <dgm:prSet/>
      <dgm:spPr/>
      <dgm:t>
        <a:bodyPr/>
        <a:lstStyle/>
        <a:p>
          <a:pPr>
            <a:buNone/>
          </a:pPr>
          <a:r>
            <a:rPr lang="fr-FR" b="1" i="0" u="none"/>
            <a:t>Surveilynx</a:t>
          </a:r>
          <a:endParaRPr lang="fr-FR"/>
        </a:p>
      </dgm:t>
    </dgm:pt>
    <dgm:pt modelId="{3DB1CB4A-895D-4AF6-A9B4-DE2C32AACB48}" type="parTrans" cxnId="{FAE85271-A8A8-4B5C-B1BC-90957754FF9A}">
      <dgm:prSet/>
      <dgm:spPr/>
      <dgm:t>
        <a:bodyPr/>
        <a:lstStyle/>
        <a:p>
          <a:endParaRPr lang="fr-FR"/>
        </a:p>
      </dgm:t>
    </dgm:pt>
    <dgm:pt modelId="{A7D5E1F1-C4A9-4572-8295-173813913F3D}" type="sibTrans" cxnId="{FAE85271-A8A8-4B5C-B1BC-90957754FF9A}">
      <dgm:prSet/>
      <dgm:spPr/>
      <dgm:t>
        <a:bodyPr/>
        <a:lstStyle/>
        <a:p>
          <a:endParaRPr lang="fr-FR"/>
        </a:p>
      </dgm:t>
    </dgm:pt>
    <dgm:pt modelId="{1997AF31-BC34-4A4E-8175-8B3ABDCA4305}">
      <dgm:prSet/>
      <dgm:spPr/>
      <dgm:t>
        <a:bodyPr/>
        <a:lstStyle/>
        <a:p>
          <a:pPr>
            <a:buNone/>
          </a:pPr>
          <a:r>
            <a:rPr lang="fr-FR" b="1" i="0" u="none"/>
            <a:t>Salamantis</a:t>
          </a:r>
          <a:endParaRPr lang="fr-FR"/>
        </a:p>
      </dgm:t>
    </dgm:pt>
    <dgm:pt modelId="{E0BC0274-643C-4143-82E5-10A77801CDF4}" type="parTrans" cxnId="{AB1E9BE6-566F-44CA-99DA-6B8AD5698532}">
      <dgm:prSet/>
      <dgm:spPr/>
      <dgm:t>
        <a:bodyPr/>
        <a:lstStyle/>
        <a:p>
          <a:endParaRPr lang="fr-FR"/>
        </a:p>
      </dgm:t>
    </dgm:pt>
    <dgm:pt modelId="{C98104F8-8CA6-48F2-8957-2AA30287CC59}" type="sibTrans" cxnId="{AB1E9BE6-566F-44CA-99DA-6B8AD5698532}">
      <dgm:prSet/>
      <dgm:spPr/>
      <dgm:t>
        <a:bodyPr/>
        <a:lstStyle/>
        <a:p>
          <a:endParaRPr lang="fr-FR"/>
        </a:p>
      </dgm:t>
    </dgm:pt>
    <dgm:pt modelId="{9C5C66D9-9601-437A-BB09-4C22132DD0D2}">
      <dgm:prSet/>
      <dgm:spPr/>
      <dgm:t>
        <a:bodyPr/>
        <a:lstStyle/>
        <a:p>
          <a:pPr>
            <a:buNone/>
          </a:pPr>
          <a:r>
            <a:rPr lang="fr-FR" b="1" i="0" u="none"/>
            <a:t>Baboom</a:t>
          </a:r>
          <a:endParaRPr lang="fr-FR"/>
        </a:p>
      </dgm:t>
    </dgm:pt>
    <dgm:pt modelId="{AE5F6832-A87D-4E2B-9887-F9B49FC033EA}" type="parTrans" cxnId="{EB839FED-9FF9-486C-B92D-9CEF1CF98FD7}">
      <dgm:prSet/>
      <dgm:spPr/>
      <dgm:t>
        <a:bodyPr/>
        <a:lstStyle/>
        <a:p>
          <a:endParaRPr lang="fr-FR"/>
        </a:p>
      </dgm:t>
    </dgm:pt>
    <dgm:pt modelId="{C0854A22-5C1F-4E3C-806D-BDF7E2CD89D6}" type="sibTrans" cxnId="{EB839FED-9FF9-486C-B92D-9CEF1CF98FD7}">
      <dgm:prSet/>
      <dgm:spPr/>
      <dgm:t>
        <a:bodyPr/>
        <a:lstStyle/>
        <a:p>
          <a:endParaRPr lang="fr-FR"/>
        </a:p>
      </dgm:t>
    </dgm:pt>
    <dgm:pt modelId="{D1706B56-C6FB-4C4F-A716-1DC21B2DC7AE}">
      <dgm:prSet/>
      <dgm:spPr/>
      <dgm:t>
        <a:bodyPr/>
        <a:lstStyle/>
        <a:p>
          <a:pPr>
            <a:buNone/>
          </a:pPr>
          <a:r>
            <a:rPr lang="fr-FR" b="1" i="0" u="none"/>
            <a:t>Prismalith</a:t>
          </a:r>
          <a:endParaRPr lang="fr-FR"/>
        </a:p>
      </dgm:t>
    </dgm:pt>
    <dgm:pt modelId="{4465EF4D-E25B-40FC-9D30-1517DA1526C8}" type="parTrans" cxnId="{E2A1DAED-EA12-4456-AC2A-FB28A7EED55B}">
      <dgm:prSet/>
      <dgm:spPr/>
      <dgm:t>
        <a:bodyPr/>
        <a:lstStyle/>
        <a:p>
          <a:endParaRPr lang="fr-FR"/>
        </a:p>
      </dgm:t>
    </dgm:pt>
    <dgm:pt modelId="{507BD70D-7EBD-4D7A-B240-4A3D77D197BA}" type="sibTrans" cxnId="{E2A1DAED-EA12-4456-AC2A-FB28A7EED55B}">
      <dgm:prSet/>
      <dgm:spPr/>
      <dgm:t>
        <a:bodyPr/>
        <a:lstStyle/>
        <a:p>
          <a:endParaRPr lang="fr-FR"/>
        </a:p>
      </dgm:t>
    </dgm:pt>
    <dgm:pt modelId="{FB4F03A8-E879-4FA6-9A40-7CFC8C6EFF10}">
      <dgm:prSet/>
      <dgm:spPr/>
      <dgm:t>
        <a:bodyPr/>
        <a:lstStyle/>
        <a:p>
          <a:pPr>
            <a:buNone/>
          </a:pPr>
          <a:r>
            <a:rPr lang="fr-FR" b="1" i="0" u="none"/>
            <a:t>Ninjump</a:t>
          </a:r>
          <a:endParaRPr lang="fr-FR"/>
        </a:p>
      </dgm:t>
    </dgm:pt>
    <dgm:pt modelId="{8BF9D81A-A562-4444-A94F-B6659D820A45}" type="parTrans" cxnId="{73485B0D-9161-4131-A04C-CA7F75895B38}">
      <dgm:prSet/>
      <dgm:spPr/>
      <dgm:t>
        <a:bodyPr/>
        <a:lstStyle/>
        <a:p>
          <a:endParaRPr lang="fr-FR"/>
        </a:p>
      </dgm:t>
    </dgm:pt>
    <dgm:pt modelId="{F4971911-3416-4089-BF46-B5196998CF16}" type="sibTrans" cxnId="{73485B0D-9161-4131-A04C-CA7F75895B38}">
      <dgm:prSet/>
      <dgm:spPr/>
      <dgm:t>
        <a:bodyPr/>
        <a:lstStyle/>
        <a:p>
          <a:endParaRPr lang="fr-FR"/>
        </a:p>
      </dgm:t>
    </dgm:pt>
    <dgm:pt modelId="{DD450C39-C3EF-496D-B793-D0A67458A2E1}">
      <dgm:prSet/>
      <dgm:spPr/>
      <dgm:t>
        <a:bodyPr/>
        <a:lstStyle/>
        <a:p>
          <a:pPr>
            <a:buNone/>
          </a:pPr>
          <a:r>
            <a:rPr lang="fr-FR" b="1" i="0" u="none"/>
            <a:t>Gnashley</a:t>
          </a:r>
          <a:endParaRPr lang="fr-FR"/>
        </a:p>
      </dgm:t>
    </dgm:pt>
    <dgm:pt modelId="{7F56BAE0-F166-4A48-BF86-FF42D9EC0B90}" type="parTrans" cxnId="{3F8E4138-F973-4011-B86B-459C933C8F80}">
      <dgm:prSet/>
      <dgm:spPr/>
      <dgm:t>
        <a:bodyPr/>
        <a:lstStyle/>
        <a:p>
          <a:endParaRPr lang="fr-FR"/>
        </a:p>
      </dgm:t>
    </dgm:pt>
    <dgm:pt modelId="{0CBBF511-1ADF-4300-BAB6-1C4CACF24D92}" type="sibTrans" cxnId="{3F8E4138-F973-4011-B86B-459C933C8F80}">
      <dgm:prSet/>
      <dgm:spPr/>
      <dgm:t>
        <a:bodyPr/>
        <a:lstStyle/>
        <a:p>
          <a:endParaRPr lang="fr-FR"/>
        </a:p>
      </dgm:t>
    </dgm:pt>
    <dgm:pt modelId="{16A3DBC7-1784-4CBE-99F7-F9CBEE004A07}">
      <dgm:prSet/>
      <dgm:spPr/>
      <dgm:t>
        <a:bodyPr/>
        <a:lstStyle/>
        <a:p>
          <a:pPr>
            <a:buNone/>
          </a:pPr>
          <a:r>
            <a:rPr lang="fr-FR" b="1" i="0" u="none"/>
            <a:t>Fingenue</a:t>
          </a:r>
          <a:endParaRPr lang="fr-FR"/>
        </a:p>
      </dgm:t>
    </dgm:pt>
    <dgm:pt modelId="{6A0C19CB-8715-4522-9F5B-40D474C847A8}" type="parTrans" cxnId="{B214422B-3C7B-4BF8-A313-37D3CF706579}">
      <dgm:prSet/>
      <dgm:spPr/>
      <dgm:t>
        <a:bodyPr/>
        <a:lstStyle/>
        <a:p>
          <a:endParaRPr lang="fr-FR"/>
        </a:p>
      </dgm:t>
    </dgm:pt>
    <dgm:pt modelId="{5F9D5D21-C257-4330-817C-EE4EB2B4B050}" type="sibTrans" cxnId="{B214422B-3C7B-4BF8-A313-37D3CF706579}">
      <dgm:prSet/>
      <dgm:spPr/>
      <dgm:t>
        <a:bodyPr/>
        <a:lstStyle/>
        <a:p>
          <a:endParaRPr lang="fr-FR"/>
        </a:p>
      </dgm:t>
    </dgm:pt>
    <dgm:pt modelId="{A01233AA-DBE5-429E-9D2A-C7C799559E5B}">
      <dgm:prSet/>
      <dgm:spPr/>
      <dgm:t>
        <a:bodyPr/>
        <a:lstStyle/>
        <a:p>
          <a:pPr>
            <a:buNone/>
          </a:pPr>
          <a:r>
            <a:rPr lang="fr-FR" b="1" i="0" u="none"/>
            <a:t>Dolphriend</a:t>
          </a:r>
          <a:endParaRPr lang="fr-FR"/>
        </a:p>
      </dgm:t>
    </dgm:pt>
    <dgm:pt modelId="{6547EBC0-DD88-4272-B89C-D14FAB286796}" type="parTrans" cxnId="{6D97511D-798A-4909-86D2-A0DB8D86F694}">
      <dgm:prSet/>
      <dgm:spPr/>
      <dgm:t>
        <a:bodyPr/>
        <a:lstStyle/>
        <a:p>
          <a:endParaRPr lang="fr-FR"/>
        </a:p>
      </dgm:t>
    </dgm:pt>
    <dgm:pt modelId="{FDACA7FF-BDFC-48D5-8F8D-4FD49C38CE4B}" type="sibTrans" cxnId="{6D97511D-798A-4909-86D2-A0DB8D86F694}">
      <dgm:prSet/>
      <dgm:spPr/>
      <dgm:t>
        <a:bodyPr/>
        <a:lstStyle/>
        <a:p>
          <a:endParaRPr lang="fr-FR"/>
        </a:p>
      </dgm:t>
    </dgm:pt>
    <dgm:pt modelId="{74F5E3D5-E431-460B-8A0D-005407678854}">
      <dgm:prSet/>
      <dgm:spPr/>
      <dgm:t>
        <a:bodyPr/>
        <a:lstStyle/>
        <a:p>
          <a:pPr>
            <a:buNone/>
          </a:pPr>
          <a:r>
            <a:rPr lang="fr-FR" b="1" i="0" u="none"/>
            <a:t>Regalion</a:t>
          </a:r>
          <a:endParaRPr lang="fr-FR"/>
        </a:p>
      </dgm:t>
    </dgm:pt>
    <dgm:pt modelId="{C98AAD15-811B-46C7-AA2B-8BAD8311CC05}" type="parTrans" cxnId="{8FB2894C-C446-4F2B-9428-701D27BE9F46}">
      <dgm:prSet/>
      <dgm:spPr/>
      <dgm:t>
        <a:bodyPr/>
        <a:lstStyle/>
        <a:p>
          <a:endParaRPr lang="fr-FR"/>
        </a:p>
      </dgm:t>
    </dgm:pt>
    <dgm:pt modelId="{36E001CD-6F0A-4FC6-B587-96349497E144}" type="sibTrans" cxnId="{8FB2894C-C446-4F2B-9428-701D27BE9F46}">
      <dgm:prSet/>
      <dgm:spPr/>
      <dgm:t>
        <a:bodyPr/>
        <a:lstStyle/>
        <a:p>
          <a:endParaRPr lang="fr-FR"/>
        </a:p>
      </dgm:t>
    </dgm:pt>
    <dgm:pt modelId="{FC27EEA0-63E7-4C42-BDA8-B9E5CA0145CF}">
      <dgm:prSet/>
      <dgm:spPr/>
      <dgm:t>
        <a:bodyPr/>
        <a:lstStyle/>
        <a:p>
          <a:pPr>
            <a:buNone/>
          </a:pPr>
          <a:r>
            <a:rPr lang="fr-FR" b="1" i="0" u="none"/>
            <a:t>Cryovern</a:t>
          </a:r>
          <a:endParaRPr lang="fr-FR"/>
        </a:p>
      </dgm:t>
    </dgm:pt>
    <dgm:pt modelId="{EF1921CC-5649-4EB7-B339-538E04955371}" type="parTrans" cxnId="{D8878C90-7FE6-4627-BA32-5D5DD354BDB9}">
      <dgm:prSet/>
      <dgm:spPr/>
      <dgm:t>
        <a:bodyPr/>
        <a:lstStyle/>
        <a:p>
          <a:endParaRPr lang="fr-FR"/>
        </a:p>
      </dgm:t>
    </dgm:pt>
    <dgm:pt modelId="{EAC02E2A-189A-4450-A2DE-ADDDC3880C92}" type="sibTrans" cxnId="{D8878C90-7FE6-4627-BA32-5D5DD354BDB9}">
      <dgm:prSet/>
      <dgm:spPr/>
      <dgm:t>
        <a:bodyPr/>
        <a:lstStyle/>
        <a:p>
          <a:endParaRPr lang="fr-FR"/>
        </a:p>
      </dgm:t>
    </dgm:pt>
    <dgm:pt modelId="{BCDDDB00-11EC-475E-A002-F9EF1D4D2E02}">
      <dgm:prSet/>
      <dgm:spPr/>
      <dgm:t>
        <a:bodyPr/>
        <a:lstStyle/>
        <a:p>
          <a:pPr>
            <a:buNone/>
          </a:pPr>
          <a:r>
            <a:rPr lang="fr-FR"/>
            <a:t>Lucidina</a:t>
          </a:r>
        </a:p>
      </dgm:t>
    </dgm:pt>
    <dgm:pt modelId="{EB45C0F0-DE70-4528-AFBA-FAD542E57F26}" type="parTrans" cxnId="{4F34C7C9-6D46-4F51-8428-8A5499071B0C}">
      <dgm:prSet/>
      <dgm:spPr/>
      <dgm:t>
        <a:bodyPr/>
        <a:lstStyle/>
        <a:p>
          <a:endParaRPr lang="fr-FR"/>
        </a:p>
      </dgm:t>
    </dgm:pt>
    <dgm:pt modelId="{FF62B5AF-BD0E-48F6-82E8-3711A5C13553}" type="sibTrans" cxnId="{4F34C7C9-6D46-4F51-8428-8A5499071B0C}">
      <dgm:prSet/>
      <dgm:spPr/>
      <dgm:t>
        <a:bodyPr/>
        <a:lstStyle/>
        <a:p>
          <a:endParaRPr lang="fr-FR"/>
        </a:p>
      </dgm:t>
    </dgm:pt>
    <dgm:pt modelId="{CDFEE8C1-0172-49AC-B231-B200526E5B55}">
      <dgm:prSet/>
      <dgm:spPr/>
      <dgm:t>
        <a:bodyPr/>
        <a:lstStyle/>
        <a:p>
          <a:pPr>
            <a:buNone/>
          </a:pPr>
          <a:r>
            <a:rPr lang="fr-FR" b="1" i="0" u="none"/>
            <a:t>Bufonobi</a:t>
          </a:r>
          <a:endParaRPr lang="fr-FR"/>
        </a:p>
      </dgm:t>
    </dgm:pt>
    <dgm:pt modelId="{1FA3D685-F63E-4C83-AE5C-49590ABE88C2}" type="parTrans" cxnId="{BDA4CAF1-7CAB-426E-B18D-38096A757FFB}">
      <dgm:prSet/>
      <dgm:spPr/>
      <dgm:t>
        <a:bodyPr/>
        <a:lstStyle/>
        <a:p>
          <a:endParaRPr lang="fr-FR"/>
        </a:p>
      </dgm:t>
    </dgm:pt>
    <dgm:pt modelId="{B47468ED-C06D-4943-A151-6794675872AF}" type="sibTrans" cxnId="{BDA4CAF1-7CAB-426E-B18D-38096A757FFB}">
      <dgm:prSet/>
      <dgm:spPr/>
      <dgm:t>
        <a:bodyPr/>
        <a:lstStyle/>
        <a:p>
          <a:endParaRPr lang="fr-FR"/>
        </a:p>
      </dgm:t>
    </dgm:pt>
    <dgm:pt modelId="{F1F6A895-3BBB-4C9C-95F7-8DCB221D674B}" type="pres">
      <dgm:prSet presAssocID="{620C05B9-1412-4A3C-BBE2-32BE3CC5E897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3ED283FE-7C4E-4F3B-9542-497825FC6DDC}" type="pres">
      <dgm:prSet presAssocID="{42AF3EF2-3B18-4E68-845F-2D5674AAB998}" presName="root1" presStyleCnt="0"/>
      <dgm:spPr/>
    </dgm:pt>
    <dgm:pt modelId="{2150FCD7-8694-476C-B909-B0DEC85FA402}" type="pres">
      <dgm:prSet presAssocID="{42AF3EF2-3B18-4E68-845F-2D5674AAB998}" presName="LevelOneTextNode" presStyleLbl="node0" presStyleIdx="0" presStyleCnt="4">
        <dgm:presLayoutVars>
          <dgm:chPref val="3"/>
        </dgm:presLayoutVars>
      </dgm:prSet>
      <dgm:spPr/>
    </dgm:pt>
    <dgm:pt modelId="{E043EAFC-A4F5-45EC-B620-BCD23EC3B6EF}" type="pres">
      <dgm:prSet presAssocID="{42AF3EF2-3B18-4E68-845F-2D5674AAB998}" presName="level2hierChild" presStyleCnt="0"/>
      <dgm:spPr/>
    </dgm:pt>
    <dgm:pt modelId="{37649492-0807-4DAA-A1FC-385C0172A419}" type="pres">
      <dgm:prSet presAssocID="{DBAE3184-FEF6-4354-AF95-60016236E311}" presName="conn2-1" presStyleLbl="parChTrans1D2" presStyleIdx="0" presStyleCnt="28"/>
      <dgm:spPr/>
    </dgm:pt>
    <dgm:pt modelId="{A6E3E118-6A0D-4068-862B-0FD7803C62EC}" type="pres">
      <dgm:prSet presAssocID="{DBAE3184-FEF6-4354-AF95-60016236E311}" presName="connTx" presStyleLbl="parChTrans1D2" presStyleIdx="0" presStyleCnt="28"/>
      <dgm:spPr/>
    </dgm:pt>
    <dgm:pt modelId="{41A21614-FFCD-40A2-870E-0960EF2B094D}" type="pres">
      <dgm:prSet presAssocID="{0C5B9616-2519-4EDF-91AA-1A825705647A}" presName="root2" presStyleCnt="0"/>
      <dgm:spPr/>
    </dgm:pt>
    <dgm:pt modelId="{C37F543F-7DAC-4C06-906B-C0AEF497320D}" type="pres">
      <dgm:prSet presAssocID="{0C5B9616-2519-4EDF-91AA-1A825705647A}" presName="LevelTwoTextNode" presStyleLbl="node2" presStyleIdx="0" presStyleCnt="28">
        <dgm:presLayoutVars>
          <dgm:chPref val="3"/>
        </dgm:presLayoutVars>
      </dgm:prSet>
      <dgm:spPr/>
    </dgm:pt>
    <dgm:pt modelId="{896DB79B-285A-48E0-BDD4-446B93C326F6}" type="pres">
      <dgm:prSet presAssocID="{0C5B9616-2519-4EDF-91AA-1A825705647A}" presName="level3hierChild" presStyleCnt="0"/>
      <dgm:spPr/>
    </dgm:pt>
    <dgm:pt modelId="{F8D5E279-E72F-403F-8D28-F68B527EAB7A}" type="pres">
      <dgm:prSet presAssocID="{553B575F-8188-4479-9148-86E837394BDE}" presName="conn2-1" presStyleLbl="parChTrans1D2" presStyleIdx="1" presStyleCnt="28"/>
      <dgm:spPr/>
    </dgm:pt>
    <dgm:pt modelId="{08DBB156-471C-4F61-915E-D9D6D4FBBD49}" type="pres">
      <dgm:prSet presAssocID="{553B575F-8188-4479-9148-86E837394BDE}" presName="connTx" presStyleLbl="parChTrans1D2" presStyleIdx="1" presStyleCnt="28"/>
      <dgm:spPr/>
    </dgm:pt>
    <dgm:pt modelId="{417383E9-B642-436B-A831-DB71FF1D5D17}" type="pres">
      <dgm:prSet presAssocID="{670E09CB-72CB-477B-9969-8C3F69110651}" presName="root2" presStyleCnt="0"/>
      <dgm:spPr/>
    </dgm:pt>
    <dgm:pt modelId="{266F5ECF-8CF5-4991-B634-7CAC99E3C9BF}" type="pres">
      <dgm:prSet presAssocID="{670E09CB-72CB-477B-9969-8C3F69110651}" presName="LevelTwoTextNode" presStyleLbl="node2" presStyleIdx="1" presStyleCnt="28">
        <dgm:presLayoutVars>
          <dgm:chPref val="3"/>
        </dgm:presLayoutVars>
      </dgm:prSet>
      <dgm:spPr/>
    </dgm:pt>
    <dgm:pt modelId="{ACFF9046-5C7F-4649-AA23-D076BD461FF2}" type="pres">
      <dgm:prSet presAssocID="{670E09CB-72CB-477B-9969-8C3F69110651}" presName="level3hierChild" presStyleCnt="0"/>
      <dgm:spPr/>
    </dgm:pt>
    <dgm:pt modelId="{063E61FA-CEF8-4521-8CFD-5AE4CCA157F7}" type="pres">
      <dgm:prSet presAssocID="{43852A73-CD61-4175-9D75-950F52D4021C}" presName="conn2-1" presStyleLbl="parChTrans1D2" presStyleIdx="2" presStyleCnt="28"/>
      <dgm:spPr/>
    </dgm:pt>
    <dgm:pt modelId="{C46D06D3-9BE7-4D17-9F9D-EF654AA83011}" type="pres">
      <dgm:prSet presAssocID="{43852A73-CD61-4175-9D75-950F52D4021C}" presName="connTx" presStyleLbl="parChTrans1D2" presStyleIdx="2" presStyleCnt="28"/>
      <dgm:spPr/>
    </dgm:pt>
    <dgm:pt modelId="{B40638EF-00D4-4C94-8B73-93E8A0CD30E4}" type="pres">
      <dgm:prSet presAssocID="{43115FF6-8DBF-45A6-A308-B1825B84F198}" presName="root2" presStyleCnt="0"/>
      <dgm:spPr/>
    </dgm:pt>
    <dgm:pt modelId="{5125E5A4-6FE4-4B22-806A-103EA9965922}" type="pres">
      <dgm:prSet presAssocID="{43115FF6-8DBF-45A6-A308-B1825B84F198}" presName="LevelTwoTextNode" presStyleLbl="node2" presStyleIdx="2" presStyleCnt="28">
        <dgm:presLayoutVars>
          <dgm:chPref val="3"/>
        </dgm:presLayoutVars>
      </dgm:prSet>
      <dgm:spPr/>
    </dgm:pt>
    <dgm:pt modelId="{52E01D17-E2BE-4B90-ADC9-A50C55BF781A}" type="pres">
      <dgm:prSet presAssocID="{43115FF6-8DBF-45A6-A308-B1825B84F198}" presName="level3hierChild" presStyleCnt="0"/>
      <dgm:spPr/>
    </dgm:pt>
    <dgm:pt modelId="{D0460D58-A9D1-49EF-B8FD-EB3735BD0120}" type="pres">
      <dgm:prSet presAssocID="{D92D7890-E602-4352-958C-405A71548BE4}" presName="conn2-1" presStyleLbl="parChTrans1D2" presStyleIdx="3" presStyleCnt="28"/>
      <dgm:spPr/>
    </dgm:pt>
    <dgm:pt modelId="{1FDAE32B-8416-4C4B-B28B-3C4169D2BC17}" type="pres">
      <dgm:prSet presAssocID="{D92D7890-E602-4352-958C-405A71548BE4}" presName="connTx" presStyleLbl="parChTrans1D2" presStyleIdx="3" presStyleCnt="28"/>
      <dgm:spPr/>
    </dgm:pt>
    <dgm:pt modelId="{B6FD510D-4B0C-46FD-B7E9-D06FE9BDB52C}" type="pres">
      <dgm:prSet presAssocID="{F6392E67-B05C-4100-8CB9-2EFC196F901D}" presName="root2" presStyleCnt="0"/>
      <dgm:spPr/>
    </dgm:pt>
    <dgm:pt modelId="{D16F1C38-5627-40D5-B02E-DD2B0CD57050}" type="pres">
      <dgm:prSet presAssocID="{F6392E67-B05C-4100-8CB9-2EFC196F901D}" presName="LevelTwoTextNode" presStyleLbl="node2" presStyleIdx="3" presStyleCnt="28">
        <dgm:presLayoutVars>
          <dgm:chPref val="3"/>
        </dgm:presLayoutVars>
      </dgm:prSet>
      <dgm:spPr/>
    </dgm:pt>
    <dgm:pt modelId="{01E0C5FB-0C0D-41BB-A606-1E4DE284AD6D}" type="pres">
      <dgm:prSet presAssocID="{F6392E67-B05C-4100-8CB9-2EFC196F901D}" presName="level3hierChild" presStyleCnt="0"/>
      <dgm:spPr/>
    </dgm:pt>
    <dgm:pt modelId="{63EFAA04-7853-414D-88F6-EBDB95D6A25E}" type="pres">
      <dgm:prSet presAssocID="{03FAD118-7B8B-4900-BEE8-1DA548DE6DC7}" presName="conn2-1" presStyleLbl="parChTrans1D2" presStyleIdx="4" presStyleCnt="28"/>
      <dgm:spPr/>
    </dgm:pt>
    <dgm:pt modelId="{81AA7102-DC71-4050-9EA4-165D00A64EF7}" type="pres">
      <dgm:prSet presAssocID="{03FAD118-7B8B-4900-BEE8-1DA548DE6DC7}" presName="connTx" presStyleLbl="parChTrans1D2" presStyleIdx="4" presStyleCnt="28"/>
      <dgm:spPr/>
    </dgm:pt>
    <dgm:pt modelId="{FB7690C7-DAC2-4EA6-BAA3-63DB89663493}" type="pres">
      <dgm:prSet presAssocID="{1CE93431-8211-4D84-A058-08A41C06B6F4}" presName="root2" presStyleCnt="0"/>
      <dgm:spPr/>
    </dgm:pt>
    <dgm:pt modelId="{6813FEC5-A739-460B-95A2-953E490441B9}" type="pres">
      <dgm:prSet presAssocID="{1CE93431-8211-4D84-A058-08A41C06B6F4}" presName="LevelTwoTextNode" presStyleLbl="node2" presStyleIdx="4" presStyleCnt="28">
        <dgm:presLayoutVars>
          <dgm:chPref val="3"/>
        </dgm:presLayoutVars>
      </dgm:prSet>
      <dgm:spPr/>
    </dgm:pt>
    <dgm:pt modelId="{B6C61B92-958F-4D20-9107-45E9AABDC758}" type="pres">
      <dgm:prSet presAssocID="{1CE93431-8211-4D84-A058-08A41C06B6F4}" presName="level3hierChild" presStyleCnt="0"/>
      <dgm:spPr/>
    </dgm:pt>
    <dgm:pt modelId="{9DB8C709-7DD6-47E9-B922-587212426417}" type="pres">
      <dgm:prSet presAssocID="{D71AFC73-427D-459A-919D-BBECD0184BDC}" presName="conn2-1" presStyleLbl="parChTrans1D2" presStyleIdx="5" presStyleCnt="28"/>
      <dgm:spPr/>
    </dgm:pt>
    <dgm:pt modelId="{67A1DB84-BB43-4531-840A-ECAC997DE604}" type="pres">
      <dgm:prSet presAssocID="{D71AFC73-427D-459A-919D-BBECD0184BDC}" presName="connTx" presStyleLbl="parChTrans1D2" presStyleIdx="5" presStyleCnt="28"/>
      <dgm:spPr/>
    </dgm:pt>
    <dgm:pt modelId="{626EC0C9-2D2C-4DB5-813E-7B0BCC063035}" type="pres">
      <dgm:prSet presAssocID="{143FAA84-A994-4E60-891B-5C044EF28207}" presName="root2" presStyleCnt="0"/>
      <dgm:spPr/>
    </dgm:pt>
    <dgm:pt modelId="{6858253D-A1F2-411C-B09B-674CDFD2004A}" type="pres">
      <dgm:prSet presAssocID="{143FAA84-A994-4E60-891B-5C044EF28207}" presName="LevelTwoTextNode" presStyleLbl="node2" presStyleIdx="5" presStyleCnt="28">
        <dgm:presLayoutVars>
          <dgm:chPref val="3"/>
        </dgm:presLayoutVars>
      </dgm:prSet>
      <dgm:spPr/>
    </dgm:pt>
    <dgm:pt modelId="{6D475760-CCA6-4AA2-B3E0-37BEB53A3A02}" type="pres">
      <dgm:prSet presAssocID="{143FAA84-A994-4E60-891B-5C044EF28207}" presName="level3hierChild" presStyleCnt="0"/>
      <dgm:spPr/>
    </dgm:pt>
    <dgm:pt modelId="{20A0E67C-E8F1-4C28-A9A8-F8553F48C3C5}" type="pres">
      <dgm:prSet presAssocID="{5BB0A942-3CA1-4862-8301-F1DD8F890C61}" presName="conn2-1" presStyleLbl="parChTrans1D2" presStyleIdx="6" presStyleCnt="28"/>
      <dgm:spPr/>
    </dgm:pt>
    <dgm:pt modelId="{76F5B875-D613-4961-BA23-C1A4C4E9E8F1}" type="pres">
      <dgm:prSet presAssocID="{5BB0A942-3CA1-4862-8301-F1DD8F890C61}" presName="connTx" presStyleLbl="parChTrans1D2" presStyleIdx="6" presStyleCnt="28"/>
      <dgm:spPr/>
    </dgm:pt>
    <dgm:pt modelId="{1F49445D-11C6-43C0-BE7F-43A1D0DAFAB9}" type="pres">
      <dgm:prSet presAssocID="{ADCFF1D0-AD6C-47F4-8C0E-6443EF0C15C2}" presName="root2" presStyleCnt="0"/>
      <dgm:spPr/>
    </dgm:pt>
    <dgm:pt modelId="{B9E69C17-81F3-449D-A4DA-1EA2D09AD30B}" type="pres">
      <dgm:prSet presAssocID="{ADCFF1D0-AD6C-47F4-8C0E-6443EF0C15C2}" presName="LevelTwoTextNode" presStyleLbl="node2" presStyleIdx="6" presStyleCnt="28">
        <dgm:presLayoutVars>
          <dgm:chPref val="3"/>
        </dgm:presLayoutVars>
      </dgm:prSet>
      <dgm:spPr/>
    </dgm:pt>
    <dgm:pt modelId="{61F93634-8FFE-44C2-905E-40AB342CD847}" type="pres">
      <dgm:prSet presAssocID="{ADCFF1D0-AD6C-47F4-8C0E-6443EF0C15C2}" presName="level3hierChild" presStyleCnt="0"/>
      <dgm:spPr/>
    </dgm:pt>
    <dgm:pt modelId="{BFAFC52D-67D1-4DB6-81A3-FDB7F59D2EFC}" type="pres">
      <dgm:prSet presAssocID="{BAF79D47-4F13-4A72-BB94-1ED36224831C}" presName="root1" presStyleCnt="0"/>
      <dgm:spPr/>
    </dgm:pt>
    <dgm:pt modelId="{678D262F-164C-4380-941B-1730F9ACF153}" type="pres">
      <dgm:prSet presAssocID="{BAF79D47-4F13-4A72-BB94-1ED36224831C}" presName="LevelOneTextNode" presStyleLbl="node0" presStyleIdx="1" presStyleCnt="4">
        <dgm:presLayoutVars>
          <dgm:chPref val="3"/>
        </dgm:presLayoutVars>
      </dgm:prSet>
      <dgm:spPr/>
    </dgm:pt>
    <dgm:pt modelId="{A3CEE4A3-5ECB-45D4-B68F-E43189911BD5}" type="pres">
      <dgm:prSet presAssocID="{BAF79D47-4F13-4A72-BB94-1ED36224831C}" presName="level2hierChild" presStyleCnt="0"/>
      <dgm:spPr/>
    </dgm:pt>
    <dgm:pt modelId="{F315D1C0-E154-4CD0-AC7C-3DBEFAEBA42A}" type="pres">
      <dgm:prSet presAssocID="{28B14D77-3C8B-4849-9874-E89C3419EA3E}" presName="conn2-1" presStyleLbl="parChTrans1D2" presStyleIdx="7" presStyleCnt="28"/>
      <dgm:spPr/>
    </dgm:pt>
    <dgm:pt modelId="{2B4F6192-790D-47FC-8D89-DA775C3BB1D6}" type="pres">
      <dgm:prSet presAssocID="{28B14D77-3C8B-4849-9874-E89C3419EA3E}" presName="connTx" presStyleLbl="parChTrans1D2" presStyleIdx="7" presStyleCnt="28"/>
      <dgm:spPr/>
    </dgm:pt>
    <dgm:pt modelId="{37AE2F92-0853-4B87-8DC2-A11946761D75}" type="pres">
      <dgm:prSet presAssocID="{602D697D-4319-4407-A26A-CE4BED2696E6}" presName="root2" presStyleCnt="0"/>
      <dgm:spPr/>
    </dgm:pt>
    <dgm:pt modelId="{DDB04051-105A-4ACD-AED0-6EF6809053DE}" type="pres">
      <dgm:prSet presAssocID="{602D697D-4319-4407-A26A-CE4BED2696E6}" presName="LevelTwoTextNode" presStyleLbl="node2" presStyleIdx="7" presStyleCnt="28">
        <dgm:presLayoutVars>
          <dgm:chPref val="3"/>
        </dgm:presLayoutVars>
      </dgm:prSet>
      <dgm:spPr/>
    </dgm:pt>
    <dgm:pt modelId="{9DFDED03-20C4-4EB7-93F7-A060901DA5D4}" type="pres">
      <dgm:prSet presAssocID="{602D697D-4319-4407-A26A-CE4BED2696E6}" presName="level3hierChild" presStyleCnt="0"/>
      <dgm:spPr/>
    </dgm:pt>
    <dgm:pt modelId="{D2A279FE-7B5A-4D80-9D91-08C4C64E4539}" type="pres">
      <dgm:prSet presAssocID="{0CBCD057-B34F-4537-83CA-65A998D38BFC}" presName="conn2-1" presStyleLbl="parChTrans1D2" presStyleIdx="8" presStyleCnt="28"/>
      <dgm:spPr/>
    </dgm:pt>
    <dgm:pt modelId="{F243EEEC-040E-4587-A9E4-F5F7C7975677}" type="pres">
      <dgm:prSet presAssocID="{0CBCD057-B34F-4537-83CA-65A998D38BFC}" presName="connTx" presStyleLbl="parChTrans1D2" presStyleIdx="8" presStyleCnt="28"/>
      <dgm:spPr/>
    </dgm:pt>
    <dgm:pt modelId="{3AD56551-30B3-4BE0-AF1E-C70299E18AEC}" type="pres">
      <dgm:prSet presAssocID="{8C1A7AAE-8C88-4DA4-BAE1-190C0ABED381}" presName="root2" presStyleCnt="0"/>
      <dgm:spPr/>
    </dgm:pt>
    <dgm:pt modelId="{FD34F33E-E8CB-4736-861E-E8FDFD074505}" type="pres">
      <dgm:prSet presAssocID="{8C1A7AAE-8C88-4DA4-BAE1-190C0ABED381}" presName="LevelTwoTextNode" presStyleLbl="node2" presStyleIdx="8" presStyleCnt="28">
        <dgm:presLayoutVars>
          <dgm:chPref val="3"/>
        </dgm:presLayoutVars>
      </dgm:prSet>
      <dgm:spPr/>
    </dgm:pt>
    <dgm:pt modelId="{A77E1557-2924-4F3D-A002-23FA2C71E7B0}" type="pres">
      <dgm:prSet presAssocID="{8C1A7AAE-8C88-4DA4-BAE1-190C0ABED381}" presName="level3hierChild" presStyleCnt="0"/>
      <dgm:spPr/>
    </dgm:pt>
    <dgm:pt modelId="{86399885-C50F-4F4C-9493-7D17643A22F7}" type="pres">
      <dgm:prSet presAssocID="{96275FE3-4ADD-4330-9737-2841E56A92D9}" presName="conn2-1" presStyleLbl="parChTrans1D2" presStyleIdx="9" presStyleCnt="28"/>
      <dgm:spPr/>
    </dgm:pt>
    <dgm:pt modelId="{683EDD76-850E-42F5-B1EB-69E5840CEEAE}" type="pres">
      <dgm:prSet presAssocID="{96275FE3-4ADD-4330-9737-2841E56A92D9}" presName="connTx" presStyleLbl="parChTrans1D2" presStyleIdx="9" presStyleCnt="28"/>
      <dgm:spPr/>
    </dgm:pt>
    <dgm:pt modelId="{FD639FE5-6425-4475-91BB-180EDB901E85}" type="pres">
      <dgm:prSet presAssocID="{F615F225-17B0-40B5-B28F-327700BDC55E}" presName="root2" presStyleCnt="0"/>
      <dgm:spPr/>
    </dgm:pt>
    <dgm:pt modelId="{B874081D-D790-4AC1-A69E-E74970FF6A80}" type="pres">
      <dgm:prSet presAssocID="{F615F225-17B0-40B5-B28F-327700BDC55E}" presName="LevelTwoTextNode" presStyleLbl="node2" presStyleIdx="9" presStyleCnt="28">
        <dgm:presLayoutVars>
          <dgm:chPref val="3"/>
        </dgm:presLayoutVars>
      </dgm:prSet>
      <dgm:spPr/>
    </dgm:pt>
    <dgm:pt modelId="{6385B79C-2F98-43EB-A262-5701EB79A329}" type="pres">
      <dgm:prSet presAssocID="{F615F225-17B0-40B5-B28F-327700BDC55E}" presName="level3hierChild" presStyleCnt="0"/>
      <dgm:spPr/>
    </dgm:pt>
    <dgm:pt modelId="{95807270-7013-40B6-AA1E-140716AE3D46}" type="pres">
      <dgm:prSet presAssocID="{8B8A0996-0C12-4241-A7E8-DBED0DDD9E3C}" presName="conn2-1" presStyleLbl="parChTrans1D2" presStyleIdx="10" presStyleCnt="28"/>
      <dgm:spPr/>
    </dgm:pt>
    <dgm:pt modelId="{DDA9B393-B42E-4980-A456-FE1FF381E038}" type="pres">
      <dgm:prSet presAssocID="{8B8A0996-0C12-4241-A7E8-DBED0DDD9E3C}" presName="connTx" presStyleLbl="parChTrans1D2" presStyleIdx="10" presStyleCnt="28"/>
      <dgm:spPr/>
    </dgm:pt>
    <dgm:pt modelId="{F54990A4-612B-4F0E-A304-D31A96465271}" type="pres">
      <dgm:prSet presAssocID="{AE7BC1A8-D9CC-40D8-B803-571B31EDC0F4}" presName="root2" presStyleCnt="0"/>
      <dgm:spPr/>
    </dgm:pt>
    <dgm:pt modelId="{A9FEF00A-8135-4014-B3CB-13737BC565CE}" type="pres">
      <dgm:prSet presAssocID="{AE7BC1A8-D9CC-40D8-B803-571B31EDC0F4}" presName="LevelTwoTextNode" presStyleLbl="node2" presStyleIdx="10" presStyleCnt="28">
        <dgm:presLayoutVars>
          <dgm:chPref val="3"/>
        </dgm:presLayoutVars>
      </dgm:prSet>
      <dgm:spPr/>
    </dgm:pt>
    <dgm:pt modelId="{FA83F8DB-8D52-470B-B2E1-EEFE093D2C96}" type="pres">
      <dgm:prSet presAssocID="{AE7BC1A8-D9CC-40D8-B803-571B31EDC0F4}" presName="level3hierChild" presStyleCnt="0"/>
      <dgm:spPr/>
    </dgm:pt>
    <dgm:pt modelId="{6F1A86B1-8869-4F92-9FF9-462909AF8AA6}" type="pres">
      <dgm:prSet presAssocID="{6FC4A721-320F-49AD-8DDD-24E1109E7335}" presName="conn2-1" presStyleLbl="parChTrans1D2" presStyleIdx="11" presStyleCnt="28"/>
      <dgm:spPr/>
    </dgm:pt>
    <dgm:pt modelId="{AC8AB2C7-0261-4CC7-9B34-9DD9822C3283}" type="pres">
      <dgm:prSet presAssocID="{6FC4A721-320F-49AD-8DDD-24E1109E7335}" presName="connTx" presStyleLbl="parChTrans1D2" presStyleIdx="11" presStyleCnt="28"/>
      <dgm:spPr/>
    </dgm:pt>
    <dgm:pt modelId="{24C9B97A-F89A-4C5C-8A36-6A29AD850D91}" type="pres">
      <dgm:prSet presAssocID="{F1F7BD05-87CB-42EF-AD19-E82B694B2124}" presName="root2" presStyleCnt="0"/>
      <dgm:spPr/>
    </dgm:pt>
    <dgm:pt modelId="{0CC2E8BF-CD0A-4E67-996F-CDD2C3B78E4B}" type="pres">
      <dgm:prSet presAssocID="{F1F7BD05-87CB-42EF-AD19-E82B694B2124}" presName="LevelTwoTextNode" presStyleLbl="node2" presStyleIdx="11" presStyleCnt="28">
        <dgm:presLayoutVars>
          <dgm:chPref val="3"/>
        </dgm:presLayoutVars>
      </dgm:prSet>
      <dgm:spPr/>
    </dgm:pt>
    <dgm:pt modelId="{A63736D1-292A-4860-8E7D-2C62DD2DBDAA}" type="pres">
      <dgm:prSet presAssocID="{F1F7BD05-87CB-42EF-AD19-E82B694B2124}" presName="level3hierChild" presStyleCnt="0"/>
      <dgm:spPr/>
    </dgm:pt>
    <dgm:pt modelId="{19FB77F6-1F0E-4D69-B215-0740B78883E1}" type="pres">
      <dgm:prSet presAssocID="{7D8C7768-E874-4C07-8891-1EAB24B791D7}" presName="conn2-1" presStyleLbl="parChTrans1D2" presStyleIdx="12" presStyleCnt="28"/>
      <dgm:spPr/>
    </dgm:pt>
    <dgm:pt modelId="{7FD6E0B5-9EC5-47E8-9AA6-014C2B8C65CF}" type="pres">
      <dgm:prSet presAssocID="{7D8C7768-E874-4C07-8891-1EAB24B791D7}" presName="connTx" presStyleLbl="parChTrans1D2" presStyleIdx="12" presStyleCnt="28"/>
      <dgm:spPr/>
    </dgm:pt>
    <dgm:pt modelId="{AE60F601-73C3-4A35-A3EF-7DD6497CC680}" type="pres">
      <dgm:prSet presAssocID="{BCF07C6E-FD36-40CC-B949-AA0E81507E41}" presName="root2" presStyleCnt="0"/>
      <dgm:spPr/>
    </dgm:pt>
    <dgm:pt modelId="{6E09F1DB-4CB0-442D-A53C-566EF5087851}" type="pres">
      <dgm:prSet presAssocID="{BCF07C6E-FD36-40CC-B949-AA0E81507E41}" presName="LevelTwoTextNode" presStyleLbl="node2" presStyleIdx="12" presStyleCnt="28">
        <dgm:presLayoutVars>
          <dgm:chPref val="3"/>
        </dgm:presLayoutVars>
      </dgm:prSet>
      <dgm:spPr/>
    </dgm:pt>
    <dgm:pt modelId="{41DD51E6-3C11-4B82-8DA8-04CEDF764324}" type="pres">
      <dgm:prSet presAssocID="{BCF07C6E-FD36-40CC-B949-AA0E81507E41}" presName="level3hierChild" presStyleCnt="0"/>
      <dgm:spPr/>
    </dgm:pt>
    <dgm:pt modelId="{A5CB59BC-856F-47A8-9BB2-825363D884A6}" type="pres">
      <dgm:prSet presAssocID="{AAA9E15A-946E-4EA6-853A-CE81A5C91315}" presName="conn2-1" presStyleLbl="parChTrans1D2" presStyleIdx="13" presStyleCnt="28"/>
      <dgm:spPr/>
    </dgm:pt>
    <dgm:pt modelId="{9D13F18C-364E-4E44-868A-8D061A6CB315}" type="pres">
      <dgm:prSet presAssocID="{AAA9E15A-946E-4EA6-853A-CE81A5C91315}" presName="connTx" presStyleLbl="parChTrans1D2" presStyleIdx="13" presStyleCnt="28"/>
      <dgm:spPr/>
    </dgm:pt>
    <dgm:pt modelId="{19E8365F-341E-44EE-8396-49ADD6B184EB}" type="pres">
      <dgm:prSet presAssocID="{558C09B1-C7E7-4BB1-87A2-AE8F304665F6}" presName="root2" presStyleCnt="0"/>
      <dgm:spPr/>
    </dgm:pt>
    <dgm:pt modelId="{E9730263-B09E-413A-A1D3-5C408712ABE4}" type="pres">
      <dgm:prSet presAssocID="{558C09B1-C7E7-4BB1-87A2-AE8F304665F6}" presName="LevelTwoTextNode" presStyleLbl="node2" presStyleIdx="13" presStyleCnt="28">
        <dgm:presLayoutVars>
          <dgm:chPref val="3"/>
        </dgm:presLayoutVars>
      </dgm:prSet>
      <dgm:spPr/>
    </dgm:pt>
    <dgm:pt modelId="{7ACE9887-6FF9-4500-BB38-BD1BC292A68B}" type="pres">
      <dgm:prSet presAssocID="{558C09B1-C7E7-4BB1-87A2-AE8F304665F6}" presName="level3hierChild" presStyleCnt="0"/>
      <dgm:spPr/>
    </dgm:pt>
    <dgm:pt modelId="{FA6FE610-A454-4460-85FD-FEA6A981329D}" type="pres">
      <dgm:prSet presAssocID="{B188828D-A18B-488D-ACFA-C6AE99ABA04A}" presName="root1" presStyleCnt="0"/>
      <dgm:spPr/>
    </dgm:pt>
    <dgm:pt modelId="{9BBFE5E3-2759-4932-8C45-067B3D3B469C}" type="pres">
      <dgm:prSet presAssocID="{B188828D-A18B-488D-ACFA-C6AE99ABA04A}" presName="LevelOneTextNode" presStyleLbl="node0" presStyleIdx="2" presStyleCnt="4">
        <dgm:presLayoutVars>
          <dgm:chPref val="3"/>
        </dgm:presLayoutVars>
      </dgm:prSet>
      <dgm:spPr/>
    </dgm:pt>
    <dgm:pt modelId="{93E10360-EDA2-4865-A3E1-6CB0B17A411B}" type="pres">
      <dgm:prSet presAssocID="{B188828D-A18B-488D-ACFA-C6AE99ABA04A}" presName="level2hierChild" presStyleCnt="0"/>
      <dgm:spPr/>
    </dgm:pt>
    <dgm:pt modelId="{573EA159-A9E7-480D-B0C3-FF048E19B68F}" type="pres">
      <dgm:prSet presAssocID="{98597BCE-A326-4AE0-BABB-917900080182}" presName="conn2-1" presStyleLbl="parChTrans1D2" presStyleIdx="14" presStyleCnt="28"/>
      <dgm:spPr/>
    </dgm:pt>
    <dgm:pt modelId="{7DF82066-9CA7-4B92-94DF-872B4F89F54D}" type="pres">
      <dgm:prSet presAssocID="{98597BCE-A326-4AE0-BABB-917900080182}" presName="connTx" presStyleLbl="parChTrans1D2" presStyleIdx="14" presStyleCnt="28"/>
      <dgm:spPr/>
    </dgm:pt>
    <dgm:pt modelId="{B12D74AF-B8B0-4B72-A837-A54762875439}" type="pres">
      <dgm:prSet presAssocID="{F3D40897-738C-40C5-8428-139826FAAF6E}" presName="root2" presStyleCnt="0"/>
      <dgm:spPr/>
    </dgm:pt>
    <dgm:pt modelId="{DD0BB8C7-1A4D-4267-B911-2645F303D175}" type="pres">
      <dgm:prSet presAssocID="{F3D40897-738C-40C5-8428-139826FAAF6E}" presName="LevelTwoTextNode" presStyleLbl="node2" presStyleIdx="14" presStyleCnt="28">
        <dgm:presLayoutVars>
          <dgm:chPref val="3"/>
        </dgm:presLayoutVars>
      </dgm:prSet>
      <dgm:spPr/>
    </dgm:pt>
    <dgm:pt modelId="{874A9517-DB33-4AFF-AADA-D438174BAA23}" type="pres">
      <dgm:prSet presAssocID="{F3D40897-738C-40C5-8428-139826FAAF6E}" presName="level3hierChild" presStyleCnt="0"/>
      <dgm:spPr/>
    </dgm:pt>
    <dgm:pt modelId="{355A2FB1-1FEE-43E8-A9AC-759AA689F69E}" type="pres">
      <dgm:prSet presAssocID="{9C9B5131-0D51-4CCC-B456-4A38C8A54625}" presName="conn2-1" presStyleLbl="parChTrans1D2" presStyleIdx="15" presStyleCnt="28"/>
      <dgm:spPr/>
    </dgm:pt>
    <dgm:pt modelId="{29D2AD09-8474-47E8-8C64-267E192E9869}" type="pres">
      <dgm:prSet presAssocID="{9C9B5131-0D51-4CCC-B456-4A38C8A54625}" presName="connTx" presStyleLbl="parChTrans1D2" presStyleIdx="15" presStyleCnt="28"/>
      <dgm:spPr/>
    </dgm:pt>
    <dgm:pt modelId="{D8B926DD-57A0-4DD5-BB1A-2E97D025BF52}" type="pres">
      <dgm:prSet presAssocID="{B35ED5BF-E883-43C3-91F5-14C658F823DA}" presName="root2" presStyleCnt="0"/>
      <dgm:spPr/>
    </dgm:pt>
    <dgm:pt modelId="{9F0EB83D-9685-4D7F-9461-5AEAB3D17009}" type="pres">
      <dgm:prSet presAssocID="{B35ED5BF-E883-43C3-91F5-14C658F823DA}" presName="LevelTwoTextNode" presStyleLbl="node2" presStyleIdx="15" presStyleCnt="28">
        <dgm:presLayoutVars>
          <dgm:chPref val="3"/>
        </dgm:presLayoutVars>
      </dgm:prSet>
      <dgm:spPr/>
    </dgm:pt>
    <dgm:pt modelId="{5500FD78-810B-4D6B-961C-763902E20BF9}" type="pres">
      <dgm:prSet presAssocID="{B35ED5BF-E883-43C3-91F5-14C658F823DA}" presName="level3hierChild" presStyleCnt="0"/>
      <dgm:spPr/>
    </dgm:pt>
    <dgm:pt modelId="{426DB920-A3BE-42D4-9205-A0DA7D4CB8F0}" type="pres">
      <dgm:prSet presAssocID="{2D68EF62-7E8F-4884-A401-E9B0E1134E37}" presName="conn2-1" presStyleLbl="parChTrans1D2" presStyleIdx="16" presStyleCnt="28"/>
      <dgm:spPr/>
    </dgm:pt>
    <dgm:pt modelId="{45EC2B31-9D2D-45A9-B427-47B687E9EC10}" type="pres">
      <dgm:prSet presAssocID="{2D68EF62-7E8F-4884-A401-E9B0E1134E37}" presName="connTx" presStyleLbl="parChTrans1D2" presStyleIdx="16" presStyleCnt="28"/>
      <dgm:spPr/>
    </dgm:pt>
    <dgm:pt modelId="{E9E3A937-5C70-4CC6-BE88-C3E88A0E15B0}" type="pres">
      <dgm:prSet presAssocID="{B95720C1-4A24-4142-BED2-7D2CBFF1D478}" presName="root2" presStyleCnt="0"/>
      <dgm:spPr/>
    </dgm:pt>
    <dgm:pt modelId="{54B411F9-FC13-4747-9D03-619A9B85CE74}" type="pres">
      <dgm:prSet presAssocID="{B95720C1-4A24-4142-BED2-7D2CBFF1D478}" presName="LevelTwoTextNode" presStyleLbl="node2" presStyleIdx="16" presStyleCnt="28">
        <dgm:presLayoutVars>
          <dgm:chPref val="3"/>
        </dgm:presLayoutVars>
      </dgm:prSet>
      <dgm:spPr/>
    </dgm:pt>
    <dgm:pt modelId="{447400FD-938B-4044-8A5B-CD0ABE4EED8F}" type="pres">
      <dgm:prSet presAssocID="{B95720C1-4A24-4142-BED2-7D2CBFF1D478}" presName="level3hierChild" presStyleCnt="0"/>
      <dgm:spPr/>
    </dgm:pt>
    <dgm:pt modelId="{9C1DF7FA-F80B-4A6B-9730-AFF9F73FD026}" type="pres">
      <dgm:prSet presAssocID="{3DB1CB4A-895D-4AF6-A9B4-DE2C32AACB48}" presName="conn2-1" presStyleLbl="parChTrans1D2" presStyleIdx="17" presStyleCnt="28"/>
      <dgm:spPr/>
    </dgm:pt>
    <dgm:pt modelId="{E7800304-0C95-4AF4-B3A3-34F2B80DF049}" type="pres">
      <dgm:prSet presAssocID="{3DB1CB4A-895D-4AF6-A9B4-DE2C32AACB48}" presName="connTx" presStyleLbl="parChTrans1D2" presStyleIdx="17" presStyleCnt="28"/>
      <dgm:spPr/>
    </dgm:pt>
    <dgm:pt modelId="{1EBB2D57-21B2-44DE-A698-7A7DA07544F5}" type="pres">
      <dgm:prSet presAssocID="{932C4982-F2AF-4875-A696-BBDE6BBFD0B3}" presName="root2" presStyleCnt="0"/>
      <dgm:spPr/>
    </dgm:pt>
    <dgm:pt modelId="{48AEDD3E-521C-473B-B489-FB1258C4472E}" type="pres">
      <dgm:prSet presAssocID="{932C4982-F2AF-4875-A696-BBDE6BBFD0B3}" presName="LevelTwoTextNode" presStyleLbl="node2" presStyleIdx="17" presStyleCnt="28">
        <dgm:presLayoutVars>
          <dgm:chPref val="3"/>
        </dgm:presLayoutVars>
      </dgm:prSet>
      <dgm:spPr/>
    </dgm:pt>
    <dgm:pt modelId="{1B8A65C2-C1FB-42C8-BF0D-47C26D6ECDBD}" type="pres">
      <dgm:prSet presAssocID="{932C4982-F2AF-4875-A696-BBDE6BBFD0B3}" presName="level3hierChild" presStyleCnt="0"/>
      <dgm:spPr/>
    </dgm:pt>
    <dgm:pt modelId="{578ACA32-1F0B-4160-A582-F829C6780036}" type="pres">
      <dgm:prSet presAssocID="{E0BC0274-643C-4143-82E5-10A77801CDF4}" presName="conn2-1" presStyleLbl="parChTrans1D2" presStyleIdx="18" presStyleCnt="28"/>
      <dgm:spPr/>
    </dgm:pt>
    <dgm:pt modelId="{2DFA3672-335E-475F-8FB7-C1581DA908F9}" type="pres">
      <dgm:prSet presAssocID="{E0BC0274-643C-4143-82E5-10A77801CDF4}" presName="connTx" presStyleLbl="parChTrans1D2" presStyleIdx="18" presStyleCnt="28"/>
      <dgm:spPr/>
    </dgm:pt>
    <dgm:pt modelId="{9D818062-373B-4A6A-BDC6-915CC6DA1A28}" type="pres">
      <dgm:prSet presAssocID="{1997AF31-BC34-4A4E-8175-8B3ABDCA4305}" presName="root2" presStyleCnt="0"/>
      <dgm:spPr/>
    </dgm:pt>
    <dgm:pt modelId="{5CDDCA7A-3E45-401D-9FDA-AC816122ABA6}" type="pres">
      <dgm:prSet presAssocID="{1997AF31-BC34-4A4E-8175-8B3ABDCA4305}" presName="LevelTwoTextNode" presStyleLbl="node2" presStyleIdx="18" presStyleCnt="28">
        <dgm:presLayoutVars>
          <dgm:chPref val="3"/>
        </dgm:presLayoutVars>
      </dgm:prSet>
      <dgm:spPr/>
    </dgm:pt>
    <dgm:pt modelId="{1E291454-782B-4185-86C6-194D36A7553D}" type="pres">
      <dgm:prSet presAssocID="{1997AF31-BC34-4A4E-8175-8B3ABDCA4305}" presName="level3hierChild" presStyleCnt="0"/>
      <dgm:spPr/>
    </dgm:pt>
    <dgm:pt modelId="{4695ACBE-580C-4B8C-9744-BA3D4354B0CD}" type="pres">
      <dgm:prSet presAssocID="{AE5F6832-A87D-4E2B-9887-F9B49FC033EA}" presName="conn2-1" presStyleLbl="parChTrans1D2" presStyleIdx="19" presStyleCnt="28"/>
      <dgm:spPr/>
    </dgm:pt>
    <dgm:pt modelId="{AD2A586C-CD71-4CCC-9F63-18C8E95A75AD}" type="pres">
      <dgm:prSet presAssocID="{AE5F6832-A87D-4E2B-9887-F9B49FC033EA}" presName="connTx" presStyleLbl="parChTrans1D2" presStyleIdx="19" presStyleCnt="28"/>
      <dgm:spPr/>
    </dgm:pt>
    <dgm:pt modelId="{724C3E8B-1C58-484F-829D-BC6301921921}" type="pres">
      <dgm:prSet presAssocID="{9C5C66D9-9601-437A-BB09-4C22132DD0D2}" presName="root2" presStyleCnt="0"/>
      <dgm:spPr/>
    </dgm:pt>
    <dgm:pt modelId="{860AC8E8-7C7C-4FB9-883E-83C70A4A640A}" type="pres">
      <dgm:prSet presAssocID="{9C5C66D9-9601-437A-BB09-4C22132DD0D2}" presName="LevelTwoTextNode" presStyleLbl="node2" presStyleIdx="19" presStyleCnt="28">
        <dgm:presLayoutVars>
          <dgm:chPref val="3"/>
        </dgm:presLayoutVars>
      </dgm:prSet>
      <dgm:spPr/>
    </dgm:pt>
    <dgm:pt modelId="{FC10BADC-17FC-4E5D-8C44-15290A33FF32}" type="pres">
      <dgm:prSet presAssocID="{9C5C66D9-9601-437A-BB09-4C22132DD0D2}" presName="level3hierChild" presStyleCnt="0"/>
      <dgm:spPr/>
    </dgm:pt>
    <dgm:pt modelId="{FF0F8A78-F4F6-4728-B863-B2FA3A444ABC}" type="pres">
      <dgm:prSet presAssocID="{4465EF4D-E25B-40FC-9D30-1517DA1526C8}" presName="conn2-1" presStyleLbl="parChTrans1D2" presStyleIdx="20" presStyleCnt="28"/>
      <dgm:spPr/>
    </dgm:pt>
    <dgm:pt modelId="{9E95C499-A5C4-4F8F-8C46-F3B24208CBE5}" type="pres">
      <dgm:prSet presAssocID="{4465EF4D-E25B-40FC-9D30-1517DA1526C8}" presName="connTx" presStyleLbl="parChTrans1D2" presStyleIdx="20" presStyleCnt="28"/>
      <dgm:spPr/>
    </dgm:pt>
    <dgm:pt modelId="{54855679-2E72-4419-8F47-F9F398917AA0}" type="pres">
      <dgm:prSet presAssocID="{D1706B56-C6FB-4C4F-A716-1DC21B2DC7AE}" presName="root2" presStyleCnt="0"/>
      <dgm:spPr/>
    </dgm:pt>
    <dgm:pt modelId="{E93F276A-9CCB-4947-A03A-6DA42BAA7DF3}" type="pres">
      <dgm:prSet presAssocID="{D1706B56-C6FB-4C4F-A716-1DC21B2DC7AE}" presName="LevelTwoTextNode" presStyleLbl="node2" presStyleIdx="20" presStyleCnt="28">
        <dgm:presLayoutVars>
          <dgm:chPref val="3"/>
        </dgm:presLayoutVars>
      </dgm:prSet>
      <dgm:spPr/>
    </dgm:pt>
    <dgm:pt modelId="{38847341-5916-4DA4-A9F8-CCFC27C834EA}" type="pres">
      <dgm:prSet presAssocID="{D1706B56-C6FB-4C4F-A716-1DC21B2DC7AE}" presName="level3hierChild" presStyleCnt="0"/>
      <dgm:spPr/>
    </dgm:pt>
    <dgm:pt modelId="{1A4B4FB0-C448-40C9-B43D-1F869F5442A4}" type="pres">
      <dgm:prSet presAssocID="{E1AF9DB2-8F4E-41E1-8AEF-1FE1709FCB86}" presName="root1" presStyleCnt="0"/>
      <dgm:spPr/>
    </dgm:pt>
    <dgm:pt modelId="{B450184B-01DB-4637-A4D9-91E7FEFC5BEB}" type="pres">
      <dgm:prSet presAssocID="{E1AF9DB2-8F4E-41E1-8AEF-1FE1709FCB86}" presName="LevelOneTextNode" presStyleLbl="node0" presStyleIdx="3" presStyleCnt="4">
        <dgm:presLayoutVars>
          <dgm:chPref val="3"/>
        </dgm:presLayoutVars>
      </dgm:prSet>
      <dgm:spPr/>
    </dgm:pt>
    <dgm:pt modelId="{945004DC-5E9B-438B-913E-557F5897AA48}" type="pres">
      <dgm:prSet presAssocID="{E1AF9DB2-8F4E-41E1-8AEF-1FE1709FCB86}" presName="level2hierChild" presStyleCnt="0"/>
      <dgm:spPr/>
    </dgm:pt>
    <dgm:pt modelId="{CB53ED59-1B7A-44FB-BA68-B7AD3DD718BC}" type="pres">
      <dgm:prSet presAssocID="{8BF9D81A-A562-4444-A94F-B6659D820A45}" presName="conn2-1" presStyleLbl="parChTrans1D2" presStyleIdx="21" presStyleCnt="28"/>
      <dgm:spPr/>
    </dgm:pt>
    <dgm:pt modelId="{C8D72FE1-DB44-450E-8900-DA27DEE96E41}" type="pres">
      <dgm:prSet presAssocID="{8BF9D81A-A562-4444-A94F-B6659D820A45}" presName="connTx" presStyleLbl="parChTrans1D2" presStyleIdx="21" presStyleCnt="28"/>
      <dgm:spPr/>
    </dgm:pt>
    <dgm:pt modelId="{E2AFE5E6-7245-4E84-9E49-602C269DF55A}" type="pres">
      <dgm:prSet presAssocID="{FB4F03A8-E879-4FA6-9A40-7CFC8C6EFF10}" presName="root2" presStyleCnt="0"/>
      <dgm:spPr/>
    </dgm:pt>
    <dgm:pt modelId="{9959DFE6-ED29-4568-9DCF-409749788E86}" type="pres">
      <dgm:prSet presAssocID="{FB4F03A8-E879-4FA6-9A40-7CFC8C6EFF10}" presName="LevelTwoTextNode" presStyleLbl="node2" presStyleIdx="21" presStyleCnt="28">
        <dgm:presLayoutVars>
          <dgm:chPref val="3"/>
        </dgm:presLayoutVars>
      </dgm:prSet>
      <dgm:spPr/>
    </dgm:pt>
    <dgm:pt modelId="{79DC8C1F-D21B-457E-90E4-7224A904EC92}" type="pres">
      <dgm:prSet presAssocID="{FB4F03A8-E879-4FA6-9A40-7CFC8C6EFF10}" presName="level3hierChild" presStyleCnt="0"/>
      <dgm:spPr/>
    </dgm:pt>
    <dgm:pt modelId="{DD5A534F-7DA3-4A39-8F8E-4222E7650AB4}" type="pres">
      <dgm:prSet presAssocID="{1FA3D685-F63E-4C83-AE5C-49590ABE88C2}" presName="conn2-1" presStyleLbl="parChTrans1D3" presStyleIdx="0" presStyleCnt="1"/>
      <dgm:spPr/>
    </dgm:pt>
    <dgm:pt modelId="{16529F8B-5514-4654-BB39-4BEB4AFCF476}" type="pres">
      <dgm:prSet presAssocID="{1FA3D685-F63E-4C83-AE5C-49590ABE88C2}" presName="connTx" presStyleLbl="parChTrans1D3" presStyleIdx="0" presStyleCnt="1"/>
      <dgm:spPr/>
    </dgm:pt>
    <dgm:pt modelId="{15B3FBAC-ACC9-411B-9786-42FE09F416FA}" type="pres">
      <dgm:prSet presAssocID="{CDFEE8C1-0172-49AC-B231-B200526E5B55}" presName="root2" presStyleCnt="0"/>
      <dgm:spPr/>
    </dgm:pt>
    <dgm:pt modelId="{6306A9C4-E56C-420D-A1BB-22EEBDA188A2}" type="pres">
      <dgm:prSet presAssocID="{CDFEE8C1-0172-49AC-B231-B200526E5B55}" presName="LevelTwoTextNode" presStyleLbl="node3" presStyleIdx="0" presStyleCnt="1">
        <dgm:presLayoutVars>
          <dgm:chPref val="3"/>
        </dgm:presLayoutVars>
      </dgm:prSet>
      <dgm:spPr/>
    </dgm:pt>
    <dgm:pt modelId="{753D6DAF-3FF1-4C6E-9708-1B52F572D811}" type="pres">
      <dgm:prSet presAssocID="{CDFEE8C1-0172-49AC-B231-B200526E5B55}" presName="level3hierChild" presStyleCnt="0"/>
      <dgm:spPr/>
    </dgm:pt>
    <dgm:pt modelId="{AF901B4D-6298-48A0-88C7-B58C6BF6DFED}" type="pres">
      <dgm:prSet presAssocID="{7F56BAE0-F166-4A48-BF86-FF42D9EC0B90}" presName="conn2-1" presStyleLbl="parChTrans1D2" presStyleIdx="22" presStyleCnt="28"/>
      <dgm:spPr/>
    </dgm:pt>
    <dgm:pt modelId="{BE68710A-5762-40B2-9D94-29014AAACA1A}" type="pres">
      <dgm:prSet presAssocID="{7F56BAE0-F166-4A48-BF86-FF42D9EC0B90}" presName="connTx" presStyleLbl="parChTrans1D2" presStyleIdx="22" presStyleCnt="28"/>
      <dgm:spPr/>
    </dgm:pt>
    <dgm:pt modelId="{0E5048BA-8BE9-4264-8A77-076D69E7F0B4}" type="pres">
      <dgm:prSet presAssocID="{DD450C39-C3EF-496D-B793-D0A67458A2E1}" presName="root2" presStyleCnt="0"/>
      <dgm:spPr/>
    </dgm:pt>
    <dgm:pt modelId="{AF220DF3-371D-4837-B8A4-94BA4D2BD536}" type="pres">
      <dgm:prSet presAssocID="{DD450C39-C3EF-496D-B793-D0A67458A2E1}" presName="LevelTwoTextNode" presStyleLbl="node2" presStyleIdx="22" presStyleCnt="28">
        <dgm:presLayoutVars>
          <dgm:chPref val="3"/>
        </dgm:presLayoutVars>
      </dgm:prSet>
      <dgm:spPr/>
    </dgm:pt>
    <dgm:pt modelId="{AED67774-091A-4821-88F2-0C3A8574F1F5}" type="pres">
      <dgm:prSet presAssocID="{DD450C39-C3EF-496D-B793-D0A67458A2E1}" presName="level3hierChild" presStyleCnt="0"/>
      <dgm:spPr/>
    </dgm:pt>
    <dgm:pt modelId="{4D2CE3AF-EF29-4FD2-8EEA-C400F1ED4A69}" type="pres">
      <dgm:prSet presAssocID="{EB45C0F0-DE70-4528-AFBA-FAD542E57F26}" presName="conn2-1" presStyleLbl="parChTrans1D2" presStyleIdx="23" presStyleCnt="28"/>
      <dgm:spPr/>
    </dgm:pt>
    <dgm:pt modelId="{6A374D7B-9C22-492D-8E4F-1DDEC0A698B1}" type="pres">
      <dgm:prSet presAssocID="{EB45C0F0-DE70-4528-AFBA-FAD542E57F26}" presName="connTx" presStyleLbl="parChTrans1D2" presStyleIdx="23" presStyleCnt="28"/>
      <dgm:spPr/>
    </dgm:pt>
    <dgm:pt modelId="{FEB4DF47-CD5D-4203-AAC3-9B8B91EFF26F}" type="pres">
      <dgm:prSet presAssocID="{BCDDDB00-11EC-475E-A002-F9EF1D4D2E02}" presName="root2" presStyleCnt="0"/>
      <dgm:spPr/>
    </dgm:pt>
    <dgm:pt modelId="{21165700-13B8-4F2B-86FE-200AB0149C4C}" type="pres">
      <dgm:prSet presAssocID="{BCDDDB00-11EC-475E-A002-F9EF1D4D2E02}" presName="LevelTwoTextNode" presStyleLbl="node2" presStyleIdx="23" presStyleCnt="28">
        <dgm:presLayoutVars>
          <dgm:chPref val="3"/>
        </dgm:presLayoutVars>
      </dgm:prSet>
      <dgm:spPr/>
    </dgm:pt>
    <dgm:pt modelId="{CBFCC281-A024-416A-8E1B-BFB44995E635}" type="pres">
      <dgm:prSet presAssocID="{BCDDDB00-11EC-475E-A002-F9EF1D4D2E02}" presName="level3hierChild" presStyleCnt="0"/>
      <dgm:spPr/>
    </dgm:pt>
    <dgm:pt modelId="{E9AE776C-013E-44C3-9AC5-A440C368C64A}" type="pres">
      <dgm:prSet presAssocID="{6A0C19CB-8715-4522-9F5B-40D474C847A8}" presName="conn2-1" presStyleLbl="parChTrans1D2" presStyleIdx="24" presStyleCnt="28"/>
      <dgm:spPr/>
    </dgm:pt>
    <dgm:pt modelId="{A34BC82E-953D-4FDB-846E-0A2E1A80B384}" type="pres">
      <dgm:prSet presAssocID="{6A0C19CB-8715-4522-9F5B-40D474C847A8}" presName="connTx" presStyleLbl="parChTrans1D2" presStyleIdx="24" presStyleCnt="28"/>
      <dgm:spPr/>
    </dgm:pt>
    <dgm:pt modelId="{02D5F21E-E176-4AFA-A70D-5C78979275C2}" type="pres">
      <dgm:prSet presAssocID="{16A3DBC7-1784-4CBE-99F7-F9CBEE004A07}" presName="root2" presStyleCnt="0"/>
      <dgm:spPr/>
    </dgm:pt>
    <dgm:pt modelId="{FC72F3A3-6CA4-4B0F-A780-13210000B55F}" type="pres">
      <dgm:prSet presAssocID="{16A3DBC7-1784-4CBE-99F7-F9CBEE004A07}" presName="LevelTwoTextNode" presStyleLbl="node2" presStyleIdx="24" presStyleCnt="28">
        <dgm:presLayoutVars>
          <dgm:chPref val="3"/>
        </dgm:presLayoutVars>
      </dgm:prSet>
      <dgm:spPr/>
    </dgm:pt>
    <dgm:pt modelId="{428C5D6C-6F38-47D1-BC3B-B13D73E2348C}" type="pres">
      <dgm:prSet presAssocID="{16A3DBC7-1784-4CBE-99F7-F9CBEE004A07}" presName="level3hierChild" presStyleCnt="0"/>
      <dgm:spPr/>
    </dgm:pt>
    <dgm:pt modelId="{6F7D418D-3B09-468C-BDC9-F6CC4D7B1DF2}" type="pres">
      <dgm:prSet presAssocID="{6547EBC0-DD88-4272-B89C-D14FAB286796}" presName="conn2-1" presStyleLbl="parChTrans1D2" presStyleIdx="25" presStyleCnt="28"/>
      <dgm:spPr/>
    </dgm:pt>
    <dgm:pt modelId="{136385BC-F262-43CE-9DCA-96D4D7A2DDC3}" type="pres">
      <dgm:prSet presAssocID="{6547EBC0-DD88-4272-B89C-D14FAB286796}" presName="connTx" presStyleLbl="parChTrans1D2" presStyleIdx="25" presStyleCnt="28"/>
      <dgm:spPr/>
    </dgm:pt>
    <dgm:pt modelId="{A1F07FE9-1788-4323-8D30-2547EF64E2BC}" type="pres">
      <dgm:prSet presAssocID="{A01233AA-DBE5-429E-9D2A-C7C799559E5B}" presName="root2" presStyleCnt="0"/>
      <dgm:spPr/>
    </dgm:pt>
    <dgm:pt modelId="{15718288-9D7E-46B3-BFFB-47878AECCD4F}" type="pres">
      <dgm:prSet presAssocID="{A01233AA-DBE5-429E-9D2A-C7C799559E5B}" presName="LevelTwoTextNode" presStyleLbl="node2" presStyleIdx="25" presStyleCnt="28">
        <dgm:presLayoutVars>
          <dgm:chPref val="3"/>
        </dgm:presLayoutVars>
      </dgm:prSet>
      <dgm:spPr/>
    </dgm:pt>
    <dgm:pt modelId="{CDCB2CF9-67E0-4D0A-9BA3-EA530AF47085}" type="pres">
      <dgm:prSet presAssocID="{A01233AA-DBE5-429E-9D2A-C7C799559E5B}" presName="level3hierChild" presStyleCnt="0"/>
      <dgm:spPr/>
    </dgm:pt>
    <dgm:pt modelId="{D04EADAA-0B89-44A2-86BA-86319599266B}" type="pres">
      <dgm:prSet presAssocID="{C98AAD15-811B-46C7-AA2B-8BAD8311CC05}" presName="conn2-1" presStyleLbl="parChTrans1D2" presStyleIdx="26" presStyleCnt="28"/>
      <dgm:spPr/>
    </dgm:pt>
    <dgm:pt modelId="{1A2F758B-9FC2-433E-96E7-DF78042F6F31}" type="pres">
      <dgm:prSet presAssocID="{C98AAD15-811B-46C7-AA2B-8BAD8311CC05}" presName="connTx" presStyleLbl="parChTrans1D2" presStyleIdx="26" presStyleCnt="28"/>
      <dgm:spPr/>
    </dgm:pt>
    <dgm:pt modelId="{B7638EE0-1DAF-425D-ACF5-809AD8BD47DF}" type="pres">
      <dgm:prSet presAssocID="{74F5E3D5-E431-460B-8A0D-005407678854}" presName="root2" presStyleCnt="0"/>
      <dgm:spPr/>
    </dgm:pt>
    <dgm:pt modelId="{2076D743-66DA-4DA5-B7FA-328E05E243AC}" type="pres">
      <dgm:prSet presAssocID="{74F5E3D5-E431-460B-8A0D-005407678854}" presName="LevelTwoTextNode" presStyleLbl="node2" presStyleIdx="26" presStyleCnt="28">
        <dgm:presLayoutVars>
          <dgm:chPref val="3"/>
        </dgm:presLayoutVars>
      </dgm:prSet>
      <dgm:spPr/>
    </dgm:pt>
    <dgm:pt modelId="{5547E530-38D0-48CF-A5F7-7A00C19AB770}" type="pres">
      <dgm:prSet presAssocID="{74F5E3D5-E431-460B-8A0D-005407678854}" presName="level3hierChild" presStyleCnt="0"/>
      <dgm:spPr/>
    </dgm:pt>
    <dgm:pt modelId="{0A913328-2CFB-4073-A03D-A1582BDAF0D0}" type="pres">
      <dgm:prSet presAssocID="{EF1921CC-5649-4EB7-B339-538E04955371}" presName="conn2-1" presStyleLbl="parChTrans1D2" presStyleIdx="27" presStyleCnt="28"/>
      <dgm:spPr/>
    </dgm:pt>
    <dgm:pt modelId="{3FEF4EE8-CF71-4E73-951D-2F568E419AA5}" type="pres">
      <dgm:prSet presAssocID="{EF1921CC-5649-4EB7-B339-538E04955371}" presName="connTx" presStyleLbl="parChTrans1D2" presStyleIdx="27" presStyleCnt="28"/>
      <dgm:spPr/>
    </dgm:pt>
    <dgm:pt modelId="{C475358B-D764-4130-9E45-60A8A08F6157}" type="pres">
      <dgm:prSet presAssocID="{FC27EEA0-63E7-4C42-BDA8-B9E5CA0145CF}" presName="root2" presStyleCnt="0"/>
      <dgm:spPr/>
    </dgm:pt>
    <dgm:pt modelId="{5E991383-A90D-49E3-AC13-9967570C4AB7}" type="pres">
      <dgm:prSet presAssocID="{FC27EEA0-63E7-4C42-BDA8-B9E5CA0145CF}" presName="LevelTwoTextNode" presStyleLbl="node2" presStyleIdx="27" presStyleCnt="28">
        <dgm:presLayoutVars>
          <dgm:chPref val="3"/>
        </dgm:presLayoutVars>
      </dgm:prSet>
      <dgm:spPr/>
    </dgm:pt>
    <dgm:pt modelId="{A2A66331-BE87-4725-8218-4FB7E1226902}" type="pres">
      <dgm:prSet presAssocID="{FC27EEA0-63E7-4C42-BDA8-B9E5CA0145CF}" presName="level3hierChild" presStyleCnt="0"/>
      <dgm:spPr/>
    </dgm:pt>
  </dgm:ptLst>
  <dgm:cxnLst>
    <dgm:cxn modelId="{F12C1404-4CEB-48F9-8D29-CF520909F5BB}" type="presOf" srcId="{43852A73-CD61-4175-9D75-950F52D4021C}" destId="{C46D06D3-9BE7-4D17-9F9D-EF654AA83011}" srcOrd="1" destOrd="0" presId="urn:microsoft.com/office/officeart/2005/8/layout/hierarchy2"/>
    <dgm:cxn modelId="{CA522D04-19F4-4B89-B844-0086FF1D4F9A}" type="presOf" srcId="{6A0C19CB-8715-4522-9F5B-40D474C847A8}" destId="{E9AE776C-013E-44C3-9AC5-A440C368C64A}" srcOrd="0" destOrd="0" presId="urn:microsoft.com/office/officeart/2005/8/layout/hierarchy2"/>
    <dgm:cxn modelId="{3DA16309-D3B5-4C62-B07C-719838BE31E4}" type="presOf" srcId="{6FC4A721-320F-49AD-8DDD-24E1109E7335}" destId="{AC8AB2C7-0261-4CC7-9B34-9DD9822C3283}" srcOrd="1" destOrd="0" presId="urn:microsoft.com/office/officeart/2005/8/layout/hierarchy2"/>
    <dgm:cxn modelId="{E7A9510C-863B-43E8-A972-D1B0E79778F6}" type="presOf" srcId="{DD450C39-C3EF-496D-B793-D0A67458A2E1}" destId="{AF220DF3-371D-4837-B8A4-94BA4D2BD536}" srcOrd="0" destOrd="0" presId="urn:microsoft.com/office/officeart/2005/8/layout/hierarchy2"/>
    <dgm:cxn modelId="{73485B0D-9161-4131-A04C-CA7F75895B38}" srcId="{E1AF9DB2-8F4E-41E1-8AEF-1FE1709FCB86}" destId="{FB4F03A8-E879-4FA6-9A40-7CFC8C6EFF10}" srcOrd="0" destOrd="0" parTransId="{8BF9D81A-A562-4444-A94F-B6659D820A45}" sibTransId="{F4971911-3416-4089-BF46-B5196998CF16}"/>
    <dgm:cxn modelId="{40595811-47CF-43FE-BBDA-F19799076052}" type="presOf" srcId="{D92D7890-E602-4352-958C-405A71548BE4}" destId="{D0460D58-A9D1-49EF-B8FD-EB3735BD0120}" srcOrd="0" destOrd="0" presId="urn:microsoft.com/office/officeart/2005/8/layout/hierarchy2"/>
    <dgm:cxn modelId="{9974F714-926F-4C1E-AA6A-DC2E073DB6A8}" type="presOf" srcId="{602D697D-4319-4407-A26A-CE4BED2696E6}" destId="{DDB04051-105A-4ACD-AED0-6EF6809053DE}" srcOrd="0" destOrd="0" presId="urn:microsoft.com/office/officeart/2005/8/layout/hierarchy2"/>
    <dgm:cxn modelId="{EBB40C15-BCC8-456B-9C9B-9E2C57575698}" type="presOf" srcId="{D1706B56-C6FB-4C4F-A716-1DC21B2DC7AE}" destId="{E93F276A-9CCB-4947-A03A-6DA42BAA7DF3}" srcOrd="0" destOrd="0" presId="urn:microsoft.com/office/officeart/2005/8/layout/hierarchy2"/>
    <dgm:cxn modelId="{D17D4F17-0695-4B01-8F35-DFD58584A8C9}" type="presOf" srcId="{AAA9E15A-946E-4EA6-853A-CE81A5C91315}" destId="{A5CB59BC-856F-47A8-9BB2-825363D884A6}" srcOrd="0" destOrd="0" presId="urn:microsoft.com/office/officeart/2005/8/layout/hierarchy2"/>
    <dgm:cxn modelId="{773E9D17-8C66-4491-987E-83C886D40A87}" type="presOf" srcId="{9C9B5131-0D51-4CCC-B456-4A38C8A54625}" destId="{29D2AD09-8474-47E8-8C64-267E192E9869}" srcOrd="1" destOrd="0" presId="urn:microsoft.com/office/officeart/2005/8/layout/hierarchy2"/>
    <dgm:cxn modelId="{8F981E1D-3562-4255-AD2A-3067EE039E33}" srcId="{BAF79D47-4F13-4A72-BB94-1ED36224831C}" destId="{8C1A7AAE-8C88-4DA4-BAE1-190C0ABED381}" srcOrd="1" destOrd="0" parTransId="{0CBCD057-B34F-4537-83CA-65A998D38BFC}" sibTransId="{AFF42F14-CD28-4755-92AA-C49A82227F17}"/>
    <dgm:cxn modelId="{6D97511D-798A-4909-86D2-A0DB8D86F694}" srcId="{E1AF9DB2-8F4E-41E1-8AEF-1FE1709FCB86}" destId="{A01233AA-DBE5-429E-9D2A-C7C799559E5B}" srcOrd="4" destOrd="0" parTransId="{6547EBC0-DD88-4272-B89C-D14FAB286796}" sibTransId="{FDACA7FF-BDFC-48D5-8F8D-4FD49C38CE4B}"/>
    <dgm:cxn modelId="{57485520-C2D8-4EA9-91D1-F0B40A3EC193}" type="presOf" srcId="{4465EF4D-E25B-40FC-9D30-1517DA1526C8}" destId="{FF0F8A78-F4F6-4728-B863-B2FA3A444ABC}" srcOrd="0" destOrd="0" presId="urn:microsoft.com/office/officeart/2005/8/layout/hierarchy2"/>
    <dgm:cxn modelId="{F122A421-B222-421C-B353-8C923340FA2D}" type="presOf" srcId="{B188828D-A18B-488D-ACFA-C6AE99ABA04A}" destId="{9BBFE5E3-2759-4932-8C45-067B3D3B469C}" srcOrd="0" destOrd="0" presId="urn:microsoft.com/office/officeart/2005/8/layout/hierarchy2"/>
    <dgm:cxn modelId="{3CE37425-6C2B-4947-8FB3-F385CF0B57F6}" type="presOf" srcId="{AE5F6832-A87D-4E2B-9887-F9B49FC033EA}" destId="{4695ACBE-580C-4B8C-9744-BA3D4354B0CD}" srcOrd="0" destOrd="0" presId="urn:microsoft.com/office/officeart/2005/8/layout/hierarchy2"/>
    <dgm:cxn modelId="{CC4B7626-0889-43BB-B740-A94FE515B288}" srcId="{620C05B9-1412-4A3C-BBE2-32BE3CC5E897}" destId="{BAF79D47-4F13-4A72-BB94-1ED36224831C}" srcOrd="1" destOrd="0" parTransId="{ACCC7D68-BC87-425E-ACA2-360B32A5D5AA}" sibTransId="{572735C3-BF09-4D16-A25E-3D73CA871391}"/>
    <dgm:cxn modelId="{B040C827-606D-4B36-8E6F-1BDA6E5F4DCA}" type="presOf" srcId="{DBAE3184-FEF6-4354-AF95-60016236E311}" destId="{A6E3E118-6A0D-4068-862B-0FD7803C62EC}" srcOrd="1" destOrd="0" presId="urn:microsoft.com/office/officeart/2005/8/layout/hierarchy2"/>
    <dgm:cxn modelId="{A737022A-0533-4691-9B5B-E2A2834DA47F}" type="presOf" srcId="{8BF9D81A-A562-4444-A94F-B6659D820A45}" destId="{C8D72FE1-DB44-450E-8900-DA27DEE96E41}" srcOrd="1" destOrd="0" presId="urn:microsoft.com/office/officeart/2005/8/layout/hierarchy2"/>
    <dgm:cxn modelId="{C1B96C2A-5A70-477F-9023-118B100FB724}" srcId="{42AF3EF2-3B18-4E68-845F-2D5674AAB998}" destId="{ADCFF1D0-AD6C-47F4-8C0E-6443EF0C15C2}" srcOrd="6" destOrd="0" parTransId="{5BB0A942-3CA1-4862-8301-F1DD8F890C61}" sibTransId="{842AF6BA-73FA-4949-B4DB-6DACE20100D1}"/>
    <dgm:cxn modelId="{B214422B-3C7B-4BF8-A313-37D3CF706579}" srcId="{E1AF9DB2-8F4E-41E1-8AEF-1FE1709FCB86}" destId="{16A3DBC7-1784-4CBE-99F7-F9CBEE004A07}" srcOrd="3" destOrd="0" parTransId="{6A0C19CB-8715-4522-9F5B-40D474C847A8}" sibTransId="{5F9D5D21-C257-4330-817C-EE4EB2B4B050}"/>
    <dgm:cxn modelId="{5085812B-FEC2-4D92-9A02-7495E3B4B0D9}" type="presOf" srcId="{74F5E3D5-E431-460B-8A0D-005407678854}" destId="{2076D743-66DA-4DA5-B7FA-328E05E243AC}" srcOrd="0" destOrd="0" presId="urn:microsoft.com/office/officeart/2005/8/layout/hierarchy2"/>
    <dgm:cxn modelId="{459FC130-ACB0-48CB-B5AF-8A1AA889536F}" srcId="{620C05B9-1412-4A3C-BBE2-32BE3CC5E897}" destId="{B188828D-A18B-488D-ACFA-C6AE99ABA04A}" srcOrd="2" destOrd="0" parTransId="{4AB90137-11BB-47CC-BB10-559E3E97F745}" sibTransId="{E5693CD5-86A9-45D0-A1D3-168FB8ED8F26}"/>
    <dgm:cxn modelId="{E1629236-E215-414C-9993-5E9853DC32EC}" srcId="{BAF79D47-4F13-4A72-BB94-1ED36224831C}" destId="{602D697D-4319-4407-A26A-CE4BED2696E6}" srcOrd="0" destOrd="0" parTransId="{28B14D77-3C8B-4849-9874-E89C3419EA3E}" sibTransId="{9B1EB862-F958-4A14-B871-8A72CAE19F3C}"/>
    <dgm:cxn modelId="{3F8E4138-F973-4011-B86B-459C933C8F80}" srcId="{E1AF9DB2-8F4E-41E1-8AEF-1FE1709FCB86}" destId="{DD450C39-C3EF-496D-B793-D0A67458A2E1}" srcOrd="1" destOrd="0" parTransId="{7F56BAE0-F166-4A48-BF86-FF42D9EC0B90}" sibTransId="{0CBBF511-1ADF-4300-BAB6-1C4CACF24D92}"/>
    <dgm:cxn modelId="{1BDD3E3A-A783-45E1-9EA6-D18BEB075A40}" srcId="{B188828D-A18B-488D-ACFA-C6AE99ABA04A}" destId="{F3D40897-738C-40C5-8428-139826FAAF6E}" srcOrd="0" destOrd="0" parTransId="{98597BCE-A326-4AE0-BABB-917900080182}" sibTransId="{CFB4D691-D2F7-43B8-9C61-632E6832FAAA}"/>
    <dgm:cxn modelId="{A17E2F3B-4BDB-4D47-BF42-1C15B2C8F404}" srcId="{BAF79D47-4F13-4A72-BB94-1ED36224831C}" destId="{F1F7BD05-87CB-42EF-AD19-E82B694B2124}" srcOrd="4" destOrd="0" parTransId="{6FC4A721-320F-49AD-8DDD-24E1109E7335}" sibTransId="{7B32BFB1-C8B0-40D0-A4DB-B13B1CAF4FE6}"/>
    <dgm:cxn modelId="{07DE9F3F-9312-41BD-A3BC-395C4F8AE839}" type="presOf" srcId="{6A0C19CB-8715-4522-9F5B-40D474C847A8}" destId="{A34BC82E-953D-4FDB-846E-0A2E1A80B384}" srcOrd="1" destOrd="0" presId="urn:microsoft.com/office/officeart/2005/8/layout/hierarchy2"/>
    <dgm:cxn modelId="{1A25B05E-C9DE-475D-BF7F-7F9C9748FF4E}" type="presOf" srcId="{F615F225-17B0-40B5-B28F-327700BDC55E}" destId="{B874081D-D790-4AC1-A69E-E74970FF6A80}" srcOrd="0" destOrd="0" presId="urn:microsoft.com/office/officeart/2005/8/layout/hierarchy2"/>
    <dgm:cxn modelId="{F3850F5F-33F1-4A0C-ABB9-92184C2528BD}" type="presOf" srcId="{8B8A0996-0C12-4241-A7E8-DBED0DDD9E3C}" destId="{DDA9B393-B42E-4980-A456-FE1FF381E038}" srcOrd="1" destOrd="0" presId="urn:microsoft.com/office/officeart/2005/8/layout/hierarchy2"/>
    <dgm:cxn modelId="{24055961-C3F6-46AD-9AFC-677C13E4E04B}" type="presOf" srcId="{8B8A0996-0C12-4241-A7E8-DBED0DDD9E3C}" destId="{95807270-7013-40B6-AA1E-140716AE3D46}" srcOrd="0" destOrd="0" presId="urn:microsoft.com/office/officeart/2005/8/layout/hierarchy2"/>
    <dgm:cxn modelId="{6E03BD64-3183-4FA5-9CFD-9D88CB1589F1}" type="presOf" srcId="{5BB0A942-3CA1-4862-8301-F1DD8F890C61}" destId="{76F5B875-D613-4961-BA23-C1A4C4E9E8F1}" srcOrd="1" destOrd="0" presId="urn:microsoft.com/office/officeart/2005/8/layout/hierarchy2"/>
    <dgm:cxn modelId="{61846067-9D18-4BAC-8F2B-DC5243D0F2C4}" srcId="{620C05B9-1412-4A3C-BBE2-32BE3CC5E897}" destId="{42AF3EF2-3B18-4E68-845F-2D5674AAB998}" srcOrd="0" destOrd="0" parTransId="{DECDC3E7-C8B4-4359-B590-E3592DB9C857}" sibTransId="{A997D84B-FE9A-45C7-8A8F-7EA6BADAFC25}"/>
    <dgm:cxn modelId="{AFD5EA48-AAA2-4075-AEF8-665AF71CBDCF}" type="presOf" srcId="{03FAD118-7B8B-4900-BEE8-1DA548DE6DC7}" destId="{63EFAA04-7853-414D-88F6-EBDB95D6A25E}" srcOrd="0" destOrd="0" presId="urn:microsoft.com/office/officeart/2005/8/layout/hierarchy2"/>
    <dgm:cxn modelId="{2204F968-F781-46AB-8847-98FB30CDA272}" srcId="{42AF3EF2-3B18-4E68-845F-2D5674AAB998}" destId="{43115FF6-8DBF-45A6-A308-B1825B84F198}" srcOrd="2" destOrd="0" parTransId="{43852A73-CD61-4175-9D75-950F52D4021C}" sibTransId="{F7E87E0F-05C0-4443-A811-9C3484F63741}"/>
    <dgm:cxn modelId="{17E34049-6DC6-41B7-A111-06198CEC7418}" type="presOf" srcId="{932C4982-F2AF-4875-A696-BBDE6BBFD0B3}" destId="{48AEDD3E-521C-473B-B489-FB1258C4472E}" srcOrd="0" destOrd="0" presId="urn:microsoft.com/office/officeart/2005/8/layout/hierarchy2"/>
    <dgm:cxn modelId="{61A58269-A607-4072-895D-C61A70F00982}" type="presOf" srcId="{1CE93431-8211-4D84-A058-08A41C06B6F4}" destId="{6813FEC5-A739-460B-95A2-953E490441B9}" srcOrd="0" destOrd="0" presId="urn:microsoft.com/office/officeart/2005/8/layout/hierarchy2"/>
    <dgm:cxn modelId="{4D45DE69-6C6D-42C2-9050-C56AC81C89F8}" type="presOf" srcId="{F1F7BD05-87CB-42EF-AD19-E82B694B2124}" destId="{0CC2E8BF-CD0A-4E67-996F-CDD2C3B78E4B}" srcOrd="0" destOrd="0" presId="urn:microsoft.com/office/officeart/2005/8/layout/hierarchy2"/>
    <dgm:cxn modelId="{2374984A-3917-4DB1-B425-62B9B9C4A514}" type="presOf" srcId="{3DB1CB4A-895D-4AF6-A9B4-DE2C32AACB48}" destId="{9C1DF7FA-F80B-4A6B-9730-AFF9F73FD026}" srcOrd="0" destOrd="0" presId="urn:microsoft.com/office/officeart/2005/8/layout/hierarchy2"/>
    <dgm:cxn modelId="{2636D94B-5E1B-4112-B92C-2AAF9BA22B2C}" type="presOf" srcId="{B95720C1-4A24-4142-BED2-7D2CBFF1D478}" destId="{54B411F9-FC13-4747-9D03-619A9B85CE74}" srcOrd="0" destOrd="0" presId="urn:microsoft.com/office/officeart/2005/8/layout/hierarchy2"/>
    <dgm:cxn modelId="{8FB2894C-C446-4F2B-9428-701D27BE9F46}" srcId="{E1AF9DB2-8F4E-41E1-8AEF-1FE1709FCB86}" destId="{74F5E3D5-E431-460B-8A0D-005407678854}" srcOrd="5" destOrd="0" parTransId="{C98AAD15-811B-46C7-AA2B-8BAD8311CC05}" sibTransId="{36E001CD-6F0A-4FC6-B587-96349497E144}"/>
    <dgm:cxn modelId="{07430D6D-71C0-4B05-9A48-0CD68779C9E2}" type="presOf" srcId="{D71AFC73-427D-459A-919D-BBECD0184BDC}" destId="{9DB8C709-7DD6-47E9-B922-587212426417}" srcOrd="0" destOrd="0" presId="urn:microsoft.com/office/officeart/2005/8/layout/hierarchy2"/>
    <dgm:cxn modelId="{0FB4346E-6237-4B0A-A383-172B7A3DE92C}" type="presOf" srcId="{C98AAD15-811B-46C7-AA2B-8BAD8311CC05}" destId="{1A2F758B-9FC2-433E-96E7-DF78042F6F31}" srcOrd="1" destOrd="0" presId="urn:microsoft.com/office/officeart/2005/8/layout/hierarchy2"/>
    <dgm:cxn modelId="{889D8F6E-CF4E-40EB-8541-0676D388DAE3}" type="presOf" srcId="{AE7BC1A8-D9CC-40D8-B803-571B31EDC0F4}" destId="{A9FEF00A-8135-4014-B3CB-13737BC565CE}" srcOrd="0" destOrd="0" presId="urn:microsoft.com/office/officeart/2005/8/layout/hierarchy2"/>
    <dgm:cxn modelId="{57F9D04E-D19C-42C5-92B1-EF18E8DFBF87}" type="presOf" srcId="{E1AF9DB2-8F4E-41E1-8AEF-1FE1709FCB86}" destId="{B450184B-01DB-4637-A4D9-91E7FEFC5BEB}" srcOrd="0" destOrd="0" presId="urn:microsoft.com/office/officeart/2005/8/layout/hierarchy2"/>
    <dgm:cxn modelId="{3651F56F-34E7-4EB1-8128-54FB0CDD6E42}" type="presOf" srcId="{1FA3D685-F63E-4C83-AE5C-49590ABE88C2}" destId="{DD5A534F-7DA3-4A39-8F8E-4222E7650AB4}" srcOrd="0" destOrd="0" presId="urn:microsoft.com/office/officeart/2005/8/layout/hierarchy2"/>
    <dgm:cxn modelId="{73EE0B71-5BE7-419D-864B-93CC965EEE16}" type="presOf" srcId="{16A3DBC7-1784-4CBE-99F7-F9CBEE004A07}" destId="{FC72F3A3-6CA4-4B0F-A780-13210000B55F}" srcOrd="0" destOrd="0" presId="urn:microsoft.com/office/officeart/2005/8/layout/hierarchy2"/>
    <dgm:cxn modelId="{FAE85271-A8A8-4B5C-B1BC-90957754FF9A}" srcId="{B188828D-A18B-488D-ACFA-C6AE99ABA04A}" destId="{932C4982-F2AF-4875-A696-BBDE6BBFD0B3}" srcOrd="3" destOrd="0" parTransId="{3DB1CB4A-895D-4AF6-A9B4-DE2C32AACB48}" sibTransId="{A7D5E1F1-C4A9-4572-8295-173813913F3D}"/>
    <dgm:cxn modelId="{8CFF1752-2666-4C3F-A9FF-D250E7D60BA8}" type="presOf" srcId="{ADCFF1D0-AD6C-47F4-8C0E-6443EF0C15C2}" destId="{B9E69C17-81F3-449D-A4DA-1EA2D09AD30B}" srcOrd="0" destOrd="0" presId="urn:microsoft.com/office/officeart/2005/8/layout/hierarchy2"/>
    <dgm:cxn modelId="{0D24F673-EA1E-49D4-80D8-8ACCEE129F7A}" type="presOf" srcId="{EB45C0F0-DE70-4528-AFBA-FAD542E57F26}" destId="{6A374D7B-9C22-492D-8E4F-1DDEC0A698B1}" srcOrd="1" destOrd="0" presId="urn:microsoft.com/office/officeart/2005/8/layout/hierarchy2"/>
    <dgm:cxn modelId="{C9072554-5777-4268-BD6F-BD41D115C028}" type="presOf" srcId="{670E09CB-72CB-477B-9969-8C3F69110651}" destId="{266F5ECF-8CF5-4991-B634-7CAC99E3C9BF}" srcOrd="0" destOrd="0" presId="urn:microsoft.com/office/officeart/2005/8/layout/hierarchy2"/>
    <dgm:cxn modelId="{7C783554-8F2B-4E13-BBC8-799B3368B9D1}" type="presOf" srcId="{6FC4A721-320F-49AD-8DDD-24E1109E7335}" destId="{6F1A86B1-8869-4F92-9FF9-462909AF8AA6}" srcOrd="0" destOrd="0" presId="urn:microsoft.com/office/officeart/2005/8/layout/hierarchy2"/>
    <dgm:cxn modelId="{727CF856-381E-45AC-9525-27CC87A44AC8}" srcId="{BAF79D47-4F13-4A72-BB94-1ED36224831C}" destId="{558C09B1-C7E7-4BB1-87A2-AE8F304665F6}" srcOrd="6" destOrd="0" parTransId="{AAA9E15A-946E-4EA6-853A-CE81A5C91315}" sibTransId="{68545B94-0847-46AF-B960-5060CA2A0DD9}"/>
    <dgm:cxn modelId="{62EDD357-1F9B-4362-A9AD-D54758DA47DB}" type="presOf" srcId="{AAA9E15A-946E-4EA6-853A-CE81A5C91315}" destId="{9D13F18C-364E-4E44-868A-8D061A6CB315}" srcOrd="1" destOrd="0" presId="urn:microsoft.com/office/officeart/2005/8/layout/hierarchy2"/>
    <dgm:cxn modelId="{5A6B6478-13F5-41A6-8F23-05EAB79074C4}" srcId="{BAF79D47-4F13-4A72-BB94-1ED36224831C}" destId="{BCF07C6E-FD36-40CC-B949-AA0E81507E41}" srcOrd="5" destOrd="0" parTransId="{7D8C7768-E874-4C07-8891-1EAB24B791D7}" sibTransId="{B9B0BDEE-B850-46AD-B9E0-1E3EC0618B40}"/>
    <dgm:cxn modelId="{3CFD8478-0097-4452-886A-15A38A6BACFC}" type="presOf" srcId="{2D68EF62-7E8F-4884-A401-E9B0E1134E37}" destId="{426DB920-A3BE-42D4-9205-A0DA7D4CB8F0}" srcOrd="0" destOrd="0" presId="urn:microsoft.com/office/officeart/2005/8/layout/hierarchy2"/>
    <dgm:cxn modelId="{B9D4117A-3D45-45DE-B6E9-A3A29262BC73}" type="presOf" srcId="{28B14D77-3C8B-4849-9874-E89C3419EA3E}" destId="{2B4F6192-790D-47FC-8D89-DA775C3BB1D6}" srcOrd="1" destOrd="0" presId="urn:microsoft.com/office/officeart/2005/8/layout/hierarchy2"/>
    <dgm:cxn modelId="{21E5425A-736E-4C3F-8FE9-9FFB627D2600}" type="presOf" srcId="{0CBCD057-B34F-4537-83CA-65A998D38BFC}" destId="{F243EEEC-040E-4587-A9E4-F5F7C7975677}" srcOrd="1" destOrd="0" presId="urn:microsoft.com/office/officeart/2005/8/layout/hierarchy2"/>
    <dgm:cxn modelId="{B792D25A-BA4B-401E-9E27-179077FB94D9}" type="presOf" srcId="{BCDDDB00-11EC-475E-A002-F9EF1D4D2E02}" destId="{21165700-13B8-4F2B-86FE-200AB0149C4C}" srcOrd="0" destOrd="0" presId="urn:microsoft.com/office/officeart/2005/8/layout/hierarchy2"/>
    <dgm:cxn modelId="{DF54AA7D-E34D-4368-BF00-E0A27EC9EBD2}" type="presOf" srcId="{BCF07C6E-FD36-40CC-B949-AA0E81507E41}" destId="{6E09F1DB-4CB0-442D-A53C-566EF5087851}" srcOrd="0" destOrd="0" presId="urn:microsoft.com/office/officeart/2005/8/layout/hierarchy2"/>
    <dgm:cxn modelId="{6D9FD77F-4684-4E23-87EA-ACE174BC9F02}" type="presOf" srcId="{2D68EF62-7E8F-4884-A401-E9B0E1134E37}" destId="{45EC2B31-9D2D-45A9-B427-47B687E9EC10}" srcOrd="1" destOrd="0" presId="urn:microsoft.com/office/officeart/2005/8/layout/hierarchy2"/>
    <dgm:cxn modelId="{6EA0AB83-E6CF-4F32-9256-20BB9A99F5EC}" srcId="{BAF79D47-4F13-4A72-BB94-1ED36224831C}" destId="{AE7BC1A8-D9CC-40D8-B803-571B31EDC0F4}" srcOrd="3" destOrd="0" parTransId="{8B8A0996-0C12-4241-A7E8-DBED0DDD9E3C}" sibTransId="{86D1BA58-2078-4453-AC17-D168636305A3}"/>
    <dgm:cxn modelId="{C02D3887-9E34-41AE-8C5E-2667DCBA60A1}" type="presOf" srcId="{7D8C7768-E874-4C07-8891-1EAB24B791D7}" destId="{19FB77F6-1F0E-4D69-B215-0740B78883E1}" srcOrd="0" destOrd="0" presId="urn:microsoft.com/office/officeart/2005/8/layout/hierarchy2"/>
    <dgm:cxn modelId="{1D1B458A-320F-4355-AFA8-283D27E2DA0B}" type="presOf" srcId="{4465EF4D-E25B-40FC-9D30-1517DA1526C8}" destId="{9E95C499-A5C4-4F8F-8C46-F3B24208CBE5}" srcOrd="1" destOrd="0" presId="urn:microsoft.com/office/officeart/2005/8/layout/hierarchy2"/>
    <dgm:cxn modelId="{9535CD8B-00DA-461B-8703-5229CC4785D5}" type="presOf" srcId="{EF1921CC-5649-4EB7-B339-538E04955371}" destId="{3FEF4EE8-CF71-4E73-951D-2F568E419AA5}" srcOrd="1" destOrd="0" presId="urn:microsoft.com/office/officeart/2005/8/layout/hierarchy2"/>
    <dgm:cxn modelId="{AB19228C-638B-4F9B-B54A-07080D63DD95}" type="presOf" srcId="{1997AF31-BC34-4A4E-8175-8B3ABDCA4305}" destId="{5CDDCA7A-3E45-401D-9FDA-AC816122ABA6}" srcOrd="0" destOrd="0" presId="urn:microsoft.com/office/officeart/2005/8/layout/hierarchy2"/>
    <dgm:cxn modelId="{46DD5D90-4549-4ACE-B439-A499E9F74C7A}" type="presOf" srcId="{143FAA84-A994-4E60-891B-5C044EF28207}" destId="{6858253D-A1F2-411C-B09B-674CDFD2004A}" srcOrd="0" destOrd="0" presId="urn:microsoft.com/office/officeart/2005/8/layout/hierarchy2"/>
    <dgm:cxn modelId="{D8878C90-7FE6-4627-BA32-5D5DD354BDB9}" srcId="{E1AF9DB2-8F4E-41E1-8AEF-1FE1709FCB86}" destId="{FC27EEA0-63E7-4C42-BDA8-B9E5CA0145CF}" srcOrd="6" destOrd="0" parTransId="{EF1921CC-5649-4EB7-B339-538E04955371}" sibTransId="{EAC02E2A-189A-4450-A2DE-ADDDC3880C92}"/>
    <dgm:cxn modelId="{EA9DA790-8B87-4A08-9739-9DEF5693CFDE}" type="presOf" srcId="{0CBCD057-B34F-4537-83CA-65A998D38BFC}" destId="{D2A279FE-7B5A-4D80-9D91-08C4C64E4539}" srcOrd="0" destOrd="0" presId="urn:microsoft.com/office/officeart/2005/8/layout/hierarchy2"/>
    <dgm:cxn modelId="{38D29193-2B35-489A-975D-9CBDAE48C7B6}" type="presOf" srcId="{BAF79D47-4F13-4A72-BB94-1ED36224831C}" destId="{678D262F-164C-4380-941B-1730F9ACF153}" srcOrd="0" destOrd="0" presId="urn:microsoft.com/office/officeart/2005/8/layout/hierarchy2"/>
    <dgm:cxn modelId="{F7649495-BAD7-4DC3-9BA9-C6366FB7C134}" type="presOf" srcId="{8C1A7AAE-8C88-4DA4-BAE1-190C0ABED381}" destId="{FD34F33E-E8CB-4736-861E-E8FDFD074505}" srcOrd="0" destOrd="0" presId="urn:microsoft.com/office/officeart/2005/8/layout/hierarchy2"/>
    <dgm:cxn modelId="{B50BD299-060E-4D2C-87C4-8C7F86F1672D}" type="presOf" srcId="{A01233AA-DBE5-429E-9D2A-C7C799559E5B}" destId="{15718288-9D7E-46B3-BFFB-47878AECCD4F}" srcOrd="0" destOrd="0" presId="urn:microsoft.com/office/officeart/2005/8/layout/hierarchy2"/>
    <dgm:cxn modelId="{B954E499-E7AA-4179-9C67-0210ADEAA039}" type="presOf" srcId="{7F56BAE0-F166-4A48-BF86-FF42D9EC0B90}" destId="{AF901B4D-6298-48A0-88C7-B58C6BF6DFED}" srcOrd="0" destOrd="0" presId="urn:microsoft.com/office/officeart/2005/8/layout/hierarchy2"/>
    <dgm:cxn modelId="{D00BC49C-8975-40CB-AEEC-61710DE4B1EE}" type="presOf" srcId="{CDFEE8C1-0172-49AC-B231-B200526E5B55}" destId="{6306A9C4-E56C-420D-A1BB-22EEBDA188A2}" srcOrd="0" destOrd="0" presId="urn:microsoft.com/office/officeart/2005/8/layout/hierarchy2"/>
    <dgm:cxn modelId="{942E9F9F-9D3B-4C6A-BC89-7A3524310A1D}" type="presOf" srcId="{FC27EEA0-63E7-4C42-BDA8-B9E5CA0145CF}" destId="{5E991383-A90D-49E3-AC13-9967570C4AB7}" srcOrd="0" destOrd="0" presId="urn:microsoft.com/office/officeart/2005/8/layout/hierarchy2"/>
    <dgm:cxn modelId="{D80C83A0-4A00-43F6-96A9-C2ADF890EFF3}" type="presOf" srcId="{43852A73-CD61-4175-9D75-950F52D4021C}" destId="{063E61FA-CEF8-4521-8CFD-5AE4CCA157F7}" srcOrd="0" destOrd="0" presId="urn:microsoft.com/office/officeart/2005/8/layout/hierarchy2"/>
    <dgm:cxn modelId="{94EA14A2-E1E6-4A64-A677-4FE7063108C5}" type="presOf" srcId="{43115FF6-8DBF-45A6-A308-B1825B84F198}" destId="{5125E5A4-6FE4-4B22-806A-103EA9965922}" srcOrd="0" destOrd="0" presId="urn:microsoft.com/office/officeart/2005/8/layout/hierarchy2"/>
    <dgm:cxn modelId="{5D24A7A2-E7B1-4688-80F8-1D2C693CB242}" type="presOf" srcId="{9C9B5131-0D51-4CCC-B456-4A38C8A54625}" destId="{355A2FB1-1FEE-43E8-A9AC-759AA689F69E}" srcOrd="0" destOrd="0" presId="urn:microsoft.com/office/officeart/2005/8/layout/hierarchy2"/>
    <dgm:cxn modelId="{9E0A4DA3-57B0-440A-9ABF-F2B6E286DF28}" type="presOf" srcId="{D71AFC73-427D-459A-919D-BBECD0184BDC}" destId="{67A1DB84-BB43-4531-840A-ECAC997DE604}" srcOrd="1" destOrd="0" presId="urn:microsoft.com/office/officeart/2005/8/layout/hierarchy2"/>
    <dgm:cxn modelId="{D2B6FAA3-346C-43C2-BA3A-541842C58FAB}" srcId="{620C05B9-1412-4A3C-BBE2-32BE3CC5E897}" destId="{E1AF9DB2-8F4E-41E1-8AEF-1FE1709FCB86}" srcOrd="3" destOrd="0" parTransId="{5F94AEB5-7324-4A93-A491-51A88C516205}" sibTransId="{A2F73825-E916-4538-962E-201968B9CFAE}"/>
    <dgm:cxn modelId="{F23449A4-32F5-441C-AD60-7952364EA569}" type="presOf" srcId="{7D8C7768-E874-4C07-8891-1EAB24B791D7}" destId="{7FD6E0B5-9EC5-47E8-9AA6-014C2B8C65CF}" srcOrd="1" destOrd="0" presId="urn:microsoft.com/office/officeart/2005/8/layout/hierarchy2"/>
    <dgm:cxn modelId="{6EC408A6-2634-4762-BA79-178EAB3D5C22}" type="presOf" srcId="{0C5B9616-2519-4EDF-91AA-1A825705647A}" destId="{C37F543F-7DAC-4C06-906B-C0AEF497320D}" srcOrd="0" destOrd="0" presId="urn:microsoft.com/office/officeart/2005/8/layout/hierarchy2"/>
    <dgm:cxn modelId="{DCB205A7-4F7D-4B0D-A379-16F2D4CECF19}" type="presOf" srcId="{EB45C0F0-DE70-4528-AFBA-FAD542E57F26}" destId="{4D2CE3AF-EF29-4FD2-8EEA-C400F1ED4A69}" srcOrd="0" destOrd="0" presId="urn:microsoft.com/office/officeart/2005/8/layout/hierarchy2"/>
    <dgm:cxn modelId="{D36063A8-7B2D-4BF8-AACB-1D6E1DEF4B2A}" type="presOf" srcId="{1FA3D685-F63E-4C83-AE5C-49590ABE88C2}" destId="{16529F8B-5514-4654-BB39-4BEB4AFCF476}" srcOrd="1" destOrd="0" presId="urn:microsoft.com/office/officeart/2005/8/layout/hierarchy2"/>
    <dgm:cxn modelId="{FD29F4AA-A220-4525-9BB3-52DC130EFF2B}" srcId="{B188828D-A18B-488D-ACFA-C6AE99ABA04A}" destId="{B35ED5BF-E883-43C3-91F5-14C658F823DA}" srcOrd="1" destOrd="0" parTransId="{9C9B5131-0D51-4CCC-B456-4A38C8A54625}" sibTransId="{85BDAD44-9C76-4FD7-95A2-757FC9EF7033}"/>
    <dgm:cxn modelId="{E0BCD6AB-3738-4A88-B892-20583A8CA7B5}" type="presOf" srcId="{6547EBC0-DD88-4272-B89C-D14FAB286796}" destId="{6F7D418D-3B09-468C-BDC9-F6CC4D7B1DF2}" srcOrd="0" destOrd="0" presId="urn:microsoft.com/office/officeart/2005/8/layout/hierarchy2"/>
    <dgm:cxn modelId="{D84C63AC-DBC3-43A8-BF8D-71FE90638F0F}" type="presOf" srcId="{98597BCE-A326-4AE0-BABB-917900080182}" destId="{573EA159-A9E7-480D-B0C3-FF048E19B68F}" srcOrd="0" destOrd="0" presId="urn:microsoft.com/office/officeart/2005/8/layout/hierarchy2"/>
    <dgm:cxn modelId="{665D36B0-D5FD-4CD2-BDF6-3C32AEE859E7}" type="presOf" srcId="{D92D7890-E602-4352-958C-405A71548BE4}" destId="{1FDAE32B-8416-4C4B-B28B-3C4169D2BC17}" srcOrd="1" destOrd="0" presId="urn:microsoft.com/office/officeart/2005/8/layout/hierarchy2"/>
    <dgm:cxn modelId="{C4FD6AB0-75C7-4D6E-A234-2D599BBDC899}" srcId="{BAF79D47-4F13-4A72-BB94-1ED36224831C}" destId="{F615F225-17B0-40B5-B28F-327700BDC55E}" srcOrd="2" destOrd="0" parTransId="{96275FE3-4ADD-4330-9737-2841E56A92D9}" sibTransId="{3D5A644F-04FD-4FAD-ABC2-4300CDC12202}"/>
    <dgm:cxn modelId="{56469FB3-10C4-4214-A6B2-F822481069F2}" type="presOf" srcId="{AE5F6832-A87D-4E2B-9887-F9B49FC033EA}" destId="{AD2A586C-CD71-4CCC-9F63-18C8E95A75AD}" srcOrd="1" destOrd="0" presId="urn:microsoft.com/office/officeart/2005/8/layout/hierarchy2"/>
    <dgm:cxn modelId="{5A3960B4-D969-4E30-9A14-A66B75523FFA}" type="presOf" srcId="{553B575F-8188-4479-9148-86E837394BDE}" destId="{F8D5E279-E72F-403F-8D28-F68B527EAB7A}" srcOrd="0" destOrd="0" presId="urn:microsoft.com/office/officeart/2005/8/layout/hierarchy2"/>
    <dgm:cxn modelId="{FCA837BA-1C70-4F0B-A4D8-394094CBDC38}" type="presOf" srcId="{98597BCE-A326-4AE0-BABB-917900080182}" destId="{7DF82066-9CA7-4B92-94DF-872B4F89F54D}" srcOrd="1" destOrd="0" presId="urn:microsoft.com/office/officeart/2005/8/layout/hierarchy2"/>
    <dgm:cxn modelId="{A7DE3BBC-FD52-4584-8F9B-89BE9ED91ED4}" type="presOf" srcId="{96275FE3-4ADD-4330-9737-2841E56A92D9}" destId="{683EDD76-850E-42F5-B1EB-69E5840CEEAE}" srcOrd="1" destOrd="0" presId="urn:microsoft.com/office/officeart/2005/8/layout/hierarchy2"/>
    <dgm:cxn modelId="{C80B90BF-8DFF-4D73-A8B3-F04FB18729CC}" type="presOf" srcId="{7F56BAE0-F166-4A48-BF86-FF42D9EC0B90}" destId="{BE68710A-5762-40B2-9D94-29014AAACA1A}" srcOrd="1" destOrd="0" presId="urn:microsoft.com/office/officeart/2005/8/layout/hierarchy2"/>
    <dgm:cxn modelId="{0F84B2BF-FE01-48B8-B92A-6720E01CC5DC}" type="presOf" srcId="{9C5C66D9-9601-437A-BB09-4C22132DD0D2}" destId="{860AC8E8-7C7C-4FB9-883E-83C70A4A640A}" srcOrd="0" destOrd="0" presId="urn:microsoft.com/office/officeart/2005/8/layout/hierarchy2"/>
    <dgm:cxn modelId="{C00DB5C1-39AA-4187-A14E-E7FE8D63FA57}" srcId="{42AF3EF2-3B18-4E68-845F-2D5674AAB998}" destId="{143FAA84-A994-4E60-891B-5C044EF28207}" srcOrd="5" destOrd="0" parTransId="{D71AFC73-427D-459A-919D-BBECD0184BDC}" sibTransId="{6C6300BF-D9E4-4F0E-91CE-91FAC2D8AF43}"/>
    <dgm:cxn modelId="{EDA88CC2-AAC1-4291-9B31-D3BDB50C1455}" type="presOf" srcId="{E0BC0274-643C-4143-82E5-10A77801CDF4}" destId="{2DFA3672-335E-475F-8FB7-C1581DA908F9}" srcOrd="1" destOrd="0" presId="urn:microsoft.com/office/officeart/2005/8/layout/hierarchy2"/>
    <dgm:cxn modelId="{EC0BF7C8-6159-4370-B78E-7C051C5BB7EC}" type="presOf" srcId="{FB4F03A8-E879-4FA6-9A40-7CFC8C6EFF10}" destId="{9959DFE6-ED29-4568-9DCF-409749788E86}" srcOrd="0" destOrd="0" presId="urn:microsoft.com/office/officeart/2005/8/layout/hierarchy2"/>
    <dgm:cxn modelId="{4F34C7C9-6D46-4F51-8428-8A5499071B0C}" srcId="{E1AF9DB2-8F4E-41E1-8AEF-1FE1709FCB86}" destId="{BCDDDB00-11EC-475E-A002-F9EF1D4D2E02}" srcOrd="2" destOrd="0" parTransId="{EB45C0F0-DE70-4528-AFBA-FAD542E57F26}" sibTransId="{FF62B5AF-BD0E-48F6-82E8-3711A5C13553}"/>
    <dgm:cxn modelId="{3F06D6CA-6047-4F4F-8C33-17754200B20C}" type="presOf" srcId="{E0BC0274-643C-4143-82E5-10A77801CDF4}" destId="{578ACA32-1F0B-4160-A582-F829C6780036}" srcOrd="0" destOrd="0" presId="urn:microsoft.com/office/officeart/2005/8/layout/hierarchy2"/>
    <dgm:cxn modelId="{B7008ACE-BD2D-4E7E-B7E1-A5ABF7E09D53}" type="presOf" srcId="{558C09B1-C7E7-4BB1-87A2-AE8F304665F6}" destId="{E9730263-B09E-413A-A1D3-5C408712ABE4}" srcOrd="0" destOrd="0" presId="urn:microsoft.com/office/officeart/2005/8/layout/hierarchy2"/>
    <dgm:cxn modelId="{4E9006CF-7C27-44A5-B7F1-A44FB7C4B21A}" type="presOf" srcId="{42AF3EF2-3B18-4E68-845F-2D5674AAB998}" destId="{2150FCD7-8694-476C-B909-B0DEC85FA402}" srcOrd="0" destOrd="0" presId="urn:microsoft.com/office/officeart/2005/8/layout/hierarchy2"/>
    <dgm:cxn modelId="{51D1A5DA-6D50-409D-A8F3-7099B7352EB0}" type="presOf" srcId="{8BF9D81A-A562-4444-A94F-B6659D820A45}" destId="{CB53ED59-1B7A-44FB-BA68-B7AD3DD718BC}" srcOrd="0" destOrd="0" presId="urn:microsoft.com/office/officeart/2005/8/layout/hierarchy2"/>
    <dgm:cxn modelId="{7F3252DB-4EAE-4B66-8CA6-F70263AEB70C}" type="presOf" srcId="{6547EBC0-DD88-4272-B89C-D14FAB286796}" destId="{136385BC-F262-43CE-9DCA-96D4D7A2DDC3}" srcOrd="1" destOrd="0" presId="urn:microsoft.com/office/officeart/2005/8/layout/hierarchy2"/>
    <dgm:cxn modelId="{9D115BE3-C5F2-46EA-988F-5FE1B01F94B7}" srcId="{42AF3EF2-3B18-4E68-845F-2D5674AAB998}" destId="{F6392E67-B05C-4100-8CB9-2EFC196F901D}" srcOrd="3" destOrd="0" parTransId="{D92D7890-E602-4352-958C-405A71548BE4}" sibTransId="{E8EC55DA-47FA-4059-A8E7-F7B5D37A5DDC}"/>
    <dgm:cxn modelId="{DF2994E4-2351-44F1-9E5A-A4DAA0534561}" type="presOf" srcId="{DBAE3184-FEF6-4354-AF95-60016236E311}" destId="{37649492-0807-4DAA-A1FC-385C0172A419}" srcOrd="0" destOrd="0" presId="urn:microsoft.com/office/officeart/2005/8/layout/hierarchy2"/>
    <dgm:cxn modelId="{AB1E9BE6-566F-44CA-99DA-6B8AD5698532}" srcId="{B188828D-A18B-488D-ACFA-C6AE99ABA04A}" destId="{1997AF31-BC34-4A4E-8175-8B3ABDCA4305}" srcOrd="4" destOrd="0" parTransId="{E0BC0274-643C-4143-82E5-10A77801CDF4}" sibTransId="{C98104F8-8CA6-48F2-8957-2AA30287CC59}"/>
    <dgm:cxn modelId="{50F4CAE9-8210-46C0-B6F9-E670CA736EAF}" type="presOf" srcId="{03FAD118-7B8B-4900-BEE8-1DA548DE6DC7}" destId="{81AA7102-DC71-4050-9EA4-165D00A64EF7}" srcOrd="1" destOrd="0" presId="urn:microsoft.com/office/officeart/2005/8/layout/hierarchy2"/>
    <dgm:cxn modelId="{EA41FBE9-0079-4050-A88D-E7D03DA6ADC7}" type="presOf" srcId="{3DB1CB4A-895D-4AF6-A9B4-DE2C32AACB48}" destId="{E7800304-0C95-4AF4-B3A3-34F2B80DF049}" srcOrd="1" destOrd="0" presId="urn:microsoft.com/office/officeart/2005/8/layout/hierarchy2"/>
    <dgm:cxn modelId="{542790EA-866B-400A-A960-BD3E4C2DBFAC}" srcId="{42AF3EF2-3B18-4E68-845F-2D5674AAB998}" destId="{670E09CB-72CB-477B-9969-8C3F69110651}" srcOrd="1" destOrd="0" parTransId="{553B575F-8188-4479-9148-86E837394BDE}" sibTransId="{EF9F6BA9-A715-42B2-A269-664F34D296CA}"/>
    <dgm:cxn modelId="{03A6E4EC-5F1D-4915-A759-659AB3490CE8}" type="presOf" srcId="{B35ED5BF-E883-43C3-91F5-14C658F823DA}" destId="{9F0EB83D-9685-4D7F-9461-5AEAB3D17009}" srcOrd="0" destOrd="0" presId="urn:microsoft.com/office/officeart/2005/8/layout/hierarchy2"/>
    <dgm:cxn modelId="{EB839FED-9FF9-486C-B92D-9CEF1CF98FD7}" srcId="{B188828D-A18B-488D-ACFA-C6AE99ABA04A}" destId="{9C5C66D9-9601-437A-BB09-4C22132DD0D2}" srcOrd="5" destOrd="0" parTransId="{AE5F6832-A87D-4E2B-9887-F9B49FC033EA}" sibTransId="{C0854A22-5C1F-4E3C-806D-BDF7E2CD89D6}"/>
    <dgm:cxn modelId="{E2A1DAED-EA12-4456-AC2A-FB28A7EED55B}" srcId="{B188828D-A18B-488D-ACFA-C6AE99ABA04A}" destId="{D1706B56-C6FB-4C4F-A716-1DC21B2DC7AE}" srcOrd="6" destOrd="0" parTransId="{4465EF4D-E25B-40FC-9D30-1517DA1526C8}" sibTransId="{507BD70D-7EBD-4D7A-B240-4A3D77D197BA}"/>
    <dgm:cxn modelId="{1714CEF0-B721-4473-82C3-F79D18501B9E}" type="presOf" srcId="{96275FE3-4ADD-4330-9737-2841E56A92D9}" destId="{86399885-C50F-4F4C-9493-7D17643A22F7}" srcOrd="0" destOrd="0" presId="urn:microsoft.com/office/officeart/2005/8/layout/hierarchy2"/>
    <dgm:cxn modelId="{C4D12BF1-B9F4-44C3-B14C-DA46F9AC5C5D}" type="presOf" srcId="{553B575F-8188-4479-9148-86E837394BDE}" destId="{08DBB156-471C-4F61-915E-D9D6D4FBBD49}" srcOrd="1" destOrd="0" presId="urn:microsoft.com/office/officeart/2005/8/layout/hierarchy2"/>
    <dgm:cxn modelId="{BDA4CAF1-7CAB-426E-B18D-38096A757FFB}" srcId="{FB4F03A8-E879-4FA6-9A40-7CFC8C6EFF10}" destId="{CDFEE8C1-0172-49AC-B231-B200526E5B55}" srcOrd="0" destOrd="0" parTransId="{1FA3D685-F63E-4C83-AE5C-49590ABE88C2}" sibTransId="{B47468ED-C06D-4943-A151-6794675872AF}"/>
    <dgm:cxn modelId="{EDBF05F2-BED3-4B52-A3B6-2D9DEA5983AC}" type="presOf" srcId="{28B14D77-3C8B-4849-9874-E89C3419EA3E}" destId="{F315D1C0-E154-4CD0-AC7C-3DBEFAEBA42A}" srcOrd="0" destOrd="0" presId="urn:microsoft.com/office/officeart/2005/8/layout/hierarchy2"/>
    <dgm:cxn modelId="{DEC8E8F5-0268-4C3F-9C84-22AC3A8A74EF}" type="presOf" srcId="{F3D40897-738C-40C5-8428-139826FAAF6E}" destId="{DD0BB8C7-1A4D-4267-B911-2645F303D175}" srcOrd="0" destOrd="0" presId="urn:microsoft.com/office/officeart/2005/8/layout/hierarchy2"/>
    <dgm:cxn modelId="{DD3AF2F7-09B4-403F-91FC-13C72C55F5E9}" srcId="{B188828D-A18B-488D-ACFA-C6AE99ABA04A}" destId="{B95720C1-4A24-4142-BED2-7D2CBFF1D478}" srcOrd="2" destOrd="0" parTransId="{2D68EF62-7E8F-4884-A401-E9B0E1134E37}" sibTransId="{8F4B1195-0B6D-46EF-A1E8-C06C8A37DBAD}"/>
    <dgm:cxn modelId="{895333F9-2A3B-4409-B732-37A23FF8C22E}" type="presOf" srcId="{620C05B9-1412-4A3C-BBE2-32BE3CC5E897}" destId="{F1F6A895-3BBB-4C9C-95F7-8DCB221D674B}" srcOrd="0" destOrd="0" presId="urn:microsoft.com/office/officeart/2005/8/layout/hierarchy2"/>
    <dgm:cxn modelId="{F5E657FC-9D07-4664-984E-B66B43C1EB0F}" type="presOf" srcId="{F6392E67-B05C-4100-8CB9-2EFC196F901D}" destId="{D16F1C38-5627-40D5-B02E-DD2B0CD57050}" srcOrd="0" destOrd="0" presId="urn:microsoft.com/office/officeart/2005/8/layout/hierarchy2"/>
    <dgm:cxn modelId="{371FC8FC-EBE4-4F37-AD6E-BFDEAB7B29B8}" srcId="{42AF3EF2-3B18-4E68-845F-2D5674AAB998}" destId="{0C5B9616-2519-4EDF-91AA-1A825705647A}" srcOrd="0" destOrd="0" parTransId="{DBAE3184-FEF6-4354-AF95-60016236E311}" sibTransId="{E6CAD063-617A-4F82-AE05-5FE4D2A093E3}"/>
    <dgm:cxn modelId="{E1AA72FE-49FD-47B3-B14B-D7FA45822EA6}" type="presOf" srcId="{5BB0A942-3CA1-4862-8301-F1DD8F890C61}" destId="{20A0E67C-E8F1-4C28-A9A8-F8553F48C3C5}" srcOrd="0" destOrd="0" presId="urn:microsoft.com/office/officeart/2005/8/layout/hierarchy2"/>
    <dgm:cxn modelId="{B799ADFF-1A2A-4903-8F52-49660F6F2142}" type="presOf" srcId="{EF1921CC-5649-4EB7-B339-538E04955371}" destId="{0A913328-2CFB-4073-A03D-A1582BDAF0D0}" srcOrd="0" destOrd="0" presId="urn:microsoft.com/office/officeart/2005/8/layout/hierarchy2"/>
    <dgm:cxn modelId="{22D0C4FF-DC0B-4194-A59F-E4611763A53E}" srcId="{42AF3EF2-3B18-4E68-845F-2D5674AAB998}" destId="{1CE93431-8211-4D84-A058-08A41C06B6F4}" srcOrd="4" destOrd="0" parTransId="{03FAD118-7B8B-4900-BEE8-1DA548DE6DC7}" sibTransId="{4BBC40BB-E086-4AB7-A989-9E9BEC6C5F12}"/>
    <dgm:cxn modelId="{22D5CBFF-B395-4F60-819A-3A42DA2F88A5}" type="presOf" srcId="{C98AAD15-811B-46C7-AA2B-8BAD8311CC05}" destId="{D04EADAA-0B89-44A2-86BA-86319599266B}" srcOrd="0" destOrd="0" presId="urn:microsoft.com/office/officeart/2005/8/layout/hierarchy2"/>
    <dgm:cxn modelId="{1B883356-8EEF-4F14-9EBD-B7819113A887}" type="presParOf" srcId="{F1F6A895-3BBB-4C9C-95F7-8DCB221D674B}" destId="{3ED283FE-7C4E-4F3B-9542-497825FC6DDC}" srcOrd="0" destOrd="0" presId="urn:microsoft.com/office/officeart/2005/8/layout/hierarchy2"/>
    <dgm:cxn modelId="{42CC257F-27A5-4213-A056-72AD5CA156F0}" type="presParOf" srcId="{3ED283FE-7C4E-4F3B-9542-497825FC6DDC}" destId="{2150FCD7-8694-476C-B909-B0DEC85FA402}" srcOrd="0" destOrd="0" presId="urn:microsoft.com/office/officeart/2005/8/layout/hierarchy2"/>
    <dgm:cxn modelId="{3570CFC1-A559-438F-85FF-26ECB4217417}" type="presParOf" srcId="{3ED283FE-7C4E-4F3B-9542-497825FC6DDC}" destId="{E043EAFC-A4F5-45EC-B620-BCD23EC3B6EF}" srcOrd="1" destOrd="0" presId="urn:microsoft.com/office/officeart/2005/8/layout/hierarchy2"/>
    <dgm:cxn modelId="{A655EFBC-89A8-4DE5-9CAB-C88DABDB585B}" type="presParOf" srcId="{E043EAFC-A4F5-45EC-B620-BCD23EC3B6EF}" destId="{37649492-0807-4DAA-A1FC-385C0172A419}" srcOrd="0" destOrd="0" presId="urn:microsoft.com/office/officeart/2005/8/layout/hierarchy2"/>
    <dgm:cxn modelId="{67707562-084D-437F-90ED-1DABCB904FC6}" type="presParOf" srcId="{37649492-0807-4DAA-A1FC-385C0172A419}" destId="{A6E3E118-6A0D-4068-862B-0FD7803C62EC}" srcOrd="0" destOrd="0" presId="urn:microsoft.com/office/officeart/2005/8/layout/hierarchy2"/>
    <dgm:cxn modelId="{74318AE3-61F8-440D-A639-943A129F1159}" type="presParOf" srcId="{E043EAFC-A4F5-45EC-B620-BCD23EC3B6EF}" destId="{41A21614-FFCD-40A2-870E-0960EF2B094D}" srcOrd="1" destOrd="0" presId="urn:microsoft.com/office/officeart/2005/8/layout/hierarchy2"/>
    <dgm:cxn modelId="{FB8E3A62-73EB-4AB8-A0FB-8409B9D79048}" type="presParOf" srcId="{41A21614-FFCD-40A2-870E-0960EF2B094D}" destId="{C37F543F-7DAC-4C06-906B-C0AEF497320D}" srcOrd="0" destOrd="0" presId="urn:microsoft.com/office/officeart/2005/8/layout/hierarchy2"/>
    <dgm:cxn modelId="{5EADFCDD-298F-4D95-AD83-69DDB7905703}" type="presParOf" srcId="{41A21614-FFCD-40A2-870E-0960EF2B094D}" destId="{896DB79B-285A-48E0-BDD4-446B93C326F6}" srcOrd="1" destOrd="0" presId="urn:microsoft.com/office/officeart/2005/8/layout/hierarchy2"/>
    <dgm:cxn modelId="{48C10D9A-07CC-4D28-A56A-33C735F9F484}" type="presParOf" srcId="{E043EAFC-A4F5-45EC-B620-BCD23EC3B6EF}" destId="{F8D5E279-E72F-403F-8D28-F68B527EAB7A}" srcOrd="2" destOrd="0" presId="urn:microsoft.com/office/officeart/2005/8/layout/hierarchy2"/>
    <dgm:cxn modelId="{C2CC814B-F103-41AC-A92E-C5222D9A4DEF}" type="presParOf" srcId="{F8D5E279-E72F-403F-8D28-F68B527EAB7A}" destId="{08DBB156-471C-4F61-915E-D9D6D4FBBD49}" srcOrd="0" destOrd="0" presId="urn:microsoft.com/office/officeart/2005/8/layout/hierarchy2"/>
    <dgm:cxn modelId="{9C2A7924-F86C-488C-A14B-D68DCB3C09B5}" type="presParOf" srcId="{E043EAFC-A4F5-45EC-B620-BCD23EC3B6EF}" destId="{417383E9-B642-436B-A831-DB71FF1D5D17}" srcOrd="3" destOrd="0" presId="urn:microsoft.com/office/officeart/2005/8/layout/hierarchy2"/>
    <dgm:cxn modelId="{CFC38F02-2978-4F0B-9FA5-F4B7E95B03A6}" type="presParOf" srcId="{417383E9-B642-436B-A831-DB71FF1D5D17}" destId="{266F5ECF-8CF5-4991-B634-7CAC99E3C9BF}" srcOrd="0" destOrd="0" presId="urn:microsoft.com/office/officeart/2005/8/layout/hierarchy2"/>
    <dgm:cxn modelId="{9447A65A-E730-4940-916F-44E6DA6297CF}" type="presParOf" srcId="{417383E9-B642-436B-A831-DB71FF1D5D17}" destId="{ACFF9046-5C7F-4649-AA23-D076BD461FF2}" srcOrd="1" destOrd="0" presId="urn:microsoft.com/office/officeart/2005/8/layout/hierarchy2"/>
    <dgm:cxn modelId="{E1BB9565-06E9-4DF7-A4AA-48A6B70139C7}" type="presParOf" srcId="{E043EAFC-A4F5-45EC-B620-BCD23EC3B6EF}" destId="{063E61FA-CEF8-4521-8CFD-5AE4CCA157F7}" srcOrd="4" destOrd="0" presId="urn:microsoft.com/office/officeart/2005/8/layout/hierarchy2"/>
    <dgm:cxn modelId="{EE755CBE-5289-4228-BC17-F64F978311F3}" type="presParOf" srcId="{063E61FA-CEF8-4521-8CFD-5AE4CCA157F7}" destId="{C46D06D3-9BE7-4D17-9F9D-EF654AA83011}" srcOrd="0" destOrd="0" presId="urn:microsoft.com/office/officeart/2005/8/layout/hierarchy2"/>
    <dgm:cxn modelId="{459543F3-8CF8-403D-B6DC-0ECEE27EBAE3}" type="presParOf" srcId="{E043EAFC-A4F5-45EC-B620-BCD23EC3B6EF}" destId="{B40638EF-00D4-4C94-8B73-93E8A0CD30E4}" srcOrd="5" destOrd="0" presId="urn:microsoft.com/office/officeart/2005/8/layout/hierarchy2"/>
    <dgm:cxn modelId="{30F1FC2D-FAD5-4B02-8295-9E47844BFD46}" type="presParOf" srcId="{B40638EF-00D4-4C94-8B73-93E8A0CD30E4}" destId="{5125E5A4-6FE4-4B22-806A-103EA9965922}" srcOrd="0" destOrd="0" presId="urn:microsoft.com/office/officeart/2005/8/layout/hierarchy2"/>
    <dgm:cxn modelId="{022CA9A1-BBF7-46BE-9087-43418C080979}" type="presParOf" srcId="{B40638EF-00D4-4C94-8B73-93E8A0CD30E4}" destId="{52E01D17-E2BE-4B90-ADC9-A50C55BF781A}" srcOrd="1" destOrd="0" presId="urn:microsoft.com/office/officeart/2005/8/layout/hierarchy2"/>
    <dgm:cxn modelId="{1271399F-15F0-4D74-BF74-2F76AA01F748}" type="presParOf" srcId="{E043EAFC-A4F5-45EC-B620-BCD23EC3B6EF}" destId="{D0460D58-A9D1-49EF-B8FD-EB3735BD0120}" srcOrd="6" destOrd="0" presId="urn:microsoft.com/office/officeart/2005/8/layout/hierarchy2"/>
    <dgm:cxn modelId="{E15DBF8C-C365-4B12-8297-7F845F27D068}" type="presParOf" srcId="{D0460D58-A9D1-49EF-B8FD-EB3735BD0120}" destId="{1FDAE32B-8416-4C4B-B28B-3C4169D2BC17}" srcOrd="0" destOrd="0" presId="urn:microsoft.com/office/officeart/2005/8/layout/hierarchy2"/>
    <dgm:cxn modelId="{2B71CF05-6535-4865-9449-1AB3902AB253}" type="presParOf" srcId="{E043EAFC-A4F5-45EC-B620-BCD23EC3B6EF}" destId="{B6FD510D-4B0C-46FD-B7E9-D06FE9BDB52C}" srcOrd="7" destOrd="0" presId="urn:microsoft.com/office/officeart/2005/8/layout/hierarchy2"/>
    <dgm:cxn modelId="{AB472454-DC46-436E-BA02-601C25DFDA2B}" type="presParOf" srcId="{B6FD510D-4B0C-46FD-B7E9-D06FE9BDB52C}" destId="{D16F1C38-5627-40D5-B02E-DD2B0CD57050}" srcOrd="0" destOrd="0" presId="urn:microsoft.com/office/officeart/2005/8/layout/hierarchy2"/>
    <dgm:cxn modelId="{52CE00AA-818A-46F4-BCBF-248F8EB9D14C}" type="presParOf" srcId="{B6FD510D-4B0C-46FD-B7E9-D06FE9BDB52C}" destId="{01E0C5FB-0C0D-41BB-A606-1E4DE284AD6D}" srcOrd="1" destOrd="0" presId="urn:microsoft.com/office/officeart/2005/8/layout/hierarchy2"/>
    <dgm:cxn modelId="{FCDD56CD-ED58-4385-B137-C334498E0DE8}" type="presParOf" srcId="{E043EAFC-A4F5-45EC-B620-BCD23EC3B6EF}" destId="{63EFAA04-7853-414D-88F6-EBDB95D6A25E}" srcOrd="8" destOrd="0" presId="urn:microsoft.com/office/officeart/2005/8/layout/hierarchy2"/>
    <dgm:cxn modelId="{9565E904-B778-4115-9AA3-0500DFFA445B}" type="presParOf" srcId="{63EFAA04-7853-414D-88F6-EBDB95D6A25E}" destId="{81AA7102-DC71-4050-9EA4-165D00A64EF7}" srcOrd="0" destOrd="0" presId="urn:microsoft.com/office/officeart/2005/8/layout/hierarchy2"/>
    <dgm:cxn modelId="{C9379BB9-5D25-4052-A8FC-CBF4069A8FE8}" type="presParOf" srcId="{E043EAFC-A4F5-45EC-B620-BCD23EC3B6EF}" destId="{FB7690C7-DAC2-4EA6-BAA3-63DB89663493}" srcOrd="9" destOrd="0" presId="urn:microsoft.com/office/officeart/2005/8/layout/hierarchy2"/>
    <dgm:cxn modelId="{7D33F4EF-F0BE-44DF-8DF8-C90764543140}" type="presParOf" srcId="{FB7690C7-DAC2-4EA6-BAA3-63DB89663493}" destId="{6813FEC5-A739-460B-95A2-953E490441B9}" srcOrd="0" destOrd="0" presId="urn:microsoft.com/office/officeart/2005/8/layout/hierarchy2"/>
    <dgm:cxn modelId="{E793936A-7F7F-4392-9254-050B420ED1DC}" type="presParOf" srcId="{FB7690C7-DAC2-4EA6-BAA3-63DB89663493}" destId="{B6C61B92-958F-4D20-9107-45E9AABDC758}" srcOrd="1" destOrd="0" presId="urn:microsoft.com/office/officeart/2005/8/layout/hierarchy2"/>
    <dgm:cxn modelId="{7A0AE2D3-2F1D-498D-9B99-419AA061FBB0}" type="presParOf" srcId="{E043EAFC-A4F5-45EC-B620-BCD23EC3B6EF}" destId="{9DB8C709-7DD6-47E9-B922-587212426417}" srcOrd="10" destOrd="0" presId="urn:microsoft.com/office/officeart/2005/8/layout/hierarchy2"/>
    <dgm:cxn modelId="{53E6A5F3-1CE9-4EA0-A4A2-842766F5ADBF}" type="presParOf" srcId="{9DB8C709-7DD6-47E9-B922-587212426417}" destId="{67A1DB84-BB43-4531-840A-ECAC997DE604}" srcOrd="0" destOrd="0" presId="urn:microsoft.com/office/officeart/2005/8/layout/hierarchy2"/>
    <dgm:cxn modelId="{4B9CC58A-B86C-49A2-9204-1F12C1C3D171}" type="presParOf" srcId="{E043EAFC-A4F5-45EC-B620-BCD23EC3B6EF}" destId="{626EC0C9-2D2C-4DB5-813E-7B0BCC063035}" srcOrd="11" destOrd="0" presId="urn:microsoft.com/office/officeart/2005/8/layout/hierarchy2"/>
    <dgm:cxn modelId="{09421C32-CA8B-4A9A-975E-D82492506BB9}" type="presParOf" srcId="{626EC0C9-2D2C-4DB5-813E-7B0BCC063035}" destId="{6858253D-A1F2-411C-B09B-674CDFD2004A}" srcOrd="0" destOrd="0" presId="urn:microsoft.com/office/officeart/2005/8/layout/hierarchy2"/>
    <dgm:cxn modelId="{D965B8E3-DDAA-4B6E-A0B2-7DEA1100B122}" type="presParOf" srcId="{626EC0C9-2D2C-4DB5-813E-7B0BCC063035}" destId="{6D475760-CCA6-4AA2-B3E0-37BEB53A3A02}" srcOrd="1" destOrd="0" presId="urn:microsoft.com/office/officeart/2005/8/layout/hierarchy2"/>
    <dgm:cxn modelId="{EF48C0E5-E44E-49EB-B939-4DB56B3C9BBC}" type="presParOf" srcId="{E043EAFC-A4F5-45EC-B620-BCD23EC3B6EF}" destId="{20A0E67C-E8F1-4C28-A9A8-F8553F48C3C5}" srcOrd="12" destOrd="0" presId="urn:microsoft.com/office/officeart/2005/8/layout/hierarchy2"/>
    <dgm:cxn modelId="{58EC2B53-6ACE-4C25-A106-2BB82BE4A0BE}" type="presParOf" srcId="{20A0E67C-E8F1-4C28-A9A8-F8553F48C3C5}" destId="{76F5B875-D613-4961-BA23-C1A4C4E9E8F1}" srcOrd="0" destOrd="0" presId="urn:microsoft.com/office/officeart/2005/8/layout/hierarchy2"/>
    <dgm:cxn modelId="{B72841C7-6AFA-4AD5-9E3F-D64FDE8ED4E1}" type="presParOf" srcId="{E043EAFC-A4F5-45EC-B620-BCD23EC3B6EF}" destId="{1F49445D-11C6-43C0-BE7F-43A1D0DAFAB9}" srcOrd="13" destOrd="0" presId="urn:microsoft.com/office/officeart/2005/8/layout/hierarchy2"/>
    <dgm:cxn modelId="{43EA7241-0A9A-459D-8050-83DF3A5D285D}" type="presParOf" srcId="{1F49445D-11C6-43C0-BE7F-43A1D0DAFAB9}" destId="{B9E69C17-81F3-449D-A4DA-1EA2D09AD30B}" srcOrd="0" destOrd="0" presId="urn:microsoft.com/office/officeart/2005/8/layout/hierarchy2"/>
    <dgm:cxn modelId="{F16DED40-57D9-44A3-8C95-2148944C091C}" type="presParOf" srcId="{1F49445D-11C6-43C0-BE7F-43A1D0DAFAB9}" destId="{61F93634-8FFE-44C2-905E-40AB342CD847}" srcOrd="1" destOrd="0" presId="urn:microsoft.com/office/officeart/2005/8/layout/hierarchy2"/>
    <dgm:cxn modelId="{78A03169-7C84-4EF4-8E3A-6604C04E99A0}" type="presParOf" srcId="{F1F6A895-3BBB-4C9C-95F7-8DCB221D674B}" destId="{BFAFC52D-67D1-4DB6-81A3-FDB7F59D2EFC}" srcOrd="1" destOrd="0" presId="urn:microsoft.com/office/officeart/2005/8/layout/hierarchy2"/>
    <dgm:cxn modelId="{93FA1E57-CA41-4855-8F49-F60151535D83}" type="presParOf" srcId="{BFAFC52D-67D1-4DB6-81A3-FDB7F59D2EFC}" destId="{678D262F-164C-4380-941B-1730F9ACF153}" srcOrd="0" destOrd="0" presId="urn:microsoft.com/office/officeart/2005/8/layout/hierarchy2"/>
    <dgm:cxn modelId="{24F083CB-319A-42DA-92F0-F1375543E2A8}" type="presParOf" srcId="{BFAFC52D-67D1-4DB6-81A3-FDB7F59D2EFC}" destId="{A3CEE4A3-5ECB-45D4-B68F-E43189911BD5}" srcOrd="1" destOrd="0" presId="urn:microsoft.com/office/officeart/2005/8/layout/hierarchy2"/>
    <dgm:cxn modelId="{C76DBA1E-5398-435E-8C92-715B7C0F5C7B}" type="presParOf" srcId="{A3CEE4A3-5ECB-45D4-B68F-E43189911BD5}" destId="{F315D1C0-E154-4CD0-AC7C-3DBEFAEBA42A}" srcOrd="0" destOrd="0" presId="urn:microsoft.com/office/officeart/2005/8/layout/hierarchy2"/>
    <dgm:cxn modelId="{91928A55-C40B-4336-99C8-1182107CA0D7}" type="presParOf" srcId="{F315D1C0-E154-4CD0-AC7C-3DBEFAEBA42A}" destId="{2B4F6192-790D-47FC-8D89-DA775C3BB1D6}" srcOrd="0" destOrd="0" presId="urn:microsoft.com/office/officeart/2005/8/layout/hierarchy2"/>
    <dgm:cxn modelId="{7C264A84-A093-470E-93D2-D3D66FEA2B68}" type="presParOf" srcId="{A3CEE4A3-5ECB-45D4-B68F-E43189911BD5}" destId="{37AE2F92-0853-4B87-8DC2-A11946761D75}" srcOrd="1" destOrd="0" presId="urn:microsoft.com/office/officeart/2005/8/layout/hierarchy2"/>
    <dgm:cxn modelId="{CD633A45-001D-4E67-9437-08CD62C83286}" type="presParOf" srcId="{37AE2F92-0853-4B87-8DC2-A11946761D75}" destId="{DDB04051-105A-4ACD-AED0-6EF6809053DE}" srcOrd="0" destOrd="0" presId="urn:microsoft.com/office/officeart/2005/8/layout/hierarchy2"/>
    <dgm:cxn modelId="{83DD27E8-1522-4DD4-8448-5343045C0595}" type="presParOf" srcId="{37AE2F92-0853-4B87-8DC2-A11946761D75}" destId="{9DFDED03-20C4-4EB7-93F7-A060901DA5D4}" srcOrd="1" destOrd="0" presId="urn:microsoft.com/office/officeart/2005/8/layout/hierarchy2"/>
    <dgm:cxn modelId="{7699C06F-8F13-4E96-918A-40342AFB29CA}" type="presParOf" srcId="{A3CEE4A3-5ECB-45D4-B68F-E43189911BD5}" destId="{D2A279FE-7B5A-4D80-9D91-08C4C64E4539}" srcOrd="2" destOrd="0" presId="urn:microsoft.com/office/officeart/2005/8/layout/hierarchy2"/>
    <dgm:cxn modelId="{A2156AAA-76D2-4735-9506-05E592C6AE70}" type="presParOf" srcId="{D2A279FE-7B5A-4D80-9D91-08C4C64E4539}" destId="{F243EEEC-040E-4587-A9E4-F5F7C7975677}" srcOrd="0" destOrd="0" presId="urn:microsoft.com/office/officeart/2005/8/layout/hierarchy2"/>
    <dgm:cxn modelId="{CEDD433F-AADA-48D1-9382-121881FCA71D}" type="presParOf" srcId="{A3CEE4A3-5ECB-45D4-B68F-E43189911BD5}" destId="{3AD56551-30B3-4BE0-AF1E-C70299E18AEC}" srcOrd="3" destOrd="0" presId="urn:microsoft.com/office/officeart/2005/8/layout/hierarchy2"/>
    <dgm:cxn modelId="{35CE5439-3FE7-476F-9D7F-6D4372E3F82F}" type="presParOf" srcId="{3AD56551-30B3-4BE0-AF1E-C70299E18AEC}" destId="{FD34F33E-E8CB-4736-861E-E8FDFD074505}" srcOrd="0" destOrd="0" presId="urn:microsoft.com/office/officeart/2005/8/layout/hierarchy2"/>
    <dgm:cxn modelId="{68856D0F-E2CE-4B3B-8A93-CB882DA87683}" type="presParOf" srcId="{3AD56551-30B3-4BE0-AF1E-C70299E18AEC}" destId="{A77E1557-2924-4F3D-A002-23FA2C71E7B0}" srcOrd="1" destOrd="0" presId="urn:microsoft.com/office/officeart/2005/8/layout/hierarchy2"/>
    <dgm:cxn modelId="{A78D9A46-6668-4471-84B4-A28A1DD05076}" type="presParOf" srcId="{A3CEE4A3-5ECB-45D4-B68F-E43189911BD5}" destId="{86399885-C50F-4F4C-9493-7D17643A22F7}" srcOrd="4" destOrd="0" presId="urn:microsoft.com/office/officeart/2005/8/layout/hierarchy2"/>
    <dgm:cxn modelId="{B6302900-5E3A-429E-9E38-F2610C03C760}" type="presParOf" srcId="{86399885-C50F-4F4C-9493-7D17643A22F7}" destId="{683EDD76-850E-42F5-B1EB-69E5840CEEAE}" srcOrd="0" destOrd="0" presId="urn:microsoft.com/office/officeart/2005/8/layout/hierarchy2"/>
    <dgm:cxn modelId="{9D0A22C2-FE5B-4BF7-BA1C-E25E84E983F3}" type="presParOf" srcId="{A3CEE4A3-5ECB-45D4-B68F-E43189911BD5}" destId="{FD639FE5-6425-4475-91BB-180EDB901E85}" srcOrd="5" destOrd="0" presId="urn:microsoft.com/office/officeart/2005/8/layout/hierarchy2"/>
    <dgm:cxn modelId="{176EDC81-6BDD-400D-B0D8-64E6532737E2}" type="presParOf" srcId="{FD639FE5-6425-4475-91BB-180EDB901E85}" destId="{B874081D-D790-4AC1-A69E-E74970FF6A80}" srcOrd="0" destOrd="0" presId="urn:microsoft.com/office/officeart/2005/8/layout/hierarchy2"/>
    <dgm:cxn modelId="{3184D696-FAE7-4F61-8279-CBA98253AA3F}" type="presParOf" srcId="{FD639FE5-6425-4475-91BB-180EDB901E85}" destId="{6385B79C-2F98-43EB-A262-5701EB79A329}" srcOrd="1" destOrd="0" presId="urn:microsoft.com/office/officeart/2005/8/layout/hierarchy2"/>
    <dgm:cxn modelId="{C7AEA40B-FCFD-4BEB-B835-59FEBF39DA4A}" type="presParOf" srcId="{A3CEE4A3-5ECB-45D4-B68F-E43189911BD5}" destId="{95807270-7013-40B6-AA1E-140716AE3D46}" srcOrd="6" destOrd="0" presId="urn:microsoft.com/office/officeart/2005/8/layout/hierarchy2"/>
    <dgm:cxn modelId="{6BB50763-5364-4329-9046-DC4FEF525688}" type="presParOf" srcId="{95807270-7013-40B6-AA1E-140716AE3D46}" destId="{DDA9B393-B42E-4980-A456-FE1FF381E038}" srcOrd="0" destOrd="0" presId="urn:microsoft.com/office/officeart/2005/8/layout/hierarchy2"/>
    <dgm:cxn modelId="{328CD598-EC2A-4F5D-8E67-81A0FA03ADEC}" type="presParOf" srcId="{A3CEE4A3-5ECB-45D4-B68F-E43189911BD5}" destId="{F54990A4-612B-4F0E-A304-D31A96465271}" srcOrd="7" destOrd="0" presId="urn:microsoft.com/office/officeart/2005/8/layout/hierarchy2"/>
    <dgm:cxn modelId="{D0C0FBA9-6184-4F31-824E-AF8C3C381884}" type="presParOf" srcId="{F54990A4-612B-4F0E-A304-D31A96465271}" destId="{A9FEF00A-8135-4014-B3CB-13737BC565CE}" srcOrd="0" destOrd="0" presId="urn:microsoft.com/office/officeart/2005/8/layout/hierarchy2"/>
    <dgm:cxn modelId="{E8309BB9-A1B5-4F1E-919D-18DFD277E4E7}" type="presParOf" srcId="{F54990A4-612B-4F0E-A304-D31A96465271}" destId="{FA83F8DB-8D52-470B-B2E1-EEFE093D2C96}" srcOrd="1" destOrd="0" presId="urn:microsoft.com/office/officeart/2005/8/layout/hierarchy2"/>
    <dgm:cxn modelId="{FE0B7750-DDBF-4C71-8972-C2E54946115A}" type="presParOf" srcId="{A3CEE4A3-5ECB-45D4-B68F-E43189911BD5}" destId="{6F1A86B1-8869-4F92-9FF9-462909AF8AA6}" srcOrd="8" destOrd="0" presId="urn:microsoft.com/office/officeart/2005/8/layout/hierarchy2"/>
    <dgm:cxn modelId="{47D95398-0AF2-490D-AB24-71F2FF58231F}" type="presParOf" srcId="{6F1A86B1-8869-4F92-9FF9-462909AF8AA6}" destId="{AC8AB2C7-0261-4CC7-9B34-9DD9822C3283}" srcOrd="0" destOrd="0" presId="urn:microsoft.com/office/officeart/2005/8/layout/hierarchy2"/>
    <dgm:cxn modelId="{CE803F76-EB82-4708-9317-A151477A1B4D}" type="presParOf" srcId="{A3CEE4A3-5ECB-45D4-B68F-E43189911BD5}" destId="{24C9B97A-F89A-4C5C-8A36-6A29AD850D91}" srcOrd="9" destOrd="0" presId="urn:microsoft.com/office/officeart/2005/8/layout/hierarchy2"/>
    <dgm:cxn modelId="{B951C499-4BDF-473C-9CAE-8A562CD04DD3}" type="presParOf" srcId="{24C9B97A-F89A-4C5C-8A36-6A29AD850D91}" destId="{0CC2E8BF-CD0A-4E67-996F-CDD2C3B78E4B}" srcOrd="0" destOrd="0" presId="urn:microsoft.com/office/officeart/2005/8/layout/hierarchy2"/>
    <dgm:cxn modelId="{315ABE35-7BAF-4FE4-B955-DD7F9266F25A}" type="presParOf" srcId="{24C9B97A-F89A-4C5C-8A36-6A29AD850D91}" destId="{A63736D1-292A-4860-8E7D-2C62DD2DBDAA}" srcOrd="1" destOrd="0" presId="urn:microsoft.com/office/officeart/2005/8/layout/hierarchy2"/>
    <dgm:cxn modelId="{54EEA233-2F3A-4BAA-BCB6-B1099C450202}" type="presParOf" srcId="{A3CEE4A3-5ECB-45D4-B68F-E43189911BD5}" destId="{19FB77F6-1F0E-4D69-B215-0740B78883E1}" srcOrd="10" destOrd="0" presId="urn:microsoft.com/office/officeart/2005/8/layout/hierarchy2"/>
    <dgm:cxn modelId="{112FC947-7FB8-444D-99CF-9EAB2A11C21F}" type="presParOf" srcId="{19FB77F6-1F0E-4D69-B215-0740B78883E1}" destId="{7FD6E0B5-9EC5-47E8-9AA6-014C2B8C65CF}" srcOrd="0" destOrd="0" presId="urn:microsoft.com/office/officeart/2005/8/layout/hierarchy2"/>
    <dgm:cxn modelId="{6E8A6699-8F96-4432-B370-1B217F01D9E4}" type="presParOf" srcId="{A3CEE4A3-5ECB-45D4-B68F-E43189911BD5}" destId="{AE60F601-73C3-4A35-A3EF-7DD6497CC680}" srcOrd="11" destOrd="0" presId="urn:microsoft.com/office/officeart/2005/8/layout/hierarchy2"/>
    <dgm:cxn modelId="{B17017A3-5FA2-4C70-AADB-D33964961CAC}" type="presParOf" srcId="{AE60F601-73C3-4A35-A3EF-7DD6497CC680}" destId="{6E09F1DB-4CB0-442D-A53C-566EF5087851}" srcOrd="0" destOrd="0" presId="urn:microsoft.com/office/officeart/2005/8/layout/hierarchy2"/>
    <dgm:cxn modelId="{FABF4664-090D-4D50-8B98-D1218C731911}" type="presParOf" srcId="{AE60F601-73C3-4A35-A3EF-7DD6497CC680}" destId="{41DD51E6-3C11-4B82-8DA8-04CEDF764324}" srcOrd="1" destOrd="0" presId="urn:microsoft.com/office/officeart/2005/8/layout/hierarchy2"/>
    <dgm:cxn modelId="{161377D0-CB06-423C-9862-6D711A163E83}" type="presParOf" srcId="{A3CEE4A3-5ECB-45D4-B68F-E43189911BD5}" destId="{A5CB59BC-856F-47A8-9BB2-825363D884A6}" srcOrd="12" destOrd="0" presId="urn:microsoft.com/office/officeart/2005/8/layout/hierarchy2"/>
    <dgm:cxn modelId="{1A43F6BD-C402-4496-85FA-A0F18EABE265}" type="presParOf" srcId="{A5CB59BC-856F-47A8-9BB2-825363D884A6}" destId="{9D13F18C-364E-4E44-868A-8D061A6CB315}" srcOrd="0" destOrd="0" presId="urn:microsoft.com/office/officeart/2005/8/layout/hierarchy2"/>
    <dgm:cxn modelId="{05910778-C738-4658-AC48-6CE1BB2A167F}" type="presParOf" srcId="{A3CEE4A3-5ECB-45D4-B68F-E43189911BD5}" destId="{19E8365F-341E-44EE-8396-49ADD6B184EB}" srcOrd="13" destOrd="0" presId="urn:microsoft.com/office/officeart/2005/8/layout/hierarchy2"/>
    <dgm:cxn modelId="{C2023F96-B51C-4B6A-B31D-A97281E7945A}" type="presParOf" srcId="{19E8365F-341E-44EE-8396-49ADD6B184EB}" destId="{E9730263-B09E-413A-A1D3-5C408712ABE4}" srcOrd="0" destOrd="0" presId="urn:microsoft.com/office/officeart/2005/8/layout/hierarchy2"/>
    <dgm:cxn modelId="{893A1FAF-9C8C-4727-B0CD-D26DD05FE635}" type="presParOf" srcId="{19E8365F-341E-44EE-8396-49ADD6B184EB}" destId="{7ACE9887-6FF9-4500-BB38-BD1BC292A68B}" srcOrd="1" destOrd="0" presId="urn:microsoft.com/office/officeart/2005/8/layout/hierarchy2"/>
    <dgm:cxn modelId="{9E99A3F7-6A64-483E-B151-1F9C9B29907C}" type="presParOf" srcId="{F1F6A895-3BBB-4C9C-95F7-8DCB221D674B}" destId="{FA6FE610-A454-4460-85FD-FEA6A981329D}" srcOrd="2" destOrd="0" presId="urn:microsoft.com/office/officeart/2005/8/layout/hierarchy2"/>
    <dgm:cxn modelId="{0C0CF400-881F-4D70-BA82-47CDBD25015E}" type="presParOf" srcId="{FA6FE610-A454-4460-85FD-FEA6A981329D}" destId="{9BBFE5E3-2759-4932-8C45-067B3D3B469C}" srcOrd="0" destOrd="0" presId="urn:microsoft.com/office/officeart/2005/8/layout/hierarchy2"/>
    <dgm:cxn modelId="{A2323443-7757-4133-9910-243459F82625}" type="presParOf" srcId="{FA6FE610-A454-4460-85FD-FEA6A981329D}" destId="{93E10360-EDA2-4865-A3E1-6CB0B17A411B}" srcOrd="1" destOrd="0" presId="urn:microsoft.com/office/officeart/2005/8/layout/hierarchy2"/>
    <dgm:cxn modelId="{099EC1AA-DF2E-475C-9500-33FDDD6E8C8C}" type="presParOf" srcId="{93E10360-EDA2-4865-A3E1-6CB0B17A411B}" destId="{573EA159-A9E7-480D-B0C3-FF048E19B68F}" srcOrd="0" destOrd="0" presId="urn:microsoft.com/office/officeart/2005/8/layout/hierarchy2"/>
    <dgm:cxn modelId="{30801F55-6E26-427E-96A4-55501558E9D6}" type="presParOf" srcId="{573EA159-A9E7-480D-B0C3-FF048E19B68F}" destId="{7DF82066-9CA7-4B92-94DF-872B4F89F54D}" srcOrd="0" destOrd="0" presId="urn:microsoft.com/office/officeart/2005/8/layout/hierarchy2"/>
    <dgm:cxn modelId="{DD54FEEB-D98B-4CA8-AD35-CA2E37BFED98}" type="presParOf" srcId="{93E10360-EDA2-4865-A3E1-6CB0B17A411B}" destId="{B12D74AF-B8B0-4B72-A837-A54762875439}" srcOrd="1" destOrd="0" presId="urn:microsoft.com/office/officeart/2005/8/layout/hierarchy2"/>
    <dgm:cxn modelId="{5C1483FA-626E-45DF-A500-497BD78FB822}" type="presParOf" srcId="{B12D74AF-B8B0-4B72-A837-A54762875439}" destId="{DD0BB8C7-1A4D-4267-B911-2645F303D175}" srcOrd="0" destOrd="0" presId="urn:microsoft.com/office/officeart/2005/8/layout/hierarchy2"/>
    <dgm:cxn modelId="{B8C8C506-7E02-43DF-A948-C5B633BF7E86}" type="presParOf" srcId="{B12D74AF-B8B0-4B72-A837-A54762875439}" destId="{874A9517-DB33-4AFF-AADA-D438174BAA23}" srcOrd="1" destOrd="0" presId="urn:microsoft.com/office/officeart/2005/8/layout/hierarchy2"/>
    <dgm:cxn modelId="{C97EDBE6-5050-4C8E-804B-7B5CF343DEA0}" type="presParOf" srcId="{93E10360-EDA2-4865-A3E1-6CB0B17A411B}" destId="{355A2FB1-1FEE-43E8-A9AC-759AA689F69E}" srcOrd="2" destOrd="0" presId="urn:microsoft.com/office/officeart/2005/8/layout/hierarchy2"/>
    <dgm:cxn modelId="{FB8BDEA7-8D42-4AEA-B9B5-3A90C7FCC7E6}" type="presParOf" srcId="{355A2FB1-1FEE-43E8-A9AC-759AA689F69E}" destId="{29D2AD09-8474-47E8-8C64-267E192E9869}" srcOrd="0" destOrd="0" presId="urn:microsoft.com/office/officeart/2005/8/layout/hierarchy2"/>
    <dgm:cxn modelId="{4105FFEC-EE51-491C-8BDB-2BFD45BE9373}" type="presParOf" srcId="{93E10360-EDA2-4865-A3E1-6CB0B17A411B}" destId="{D8B926DD-57A0-4DD5-BB1A-2E97D025BF52}" srcOrd="3" destOrd="0" presId="urn:microsoft.com/office/officeart/2005/8/layout/hierarchy2"/>
    <dgm:cxn modelId="{BFFAC878-9C7B-4654-8055-73B0BCD58E0C}" type="presParOf" srcId="{D8B926DD-57A0-4DD5-BB1A-2E97D025BF52}" destId="{9F0EB83D-9685-4D7F-9461-5AEAB3D17009}" srcOrd="0" destOrd="0" presId="urn:microsoft.com/office/officeart/2005/8/layout/hierarchy2"/>
    <dgm:cxn modelId="{AD5B074C-6712-47C7-BB58-28674FD4E8D3}" type="presParOf" srcId="{D8B926DD-57A0-4DD5-BB1A-2E97D025BF52}" destId="{5500FD78-810B-4D6B-961C-763902E20BF9}" srcOrd="1" destOrd="0" presId="urn:microsoft.com/office/officeart/2005/8/layout/hierarchy2"/>
    <dgm:cxn modelId="{5F3ABE77-053E-4A22-B7E0-372EF24915C9}" type="presParOf" srcId="{93E10360-EDA2-4865-A3E1-6CB0B17A411B}" destId="{426DB920-A3BE-42D4-9205-A0DA7D4CB8F0}" srcOrd="4" destOrd="0" presId="urn:microsoft.com/office/officeart/2005/8/layout/hierarchy2"/>
    <dgm:cxn modelId="{3E39E7D0-CDAC-4FA1-9936-5C81AA327DD4}" type="presParOf" srcId="{426DB920-A3BE-42D4-9205-A0DA7D4CB8F0}" destId="{45EC2B31-9D2D-45A9-B427-47B687E9EC10}" srcOrd="0" destOrd="0" presId="urn:microsoft.com/office/officeart/2005/8/layout/hierarchy2"/>
    <dgm:cxn modelId="{0B1657D3-5D60-4E1A-8837-4B9EE4EBD8CE}" type="presParOf" srcId="{93E10360-EDA2-4865-A3E1-6CB0B17A411B}" destId="{E9E3A937-5C70-4CC6-BE88-C3E88A0E15B0}" srcOrd="5" destOrd="0" presId="urn:microsoft.com/office/officeart/2005/8/layout/hierarchy2"/>
    <dgm:cxn modelId="{FEC7FE80-0A55-4BA6-85ED-E934E5AD5B59}" type="presParOf" srcId="{E9E3A937-5C70-4CC6-BE88-C3E88A0E15B0}" destId="{54B411F9-FC13-4747-9D03-619A9B85CE74}" srcOrd="0" destOrd="0" presId="urn:microsoft.com/office/officeart/2005/8/layout/hierarchy2"/>
    <dgm:cxn modelId="{346230E6-969E-47D9-A5BF-CE53E08BF7CD}" type="presParOf" srcId="{E9E3A937-5C70-4CC6-BE88-C3E88A0E15B0}" destId="{447400FD-938B-4044-8A5B-CD0ABE4EED8F}" srcOrd="1" destOrd="0" presId="urn:microsoft.com/office/officeart/2005/8/layout/hierarchy2"/>
    <dgm:cxn modelId="{BD68136E-1E56-4587-B4ED-5BF4E50F5CA8}" type="presParOf" srcId="{93E10360-EDA2-4865-A3E1-6CB0B17A411B}" destId="{9C1DF7FA-F80B-4A6B-9730-AFF9F73FD026}" srcOrd="6" destOrd="0" presId="urn:microsoft.com/office/officeart/2005/8/layout/hierarchy2"/>
    <dgm:cxn modelId="{2F0F7A63-18E3-499B-B448-54FD5749E49D}" type="presParOf" srcId="{9C1DF7FA-F80B-4A6B-9730-AFF9F73FD026}" destId="{E7800304-0C95-4AF4-B3A3-34F2B80DF049}" srcOrd="0" destOrd="0" presId="urn:microsoft.com/office/officeart/2005/8/layout/hierarchy2"/>
    <dgm:cxn modelId="{37DFC411-E173-41F7-B2D2-41CCF40305CA}" type="presParOf" srcId="{93E10360-EDA2-4865-A3E1-6CB0B17A411B}" destId="{1EBB2D57-21B2-44DE-A698-7A7DA07544F5}" srcOrd="7" destOrd="0" presId="urn:microsoft.com/office/officeart/2005/8/layout/hierarchy2"/>
    <dgm:cxn modelId="{3A8B182D-9C06-47BE-AD8A-04BDB7CC3091}" type="presParOf" srcId="{1EBB2D57-21B2-44DE-A698-7A7DA07544F5}" destId="{48AEDD3E-521C-473B-B489-FB1258C4472E}" srcOrd="0" destOrd="0" presId="urn:microsoft.com/office/officeart/2005/8/layout/hierarchy2"/>
    <dgm:cxn modelId="{655FB3E0-979D-4A01-AF83-89D6EE5D9A66}" type="presParOf" srcId="{1EBB2D57-21B2-44DE-A698-7A7DA07544F5}" destId="{1B8A65C2-C1FB-42C8-BF0D-47C26D6ECDBD}" srcOrd="1" destOrd="0" presId="urn:microsoft.com/office/officeart/2005/8/layout/hierarchy2"/>
    <dgm:cxn modelId="{47CB4C81-1652-4C53-AB5A-B8DCF1488D67}" type="presParOf" srcId="{93E10360-EDA2-4865-A3E1-6CB0B17A411B}" destId="{578ACA32-1F0B-4160-A582-F829C6780036}" srcOrd="8" destOrd="0" presId="urn:microsoft.com/office/officeart/2005/8/layout/hierarchy2"/>
    <dgm:cxn modelId="{25A31E56-A4E2-4993-A3EA-96D766F1D493}" type="presParOf" srcId="{578ACA32-1F0B-4160-A582-F829C6780036}" destId="{2DFA3672-335E-475F-8FB7-C1581DA908F9}" srcOrd="0" destOrd="0" presId="urn:microsoft.com/office/officeart/2005/8/layout/hierarchy2"/>
    <dgm:cxn modelId="{45AE2A5D-670F-4D70-A34D-B9FC32ED842D}" type="presParOf" srcId="{93E10360-EDA2-4865-A3E1-6CB0B17A411B}" destId="{9D818062-373B-4A6A-BDC6-915CC6DA1A28}" srcOrd="9" destOrd="0" presId="urn:microsoft.com/office/officeart/2005/8/layout/hierarchy2"/>
    <dgm:cxn modelId="{7249EFDD-AABD-40E1-9837-B58C54E55E30}" type="presParOf" srcId="{9D818062-373B-4A6A-BDC6-915CC6DA1A28}" destId="{5CDDCA7A-3E45-401D-9FDA-AC816122ABA6}" srcOrd="0" destOrd="0" presId="urn:microsoft.com/office/officeart/2005/8/layout/hierarchy2"/>
    <dgm:cxn modelId="{B546BC98-070B-43B5-AEBF-397134A95785}" type="presParOf" srcId="{9D818062-373B-4A6A-BDC6-915CC6DA1A28}" destId="{1E291454-782B-4185-86C6-194D36A7553D}" srcOrd="1" destOrd="0" presId="urn:microsoft.com/office/officeart/2005/8/layout/hierarchy2"/>
    <dgm:cxn modelId="{B7DD2D00-9455-4A21-8E50-FF98304BE6A1}" type="presParOf" srcId="{93E10360-EDA2-4865-A3E1-6CB0B17A411B}" destId="{4695ACBE-580C-4B8C-9744-BA3D4354B0CD}" srcOrd="10" destOrd="0" presId="urn:microsoft.com/office/officeart/2005/8/layout/hierarchy2"/>
    <dgm:cxn modelId="{F03E2749-0E20-406D-8D92-14C4CA02BAB9}" type="presParOf" srcId="{4695ACBE-580C-4B8C-9744-BA3D4354B0CD}" destId="{AD2A586C-CD71-4CCC-9F63-18C8E95A75AD}" srcOrd="0" destOrd="0" presId="urn:microsoft.com/office/officeart/2005/8/layout/hierarchy2"/>
    <dgm:cxn modelId="{F15C4B88-D7EE-4937-AA62-59CE4014B1CE}" type="presParOf" srcId="{93E10360-EDA2-4865-A3E1-6CB0B17A411B}" destId="{724C3E8B-1C58-484F-829D-BC6301921921}" srcOrd="11" destOrd="0" presId="urn:microsoft.com/office/officeart/2005/8/layout/hierarchy2"/>
    <dgm:cxn modelId="{D9CB06AF-DB88-4986-974A-F4001C4FEF37}" type="presParOf" srcId="{724C3E8B-1C58-484F-829D-BC6301921921}" destId="{860AC8E8-7C7C-4FB9-883E-83C70A4A640A}" srcOrd="0" destOrd="0" presId="urn:microsoft.com/office/officeart/2005/8/layout/hierarchy2"/>
    <dgm:cxn modelId="{A7BA2EAC-80C1-478D-B681-836CE61A151A}" type="presParOf" srcId="{724C3E8B-1C58-484F-829D-BC6301921921}" destId="{FC10BADC-17FC-4E5D-8C44-15290A33FF32}" srcOrd="1" destOrd="0" presId="urn:microsoft.com/office/officeart/2005/8/layout/hierarchy2"/>
    <dgm:cxn modelId="{A828772D-F67F-4946-8296-DD87FA009B83}" type="presParOf" srcId="{93E10360-EDA2-4865-A3E1-6CB0B17A411B}" destId="{FF0F8A78-F4F6-4728-B863-B2FA3A444ABC}" srcOrd="12" destOrd="0" presId="urn:microsoft.com/office/officeart/2005/8/layout/hierarchy2"/>
    <dgm:cxn modelId="{824B96F8-7F0F-45AD-A248-EE4A0AC722E6}" type="presParOf" srcId="{FF0F8A78-F4F6-4728-B863-B2FA3A444ABC}" destId="{9E95C499-A5C4-4F8F-8C46-F3B24208CBE5}" srcOrd="0" destOrd="0" presId="urn:microsoft.com/office/officeart/2005/8/layout/hierarchy2"/>
    <dgm:cxn modelId="{EDA09E20-8A6B-4645-8100-144452BC5487}" type="presParOf" srcId="{93E10360-EDA2-4865-A3E1-6CB0B17A411B}" destId="{54855679-2E72-4419-8F47-F9F398917AA0}" srcOrd="13" destOrd="0" presId="urn:microsoft.com/office/officeart/2005/8/layout/hierarchy2"/>
    <dgm:cxn modelId="{BDBFB068-0815-479E-9EF9-04B11F46F7E5}" type="presParOf" srcId="{54855679-2E72-4419-8F47-F9F398917AA0}" destId="{E93F276A-9CCB-4947-A03A-6DA42BAA7DF3}" srcOrd="0" destOrd="0" presId="urn:microsoft.com/office/officeart/2005/8/layout/hierarchy2"/>
    <dgm:cxn modelId="{7E808647-CDC8-4F8E-A2CA-B14BF07DD5CB}" type="presParOf" srcId="{54855679-2E72-4419-8F47-F9F398917AA0}" destId="{38847341-5916-4DA4-A9F8-CCFC27C834EA}" srcOrd="1" destOrd="0" presId="urn:microsoft.com/office/officeart/2005/8/layout/hierarchy2"/>
    <dgm:cxn modelId="{34EB2357-F295-4690-980B-D1B3D711E01B}" type="presParOf" srcId="{F1F6A895-3BBB-4C9C-95F7-8DCB221D674B}" destId="{1A4B4FB0-C448-40C9-B43D-1F869F5442A4}" srcOrd="3" destOrd="0" presId="urn:microsoft.com/office/officeart/2005/8/layout/hierarchy2"/>
    <dgm:cxn modelId="{C02574F1-9FD3-4611-AB8D-3F3C1E109116}" type="presParOf" srcId="{1A4B4FB0-C448-40C9-B43D-1F869F5442A4}" destId="{B450184B-01DB-4637-A4D9-91E7FEFC5BEB}" srcOrd="0" destOrd="0" presId="urn:microsoft.com/office/officeart/2005/8/layout/hierarchy2"/>
    <dgm:cxn modelId="{65AFE499-56EA-4219-BD7F-7B3A01D10319}" type="presParOf" srcId="{1A4B4FB0-C448-40C9-B43D-1F869F5442A4}" destId="{945004DC-5E9B-438B-913E-557F5897AA48}" srcOrd="1" destOrd="0" presId="urn:microsoft.com/office/officeart/2005/8/layout/hierarchy2"/>
    <dgm:cxn modelId="{6616B794-D6BE-4642-BC37-17B68AC4232F}" type="presParOf" srcId="{945004DC-5E9B-438B-913E-557F5897AA48}" destId="{CB53ED59-1B7A-44FB-BA68-B7AD3DD718BC}" srcOrd="0" destOrd="0" presId="urn:microsoft.com/office/officeart/2005/8/layout/hierarchy2"/>
    <dgm:cxn modelId="{067A5544-47C0-4D98-BC11-9DE6BDF7FAD3}" type="presParOf" srcId="{CB53ED59-1B7A-44FB-BA68-B7AD3DD718BC}" destId="{C8D72FE1-DB44-450E-8900-DA27DEE96E41}" srcOrd="0" destOrd="0" presId="urn:microsoft.com/office/officeart/2005/8/layout/hierarchy2"/>
    <dgm:cxn modelId="{F56FD6AE-4771-41A1-92D6-C141347C9C48}" type="presParOf" srcId="{945004DC-5E9B-438B-913E-557F5897AA48}" destId="{E2AFE5E6-7245-4E84-9E49-602C269DF55A}" srcOrd="1" destOrd="0" presId="urn:microsoft.com/office/officeart/2005/8/layout/hierarchy2"/>
    <dgm:cxn modelId="{1E7EAB2B-0BFA-4370-84B6-DAD15DA1D150}" type="presParOf" srcId="{E2AFE5E6-7245-4E84-9E49-602C269DF55A}" destId="{9959DFE6-ED29-4568-9DCF-409749788E86}" srcOrd="0" destOrd="0" presId="urn:microsoft.com/office/officeart/2005/8/layout/hierarchy2"/>
    <dgm:cxn modelId="{860F4E57-45F6-49E6-A1C1-197BA53C092F}" type="presParOf" srcId="{E2AFE5E6-7245-4E84-9E49-602C269DF55A}" destId="{79DC8C1F-D21B-457E-90E4-7224A904EC92}" srcOrd="1" destOrd="0" presId="urn:microsoft.com/office/officeart/2005/8/layout/hierarchy2"/>
    <dgm:cxn modelId="{59ED9E61-C1BA-4B68-8AAA-253CE5E355BC}" type="presParOf" srcId="{79DC8C1F-D21B-457E-90E4-7224A904EC92}" destId="{DD5A534F-7DA3-4A39-8F8E-4222E7650AB4}" srcOrd="0" destOrd="0" presId="urn:microsoft.com/office/officeart/2005/8/layout/hierarchy2"/>
    <dgm:cxn modelId="{0FB1F839-46AD-437B-B058-8A65A6A41784}" type="presParOf" srcId="{DD5A534F-7DA3-4A39-8F8E-4222E7650AB4}" destId="{16529F8B-5514-4654-BB39-4BEB4AFCF476}" srcOrd="0" destOrd="0" presId="urn:microsoft.com/office/officeart/2005/8/layout/hierarchy2"/>
    <dgm:cxn modelId="{A3B96EB4-6E10-40B3-918E-93DDBDD4D1D2}" type="presParOf" srcId="{79DC8C1F-D21B-457E-90E4-7224A904EC92}" destId="{15B3FBAC-ACC9-411B-9786-42FE09F416FA}" srcOrd="1" destOrd="0" presId="urn:microsoft.com/office/officeart/2005/8/layout/hierarchy2"/>
    <dgm:cxn modelId="{C8A6DC41-7B1C-4C3F-A6E1-AD9863D21453}" type="presParOf" srcId="{15B3FBAC-ACC9-411B-9786-42FE09F416FA}" destId="{6306A9C4-E56C-420D-A1BB-22EEBDA188A2}" srcOrd="0" destOrd="0" presId="urn:microsoft.com/office/officeart/2005/8/layout/hierarchy2"/>
    <dgm:cxn modelId="{1E094BEF-BFE2-4BED-B756-956E67384B8A}" type="presParOf" srcId="{15B3FBAC-ACC9-411B-9786-42FE09F416FA}" destId="{753D6DAF-3FF1-4C6E-9708-1B52F572D811}" srcOrd="1" destOrd="0" presId="urn:microsoft.com/office/officeart/2005/8/layout/hierarchy2"/>
    <dgm:cxn modelId="{04A9FB5F-0B48-490E-8881-A419D6C29894}" type="presParOf" srcId="{945004DC-5E9B-438B-913E-557F5897AA48}" destId="{AF901B4D-6298-48A0-88C7-B58C6BF6DFED}" srcOrd="2" destOrd="0" presId="urn:microsoft.com/office/officeart/2005/8/layout/hierarchy2"/>
    <dgm:cxn modelId="{68A2A866-2138-407E-BF53-9E18B33CBCF9}" type="presParOf" srcId="{AF901B4D-6298-48A0-88C7-B58C6BF6DFED}" destId="{BE68710A-5762-40B2-9D94-29014AAACA1A}" srcOrd="0" destOrd="0" presId="urn:microsoft.com/office/officeart/2005/8/layout/hierarchy2"/>
    <dgm:cxn modelId="{4359EB19-CD53-4734-BA9A-C7BA48F991DC}" type="presParOf" srcId="{945004DC-5E9B-438B-913E-557F5897AA48}" destId="{0E5048BA-8BE9-4264-8A77-076D69E7F0B4}" srcOrd="3" destOrd="0" presId="urn:microsoft.com/office/officeart/2005/8/layout/hierarchy2"/>
    <dgm:cxn modelId="{37430C75-5C12-4DD5-8567-D6F24CDBBCBE}" type="presParOf" srcId="{0E5048BA-8BE9-4264-8A77-076D69E7F0B4}" destId="{AF220DF3-371D-4837-B8A4-94BA4D2BD536}" srcOrd="0" destOrd="0" presId="urn:microsoft.com/office/officeart/2005/8/layout/hierarchy2"/>
    <dgm:cxn modelId="{EDF7806E-0FEB-491A-84DE-32C105A41659}" type="presParOf" srcId="{0E5048BA-8BE9-4264-8A77-076D69E7F0B4}" destId="{AED67774-091A-4821-88F2-0C3A8574F1F5}" srcOrd="1" destOrd="0" presId="urn:microsoft.com/office/officeart/2005/8/layout/hierarchy2"/>
    <dgm:cxn modelId="{A706037B-CE56-4E44-96A3-4268B75F1751}" type="presParOf" srcId="{945004DC-5E9B-438B-913E-557F5897AA48}" destId="{4D2CE3AF-EF29-4FD2-8EEA-C400F1ED4A69}" srcOrd="4" destOrd="0" presId="urn:microsoft.com/office/officeart/2005/8/layout/hierarchy2"/>
    <dgm:cxn modelId="{443FF69B-97D4-4BBB-A71B-973805D0CAA6}" type="presParOf" srcId="{4D2CE3AF-EF29-4FD2-8EEA-C400F1ED4A69}" destId="{6A374D7B-9C22-492D-8E4F-1DDEC0A698B1}" srcOrd="0" destOrd="0" presId="urn:microsoft.com/office/officeart/2005/8/layout/hierarchy2"/>
    <dgm:cxn modelId="{4653DD0A-37FF-4A1E-9A63-1A99DA3D2978}" type="presParOf" srcId="{945004DC-5E9B-438B-913E-557F5897AA48}" destId="{FEB4DF47-CD5D-4203-AAC3-9B8B91EFF26F}" srcOrd="5" destOrd="0" presId="urn:microsoft.com/office/officeart/2005/8/layout/hierarchy2"/>
    <dgm:cxn modelId="{02806BF2-BEBB-4B29-BC7F-B79979AD960C}" type="presParOf" srcId="{FEB4DF47-CD5D-4203-AAC3-9B8B91EFF26F}" destId="{21165700-13B8-4F2B-86FE-200AB0149C4C}" srcOrd="0" destOrd="0" presId="urn:microsoft.com/office/officeart/2005/8/layout/hierarchy2"/>
    <dgm:cxn modelId="{3503B56C-F9EA-4E3D-B384-7210D6E3A4B9}" type="presParOf" srcId="{FEB4DF47-CD5D-4203-AAC3-9B8B91EFF26F}" destId="{CBFCC281-A024-416A-8E1B-BFB44995E635}" srcOrd="1" destOrd="0" presId="urn:microsoft.com/office/officeart/2005/8/layout/hierarchy2"/>
    <dgm:cxn modelId="{F3F34222-BFD8-4F37-BCF6-C740D7DCB7D6}" type="presParOf" srcId="{945004DC-5E9B-438B-913E-557F5897AA48}" destId="{E9AE776C-013E-44C3-9AC5-A440C368C64A}" srcOrd="6" destOrd="0" presId="urn:microsoft.com/office/officeart/2005/8/layout/hierarchy2"/>
    <dgm:cxn modelId="{9F3A4D38-ED89-456C-B779-B66832C9671D}" type="presParOf" srcId="{E9AE776C-013E-44C3-9AC5-A440C368C64A}" destId="{A34BC82E-953D-4FDB-846E-0A2E1A80B384}" srcOrd="0" destOrd="0" presId="urn:microsoft.com/office/officeart/2005/8/layout/hierarchy2"/>
    <dgm:cxn modelId="{92BA1170-31FA-4FF7-976C-DD2F5A0A2B00}" type="presParOf" srcId="{945004DC-5E9B-438B-913E-557F5897AA48}" destId="{02D5F21E-E176-4AFA-A70D-5C78979275C2}" srcOrd="7" destOrd="0" presId="urn:microsoft.com/office/officeart/2005/8/layout/hierarchy2"/>
    <dgm:cxn modelId="{33F2DAB8-5853-4F58-9051-C451F26569A4}" type="presParOf" srcId="{02D5F21E-E176-4AFA-A70D-5C78979275C2}" destId="{FC72F3A3-6CA4-4B0F-A780-13210000B55F}" srcOrd="0" destOrd="0" presId="urn:microsoft.com/office/officeart/2005/8/layout/hierarchy2"/>
    <dgm:cxn modelId="{0FEDBE90-C2F6-4E80-9139-75BF86294378}" type="presParOf" srcId="{02D5F21E-E176-4AFA-A70D-5C78979275C2}" destId="{428C5D6C-6F38-47D1-BC3B-B13D73E2348C}" srcOrd="1" destOrd="0" presId="urn:microsoft.com/office/officeart/2005/8/layout/hierarchy2"/>
    <dgm:cxn modelId="{ED03668F-B2FB-4576-BBAC-21DAD1488B2D}" type="presParOf" srcId="{945004DC-5E9B-438B-913E-557F5897AA48}" destId="{6F7D418D-3B09-468C-BDC9-F6CC4D7B1DF2}" srcOrd="8" destOrd="0" presId="urn:microsoft.com/office/officeart/2005/8/layout/hierarchy2"/>
    <dgm:cxn modelId="{11FF3BF0-AFD6-4708-9846-B07D4290C912}" type="presParOf" srcId="{6F7D418D-3B09-468C-BDC9-F6CC4D7B1DF2}" destId="{136385BC-F262-43CE-9DCA-96D4D7A2DDC3}" srcOrd="0" destOrd="0" presId="urn:microsoft.com/office/officeart/2005/8/layout/hierarchy2"/>
    <dgm:cxn modelId="{38D877C6-59E3-4493-AA63-793CA2DA0266}" type="presParOf" srcId="{945004DC-5E9B-438B-913E-557F5897AA48}" destId="{A1F07FE9-1788-4323-8D30-2547EF64E2BC}" srcOrd="9" destOrd="0" presId="urn:microsoft.com/office/officeart/2005/8/layout/hierarchy2"/>
    <dgm:cxn modelId="{843B4050-EB9B-4BBC-B36F-5991CDE60464}" type="presParOf" srcId="{A1F07FE9-1788-4323-8D30-2547EF64E2BC}" destId="{15718288-9D7E-46B3-BFFB-47878AECCD4F}" srcOrd="0" destOrd="0" presId="urn:microsoft.com/office/officeart/2005/8/layout/hierarchy2"/>
    <dgm:cxn modelId="{B06E892F-F2E5-4B55-8CCD-7541A03DFB3C}" type="presParOf" srcId="{A1F07FE9-1788-4323-8D30-2547EF64E2BC}" destId="{CDCB2CF9-67E0-4D0A-9BA3-EA530AF47085}" srcOrd="1" destOrd="0" presId="urn:microsoft.com/office/officeart/2005/8/layout/hierarchy2"/>
    <dgm:cxn modelId="{1D07A116-06B3-44C3-9D33-89094B039B32}" type="presParOf" srcId="{945004DC-5E9B-438B-913E-557F5897AA48}" destId="{D04EADAA-0B89-44A2-86BA-86319599266B}" srcOrd="10" destOrd="0" presId="urn:microsoft.com/office/officeart/2005/8/layout/hierarchy2"/>
    <dgm:cxn modelId="{57C046DA-9083-49CB-9E75-817BEC0D730D}" type="presParOf" srcId="{D04EADAA-0B89-44A2-86BA-86319599266B}" destId="{1A2F758B-9FC2-433E-96E7-DF78042F6F31}" srcOrd="0" destOrd="0" presId="urn:microsoft.com/office/officeart/2005/8/layout/hierarchy2"/>
    <dgm:cxn modelId="{CB34D5AA-2849-4556-9C82-1E1145354A78}" type="presParOf" srcId="{945004DC-5E9B-438B-913E-557F5897AA48}" destId="{B7638EE0-1DAF-425D-ACF5-809AD8BD47DF}" srcOrd="11" destOrd="0" presId="urn:microsoft.com/office/officeart/2005/8/layout/hierarchy2"/>
    <dgm:cxn modelId="{0C4B6FB6-9BDA-45E2-8657-DBEBA5E3F1AD}" type="presParOf" srcId="{B7638EE0-1DAF-425D-ACF5-809AD8BD47DF}" destId="{2076D743-66DA-4DA5-B7FA-328E05E243AC}" srcOrd="0" destOrd="0" presId="urn:microsoft.com/office/officeart/2005/8/layout/hierarchy2"/>
    <dgm:cxn modelId="{4C43D2E8-E2C9-4BC3-81F4-2F25B671886E}" type="presParOf" srcId="{B7638EE0-1DAF-425D-ACF5-809AD8BD47DF}" destId="{5547E530-38D0-48CF-A5F7-7A00C19AB770}" srcOrd="1" destOrd="0" presId="urn:microsoft.com/office/officeart/2005/8/layout/hierarchy2"/>
    <dgm:cxn modelId="{6B75995C-1BCA-4BDA-BEE2-8F390EED833B}" type="presParOf" srcId="{945004DC-5E9B-438B-913E-557F5897AA48}" destId="{0A913328-2CFB-4073-A03D-A1582BDAF0D0}" srcOrd="12" destOrd="0" presId="urn:microsoft.com/office/officeart/2005/8/layout/hierarchy2"/>
    <dgm:cxn modelId="{7A742878-DBE4-4F2E-AAD1-0269F0ED8E96}" type="presParOf" srcId="{0A913328-2CFB-4073-A03D-A1582BDAF0D0}" destId="{3FEF4EE8-CF71-4E73-951D-2F568E419AA5}" srcOrd="0" destOrd="0" presId="urn:microsoft.com/office/officeart/2005/8/layout/hierarchy2"/>
    <dgm:cxn modelId="{A43B2C79-46F4-4993-A9CC-08B725526F5D}" type="presParOf" srcId="{945004DC-5E9B-438B-913E-557F5897AA48}" destId="{C475358B-D764-4130-9E45-60A8A08F6157}" srcOrd="13" destOrd="0" presId="urn:microsoft.com/office/officeart/2005/8/layout/hierarchy2"/>
    <dgm:cxn modelId="{479D05BB-5459-46B5-9AF2-70B919DACFD4}" type="presParOf" srcId="{C475358B-D764-4130-9E45-60A8A08F6157}" destId="{5E991383-A90D-49E3-AC13-9967570C4AB7}" srcOrd="0" destOrd="0" presId="urn:microsoft.com/office/officeart/2005/8/layout/hierarchy2"/>
    <dgm:cxn modelId="{65FC487A-A176-41A7-9D99-79F879AF4D33}" type="presParOf" srcId="{C475358B-D764-4130-9E45-60A8A08F6157}" destId="{A2A66331-BE87-4725-8218-4FB7E1226902}" srcOrd="1" destOrd="0" presId="urn:microsoft.com/office/officeart/2005/8/layout/hierarchy2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150FCD7-8694-476C-B909-B0DEC85FA402}">
      <dsp:nvSpPr>
        <dsp:cNvPr id="0" name=""/>
        <dsp:cNvSpPr/>
      </dsp:nvSpPr>
      <dsp:spPr>
        <a:xfrm>
          <a:off x="2150339" y="411142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0" i="0" u="none" kern="1200"/>
            <a:t>Fire</a:t>
          </a:r>
          <a:endParaRPr lang="fr-FR" sz="500" kern="1200"/>
        </a:p>
      </dsp:txBody>
      <dsp:txXfrm>
        <a:off x="2153807" y="414610"/>
        <a:ext cx="229898" cy="111481"/>
      </dsp:txXfrm>
    </dsp:sp>
    <dsp:sp modelId="{37649492-0807-4DAA-A1FC-385C0172A419}">
      <dsp:nvSpPr>
        <dsp:cNvPr id="0" name=""/>
        <dsp:cNvSpPr/>
      </dsp:nvSpPr>
      <dsp:spPr>
        <a:xfrm rot="16983315">
          <a:off x="2224851" y="263276"/>
          <a:ext cx="419378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419378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4056" y="255596"/>
        <a:ext cx="20968" cy="20968"/>
      </dsp:txXfrm>
    </dsp:sp>
    <dsp:sp modelId="{C37F543F-7DAC-4C06-906B-C0AEF497320D}">
      <dsp:nvSpPr>
        <dsp:cNvPr id="0" name=""/>
        <dsp:cNvSpPr/>
      </dsp:nvSpPr>
      <dsp:spPr>
        <a:xfrm>
          <a:off x="2481907" y="2603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Revontulet</a:t>
          </a:r>
          <a:endParaRPr lang="fr-FR" sz="500" kern="1200"/>
        </a:p>
      </dsp:txBody>
      <dsp:txXfrm>
        <a:off x="2485375" y="6071"/>
        <a:ext cx="229898" cy="111481"/>
      </dsp:txXfrm>
    </dsp:sp>
    <dsp:sp modelId="{F8D5E279-E72F-403F-8D28-F68B527EAB7A}">
      <dsp:nvSpPr>
        <dsp:cNvPr id="0" name=""/>
        <dsp:cNvSpPr/>
      </dsp:nvSpPr>
      <dsp:spPr>
        <a:xfrm rot="17350740">
          <a:off x="2290358" y="331366"/>
          <a:ext cx="288364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288364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7331" y="326961"/>
        <a:ext cx="14418" cy="14418"/>
      </dsp:txXfrm>
    </dsp:sp>
    <dsp:sp modelId="{266F5ECF-8CF5-4991-B634-7CAC99E3C9BF}">
      <dsp:nvSpPr>
        <dsp:cNvPr id="0" name=""/>
        <dsp:cNvSpPr/>
      </dsp:nvSpPr>
      <dsp:spPr>
        <a:xfrm>
          <a:off x="2481907" y="138782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Hoofrit</a:t>
          </a:r>
          <a:endParaRPr lang="fr-FR" sz="500" kern="1200"/>
        </a:p>
      </dsp:txBody>
      <dsp:txXfrm>
        <a:off x="2485375" y="142250"/>
        <a:ext cx="229898" cy="111481"/>
      </dsp:txXfrm>
    </dsp:sp>
    <dsp:sp modelId="{063E61FA-CEF8-4521-8CFD-5AE4CCA157F7}">
      <dsp:nvSpPr>
        <dsp:cNvPr id="0" name=""/>
        <dsp:cNvSpPr/>
      </dsp:nvSpPr>
      <dsp:spPr>
        <a:xfrm rot="18289469">
          <a:off x="2351596" y="399456"/>
          <a:ext cx="165889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165889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0393" y="398113"/>
        <a:ext cx="8294" cy="8294"/>
      </dsp:txXfrm>
    </dsp:sp>
    <dsp:sp modelId="{5125E5A4-6FE4-4B22-806A-103EA9965922}">
      <dsp:nvSpPr>
        <dsp:cNvPr id="0" name=""/>
        <dsp:cNvSpPr/>
      </dsp:nvSpPr>
      <dsp:spPr>
        <a:xfrm>
          <a:off x="2481907" y="274962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Magmolin</a:t>
          </a:r>
          <a:endParaRPr lang="fr-FR" sz="500" kern="1200"/>
        </a:p>
      </dsp:txBody>
      <dsp:txXfrm>
        <a:off x="2485375" y="278430"/>
        <a:ext cx="229898" cy="111481"/>
      </dsp:txXfrm>
    </dsp:sp>
    <dsp:sp modelId="{D0460D58-A9D1-49EF-B8FD-EB3735BD0120}">
      <dsp:nvSpPr>
        <dsp:cNvPr id="0" name=""/>
        <dsp:cNvSpPr/>
      </dsp:nvSpPr>
      <dsp:spPr>
        <a:xfrm>
          <a:off x="2387174" y="467546"/>
          <a:ext cx="94733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94733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2172" y="467982"/>
        <a:ext cx="4736" cy="4736"/>
      </dsp:txXfrm>
    </dsp:sp>
    <dsp:sp modelId="{D16F1C38-5627-40D5-B02E-DD2B0CD57050}">
      <dsp:nvSpPr>
        <dsp:cNvPr id="0" name=""/>
        <dsp:cNvSpPr/>
      </dsp:nvSpPr>
      <dsp:spPr>
        <a:xfrm>
          <a:off x="2481907" y="411142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Escarffier</a:t>
          </a:r>
          <a:endParaRPr lang="fr-FR" sz="500" kern="1200"/>
        </a:p>
      </dsp:txBody>
      <dsp:txXfrm>
        <a:off x="2485375" y="414610"/>
        <a:ext cx="229898" cy="111481"/>
      </dsp:txXfrm>
    </dsp:sp>
    <dsp:sp modelId="{63EFAA04-7853-414D-88F6-EBDB95D6A25E}">
      <dsp:nvSpPr>
        <dsp:cNvPr id="0" name=""/>
        <dsp:cNvSpPr/>
      </dsp:nvSpPr>
      <dsp:spPr>
        <a:xfrm rot="3310531">
          <a:off x="2351596" y="535636"/>
          <a:ext cx="165889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165889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0393" y="534293"/>
        <a:ext cx="8294" cy="8294"/>
      </dsp:txXfrm>
    </dsp:sp>
    <dsp:sp modelId="{6813FEC5-A739-460B-95A2-953E490441B9}">
      <dsp:nvSpPr>
        <dsp:cNvPr id="0" name=""/>
        <dsp:cNvSpPr/>
      </dsp:nvSpPr>
      <dsp:spPr>
        <a:xfrm>
          <a:off x="2481907" y="547321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Blazeal</a:t>
          </a:r>
          <a:endParaRPr lang="fr-FR" sz="500" kern="1200"/>
        </a:p>
      </dsp:txBody>
      <dsp:txXfrm>
        <a:off x="2485375" y="550789"/>
        <a:ext cx="229898" cy="111481"/>
      </dsp:txXfrm>
    </dsp:sp>
    <dsp:sp modelId="{9DB8C709-7DD6-47E9-B922-587212426417}">
      <dsp:nvSpPr>
        <dsp:cNvPr id="0" name=""/>
        <dsp:cNvSpPr/>
      </dsp:nvSpPr>
      <dsp:spPr>
        <a:xfrm rot="4249260">
          <a:off x="2290358" y="603726"/>
          <a:ext cx="288364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288364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7331" y="599321"/>
        <a:ext cx="14418" cy="14418"/>
      </dsp:txXfrm>
    </dsp:sp>
    <dsp:sp modelId="{6858253D-A1F2-411C-B09B-674CDFD2004A}">
      <dsp:nvSpPr>
        <dsp:cNvPr id="0" name=""/>
        <dsp:cNvSpPr/>
      </dsp:nvSpPr>
      <dsp:spPr>
        <a:xfrm>
          <a:off x="2481907" y="683501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Pipistrigoi</a:t>
          </a:r>
          <a:endParaRPr lang="fr-FR" sz="500" kern="1200"/>
        </a:p>
      </dsp:txBody>
      <dsp:txXfrm>
        <a:off x="2485375" y="686969"/>
        <a:ext cx="229898" cy="111481"/>
      </dsp:txXfrm>
    </dsp:sp>
    <dsp:sp modelId="{20A0E67C-E8F1-4C28-A9A8-F8553F48C3C5}">
      <dsp:nvSpPr>
        <dsp:cNvPr id="0" name=""/>
        <dsp:cNvSpPr/>
      </dsp:nvSpPr>
      <dsp:spPr>
        <a:xfrm rot="4616685">
          <a:off x="2224851" y="671815"/>
          <a:ext cx="419378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419378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4056" y="664135"/>
        <a:ext cx="20968" cy="20968"/>
      </dsp:txXfrm>
    </dsp:sp>
    <dsp:sp modelId="{B9E69C17-81F3-449D-A4DA-1EA2D09AD30B}">
      <dsp:nvSpPr>
        <dsp:cNvPr id="0" name=""/>
        <dsp:cNvSpPr/>
      </dsp:nvSpPr>
      <dsp:spPr>
        <a:xfrm>
          <a:off x="2481907" y="819681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Pyregeist</a:t>
          </a:r>
          <a:endParaRPr lang="fr-FR" sz="500" kern="1200"/>
        </a:p>
      </dsp:txBody>
      <dsp:txXfrm>
        <a:off x="2485375" y="823149"/>
        <a:ext cx="229898" cy="111481"/>
      </dsp:txXfrm>
    </dsp:sp>
    <dsp:sp modelId="{678D262F-164C-4380-941B-1730F9ACF153}">
      <dsp:nvSpPr>
        <dsp:cNvPr id="0" name=""/>
        <dsp:cNvSpPr/>
      </dsp:nvSpPr>
      <dsp:spPr>
        <a:xfrm>
          <a:off x="2150339" y="1364400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0" i="0" u="none" kern="1200"/>
            <a:t>Electricity</a:t>
          </a:r>
          <a:endParaRPr lang="fr-FR" sz="500" kern="1200"/>
        </a:p>
      </dsp:txBody>
      <dsp:txXfrm>
        <a:off x="2153807" y="1367868"/>
        <a:ext cx="229898" cy="111481"/>
      </dsp:txXfrm>
    </dsp:sp>
    <dsp:sp modelId="{F315D1C0-E154-4CD0-AC7C-3DBEFAEBA42A}">
      <dsp:nvSpPr>
        <dsp:cNvPr id="0" name=""/>
        <dsp:cNvSpPr/>
      </dsp:nvSpPr>
      <dsp:spPr>
        <a:xfrm rot="16983315">
          <a:off x="2224851" y="1216534"/>
          <a:ext cx="419378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419378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4056" y="1208854"/>
        <a:ext cx="20968" cy="20968"/>
      </dsp:txXfrm>
    </dsp:sp>
    <dsp:sp modelId="{DDB04051-105A-4ACD-AED0-6EF6809053DE}">
      <dsp:nvSpPr>
        <dsp:cNvPr id="0" name=""/>
        <dsp:cNvSpPr/>
      </dsp:nvSpPr>
      <dsp:spPr>
        <a:xfrm>
          <a:off x="2481907" y="955860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Limudroid</a:t>
          </a:r>
          <a:endParaRPr lang="fr-FR" sz="500" kern="1200"/>
        </a:p>
      </dsp:txBody>
      <dsp:txXfrm>
        <a:off x="2485375" y="959328"/>
        <a:ext cx="229898" cy="111481"/>
      </dsp:txXfrm>
    </dsp:sp>
    <dsp:sp modelId="{D2A279FE-7B5A-4D80-9D91-08C4C64E4539}">
      <dsp:nvSpPr>
        <dsp:cNvPr id="0" name=""/>
        <dsp:cNvSpPr/>
      </dsp:nvSpPr>
      <dsp:spPr>
        <a:xfrm rot="17350740">
          <a:off x="2290358" y="1284624"/>
          <a:ext cx="288364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288364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7331" y="1280219"/>
        <a:ext cx="14418" cy="14418"/>
      </dsp:txXfrm>
    </dsp:sp>
    <dsp:sp modelId="{FD34F33E-E8CB-4736-861E-E8FDFD074505}">
      <dsp:nvSpPr>
        <dsp:cNvPr id="0" name=""/>
        <dsp:cNvSpPr/>
      </dsp:nvSpPr>
      <dsp:spPr>
        <a:xfrm>
          <a:off x="2481907" y="1092040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Barkplug</a:t>
          </a:r>
          <a:endParaRPr lang="fr-FR" sz="500" kern="1200"/>
        </a:p>
      </dsp:txBody>
      <dsp:txXfrm>
        <a:off x="2485375" y="1095508"/>
        <a:ext cx="229898" cy="111481"/>
      </dsp:txXfrm>
    </dsp:sp>
    <dsp:sp modelId="{86399885-C50F-4F4C-9493-7D17643A22F7}">
      <dsp:nvSpPr>
        <dsp:cNvPr id="0" name=""/>
        <dsp:cNvSpPr/>
      </dsp:nvSpPr>
      <dsp:spPr>
        <a:xfrm rot="18289469">
          <a:off x="2351596" y="1352714"/>
          <a:ext cx="165889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165889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0393" y="1351371"/>
        <a:ext cx="8294" cy="8294"/>
      </dsp:txXfrm>
    </dsp:sp>
    <dsp:sp modelId="{B874081D-D790-4AC1-A69E-E74970FF6A80}">
      <dsp:nvSpPr>
        <dsp:cNvPr id="0" name=""/>
        <dsp:cNvSpPr/>
      </dsp:nvSpPr>
      <dsp:spPr>
        <a:xfrm>
          <a:off x="2481907" y="1228220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Abuzzinian</a:t>
          </a:r>
          <a:endParaRPr lang="fr-FR" sz="500" kern="1200"/>
        </a:p>
      </dsp:txBody>
      <dsp:txXfrm>
        <a:off x="2485375" y="1231688"/>
        <a:ext cx="229898" cy="111481"/>
      </dsp:txXfrm>
    </dsp:sp>
    <dsp:sp modelId="{95807270-7013-40B6-AA1E-140716AE3D46}">
      <dsp:nvSpPr>
        <dsp:cNvPr id="0" name=""/>
        <dsp:cNvSpPr/>
      </dsp:nvSpPr>
      <dsp:spPr>
        <a:xfrm>
          <a:off x="2387174" y="1420804"/>
          <a:ext cx="94733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94733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2172" y="1421240"/>
        <a:ext cx="4736" cy="4736"/>
      </dsp:txXfrm>
    </dsp:sp>
    <dsp:sp modelId="{A9FEF00A-8135-4014-B3CB-13737BC565CE}">
      <dsp:nvSpPr>
        <dsp:cNvPr id="0" name=""/>
        <dsp:cNvSpPr/>
      </dsp:nvSpPr>
      <dsp:spPr>
        <a:xfrm>
          <a:off x="2481907" y="1364400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Battereina</a:t>
          </a:r>
          <a:endParaRPr lang="fr-FR" sz="500" kern="1200"/>
        </a:p>
      </dsp:txBody>
      <dsp:txXfrm>
        <a:off x="2485375" y="1367868"/>
        <a:ext cx="229898" cy="111481"/>
      </dsp:txXfrm>
    </dsp:sp>
    <dsp:sp modelId="{6F1A86B1-8869-4F92-9FF9-462909AF8AA6}">
      <dsp:nvSpPr>
        <dsp:cNvPr id="0" name=""/>
        <dsp:cNvSpPr/>
      </dsp:nvSpPr>
      <dsp:spPr>
        <a:xfrm rot="3310531">
          <a:off x="2351596" y="1488894"/>
          <a:ext cx="165889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165889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0393" y="1487551"/>
        <a:ext cx="8294" cy="8294"/>
      </dsp:txXfrm>
    </dsp:sp>
    <dsp:sp modelId="{0CC2E8BF-CD0A-4E67-996F-CDD2C3B78E4B}">
      <dsp:nvSpPr>
        <dsp:cNvPr id="0" name=""/>
        <dsp:cNvSpPr/>
      </dsp:nvSpPr>
      <dsp:spPr>
        <a:xfrm>
          <a:off x="2481907" y="1500579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Fulgairy</a:t>
          </a:r>
          <a:endParaRPr lang="fr-FR" sz="500" kern="1200"/>
        </a:p>
      </dsp:txBody>
      <dsp:txXfrm>
        <a:off x="2485375" y="1504047"/>
        <a:ext cx="229898" cy="111481"/>
      </dsp:txXfrm>
    </dsp:sp>
    <dsp:sp modelId="{19FB77F6-1F0E-4D69-B215-0740B78883E1}">
      <dsp:nvSpPr>
        <dsp:cNvPr id="0" name=""/>
        <dsp:cNvSpPr/>
      </dsp:nvSpPr>
      <dsp:spPr>
        <a:xfrm rot="4249260">
          <a:off x="2290358" y="1556983"/>
          <a:ext cx="288364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288364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7331" y="1552579"/>
        <a:ext cx="14418" cy="14418"/>
      </dsp:txXfrm>
    </dsp:sp>
    <dsp:sp modelId="{6E09F1DB-4CB0-442D-A53C-566EF5087851}">
      <dsp:nvSpPr>
        <dsp:cNvPr id="0" name=""/>
        <dsp:cNvSpPr/>
      </dsp:nvSpPr>
      <dsp:spPr>
        <a:xfrm>
          <a:off x="2481907" y="1636759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Mantleray</a:t>
          </a:r>
          <a:endParaRPr lang="fr-FR" sz="500" kern="1200"/>
        </a:p>
      </dsp:txBody>
      <dsp:txXfrm>
        <a:off x="2485375" y="1640227"/>
        <a:ext cx="229898" cy="111481"/>
      </dsp:txXfrm>
    </dsp:sp>
    <dsp:sp modelId="{A5CB59BC-856F-47A8-9BB2-825363D884A6}">
      <dsp:nvSpPr>
        <dsp:cNvPr id="0" name=""/>
        <dsp:cNvSpPr/>
      </dsp:nvSpPr>
      <dsp:spPr>
        <a:xfrm rot="4616685">
          <a:off x="2224851" y="1625073"/>
          <a:ext cx="419378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419378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4056" y="1617393"/>
        <a:ext cx="20968" cy="20968"/>
      </dsp:txXfrm>
    </dsp:sp>
    <dsp:sp modelId="{E9730263-B09E-413A-A1D3-5C408712ABE4}">
      <dsp:nvSpPr>
        <dsp:cNvPr id="0" name=""/>
        <dsp:cNvSpPr/>
      </dsp:nvSpPr>
      <dsp:spPr>
        <a:xfrm>
          <a:off x="2481907" y="1772939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Thundertooth</a:t>
          </a:r>
          <a:endParaRPr lang="fr-FR" sz="500" kern="1200"/>
        </a:p>
      </dsp:txBody>
      <dsp:txXfrm>
        <a:off x="2485375" y="1776407"/>
        <a:ext cx="229898" cy="111481"/>
      </dsp:txXfrm>
    </dsp:sp>
    <dsp:sp modelId="{9BBFE5E3-2759-4932-8C45-067B3D3B469C}">
      <dsp:nvSpPr>
        <dsp:cNvPr id="0" name=""/>
        <dsp:cNvSpPr/>
      </dsp:nvSpPr>
      <dsp:spPr>
        <a:xfrm>
          <a:off x="2150339" y="2317657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0" i="0" u="none" kern="1200"/>
            <a:t>Wood</a:t>
          </a:r>
          <a:endParaRPr lang="fr-FR" sz="500" kern="1200"/>
        </a:p>
      </dsp:txBody>
      <dsp:txXfrm>
        <a:off x="2153807" y="2321125"/>
        <a:ext cx="229898" cy="111481"/>
      </dsp:txXfrm>
    </dsp:sp>
    <dsp:sp modelId="{573EA159-A9E7-480D-B0C3-FF048E19B68F}">
      <dsp:nvSpPr>
        <dsp:cNvPr id="0" name=""/>
        <dsp:cNvSpPr/>
      </dsp:nvSpPr>
      <dsp:spPr>
        <a:xfrm rot="16983315">
          <a:off x="2224851" y="2169792"/>
          <a:ext cx="419378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419378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4056" y="2162112"/>
        <a:ext cx="20968" cy="20968"/>
      </dsp:txXfrm>
    </dsp:sp>
    <dsp:sp modelId="{DD0BB8C7-1A4D-4267-B911-2645F303D175}">
      <dsp:nvSpPr>
        <dsp:cNvPr id="0" name=""/>
        <dsp:cNvSpPr/>
      </dsp:nvSpPr>
      <dsp:spPr>
        <a:xfrm>
          <a:off x="2481907" y="1909118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Ghillant</a:t>
          </a:r>
          <a:endParaRPr lang="fr-FR" sz="500" kern="1200"/>
        </a:p>
      </dsp:txBody>
      <dsp:txXfrm>
        <a:off x="2485375" y="1912586"/>
        <a:ext cx="229898" cy="111481"/>
      </dsp:txXfrm>
    </dsp:sp>
    <dsp:sp modelId="{355A2FB1-1FEE-43E8-A9AC-759AA689F69E}">
      <dsp:nvSpPr>
        <dsp:cNvPr id="0" name=""/>
        <dsp:cNvSpPr/>
      </dsp:nvSpPr>
      <dsp:spPr>
        <a:xfrm rot="17350740">
          <a:off x="2290358" y="2237882"/>
          <a:ext cx="288364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288364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7331" y="2233477"/>
        <a:ext cx="14418" cy="14418"/>
      </dsp:txXfrm>
    </dsp:sp>
    <dsp:sp modelId="{9F0EB83D-9685-4D7F-9461-5AEAB3D17009}">
      <dsp:nvSpPr>
        <dsp:cNvPr id="0" name=""/>
        <dsp:cNvSpPr/>
      </dsp:nvSpPr>
      <dsp:spPr>
        <a:xfrm>
          <a:off x="2481907" y="2045298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Woozard</a:t>
          </a:r>
          <a:endParaRPr lang="fr-FR" sz="500" kern="1200"/>
        </a:p>
      </dsp:txBody>
      <dsp:txXfrm>
        <a:off x="2485375" y="2048766"/>
        <a:ext cx="229898" cy="111481"/>
      </dsp:txXfrm>
    </dsp:sp>
    <dsp:sp modelId="{426DB920-A3BE-42D4-9205-A0DA7D4CB8F0}">
      <dsp:nvSpPr>
        <dsp:cNvPr id="0" name=""/>
        <dsp:cNvSpPr/>
      </dsp:nvSpPr>
      <dsp:spPr>
        <a:xfrm rot="18289469">
          <a:off x="2351596" y="2305972"/>
          <a:ext cx="165889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165889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0393" y="2304629"/>
        <a:ext cx="8294" cy="8294"/>
      </dsp:txXfrm>
    </dsp:sp>
    <dsp:sp modelId="{54B411F9-FC13-4747-9D03-619A9B85CE74}">
      <dsp:nvSpPr>
        <dsp:cNvPr id="0" name=""/>
        <dsp:cNvSpPr/>
      </dsp:nvSpPr>
      <dsp:spPr>
        <a:xfrm>
          <a:off x="2481907" y="2181478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Statchew</a:t>
          </a:r>
          <a:endParaRPr lang="fr-FR" sz="500" kern="1200"/>
        </a:p>
      </dsp:txBody>
      <dsp:txXfrm>
        <a:off x="2485375" y="2184946"/>
        <a:ext cx="229898" cy="111481"/>
      </dsp:txXfrm>
    </dsp:sp>
    <dsp:sp modelId="{9C1DF7FA-F80B-4A6B-9730-AFF9F73FD026}">
      <dsp:nvSpPr>
        <dsp:cNvPr id="0" name=""/>
        <dsp:cNvSpPr/>
      </dsp:nvSpPr>
      <dsp:spPr>
        <a:xfrm>
          <a:off x="2387174" y="2374062"/>
          <a:ext cx="94733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94733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2172" y="2374498"/>
        <a:ext cx="4736" cy="4736"/>
      </dsp:txXfrm>
    </dsp:sp>
    <dsp:sp modelId="{48AEDD3E-521C-473B-B489-FB1258C4472E}">
      <dsp:nvSpPr>
        <dsp:cNvPr id="0" name=""/>
        <dsp:cNvSpPr/>
      </dsp:nvSpPr>
      <dsp:spPr>
        <a:xfrm>
          <a:off x="2481907" y="2317657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Surveilynx</a:t>
          </a:r>
          <a:endParaRPr lang="fr-FR" sz="500" kern="1200"/>
        </a:p>
      </dsp:txBody>
      <dsp:txXfrm>
        <a:off x="2485375" y="2321125"/>
        <a:ext cx="229898" cy="111481"/>
      </dsp:txXfrm>
    </dsp:sp>
    <dsp:sp modelId="{578ACA32-1F0B-4160-A582-F829C6780036}">
      <dsp:nvSpPr>
        <dsp:cNvPr id="0" name=""/>
        <dsp:cNvSpPr/>
      </dsp:nvSpPr>
      <dsp:spPr>
        <a:xfrm rot="3310531">
          <a:off x="2351596" y="2442152"/>
          <a:ext cx="165889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165889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0393" y="2440809"/>
        <a:ext cx="8294" cy="8294"/>
      </dsp:txXfrm>
    </dsp:sp>
    <dsp:sp modelId="{5CDDCA7A-3E45-401D-9FDA-AC816122ABA6}">
      <dsp:nvSpPr>
        <dsp:cNvPr id="0" name=""/>
        <dsp:cNvSpPr/>
      </dsp:nvSpPr>
      <dsp:spPr>
        <a:xfrm>
          <a:off x="2481907" y="2453837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Salamantis</a:t>
          </a:r>
          <a:endParaRPr lang="fr-FR" sz="500" kern="1200"/>
        </a:p>
      </dsp:txBody>
      <dsp:txXfrm>
        <a:off x="2485375" y="2457305"/>
        <a:ext cx="229898" cy="111481"/>
      </dsp:txXfrm>
    </dsp:sp>
    <dsp:sp modelId="{4695ACBE-580C-4B8C-9744-BA3D4354B0CD}">
      <dsp:nvSpPr>
        <dsp:cNvPr id="0" name=""/>
        <dsp:cNvSpPr/>
      </dsp:nvSpPr>
      <dsp:spPr>
        <a:xfrm rot="4249260">
          <a:off x="2290358" y="2510241"/>
          <a:ext cx="288364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288364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7331" y="2505837"/>
        <a:ext cx="14418" cy="14418"/>
      </dsp:txXfrm>
    </dsp:sp>
    <dsp:sp modelId="{860AC8E8-7C7C-4FB9-883E-83C70A4A640A}">
      <dsp:nvSpPr>
        <dsp:cNvPr id="0" name=""/>
        <dsp:cNvSpPr/>
      </dsp:nvSpPr>
      <dsp:spPr>
        <a:xfrm>
          <a:off x="2481907" y="2590017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Baboom</a:t>
          </a:r>
          <a:endParaRPr lang="fr-FR" sz="500" kern="1200"/>
        </a:p>
      </dsp:txBody>
      <dsp:txXfrm>
        <a:off x="2485375" y="2593485"/>
        <a:ext cx="229898" cy="111481"/>
      </dsp:txXfrm>
    </dsp:sp>
    <dsp:sp modelId="{FF0F8A78-F4F6-4728-B863-B2FA3A444ABC}">
      <dsp:nvSpPr>
        <dsp:cNvPr id="0" name=""/>
        <dsp:cNvSpPr/>
      </dsp:nvSpPr>
      <dsp:spPr>
        <a:xfrm rot="4616685">
          <a:off x="2224851" y="2578331"/>
          <a:ext cx="419378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419378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4056" y="2570651"/>
        <a:ext cx="20968" cy="20968"/>
      </dsp:txXfrm>
    </dsp:sp>
    <dsp:sp modelId="{E93F276A-9CCB-4947-A03A-6DA42BAA7DF3}">
      <dsp:nvSpPr>
        <dsp:cNvPr id="0" name=""/>
        <dsp:cNvSpPr/>
      </dsp:nvSpPr>
      <dsp:spPr>
        <a:xfrm>
          <a:off x="2481907" y="2726196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Prismalith</a:t>
          </a:r>
          <a:endParaRPr lang="fr-FR" sz="500" kern="1200"/>
        </a:p>
      </dsp:txBody>
      <dsp:txXfrm>
        <a:off x="2485375" y="2729664"/>
        <a:ext cx="229898" cy="111481"/>
      </dsp:txXfrm>
    </dsp:sp>
    <dsp:sp modelId="{B450184B-01DB-4637-A4D9-91E7FEFC5BEB}">
      <dsp:nvSpPr>
        <dsp:cNvPr id="0" name=""/>
        <dsp:cNvSpPr/>
      </dsp:nvSpPr>
      <dsp:spPr>
        <a:xfrm>
          <a:off x="2150339" y="3270915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0" i="0" u="none" kern="1200"/>
            <a:t>Water</a:t>
          </a:r>
          <a:endParaRPr lang="fr-FR" sz="500" kern="1200"/>
        </a:p>
      </dsp:txBody>
      <dsp:txXfrm>
        <a:off x="2153807" y="3274383"/>
        <a:ext cx="229898" cy="111481"/>
      </dsp:txXfrm>
    </dsp:sp>
    <dsp:sp modelId="{CB53ED59-1B7A-44FB-BA68-B7AD3DD718BC}">
      <dsp:nvSpPr>
        <dsp:cNvPr id="0" name=""/>
        <dsp:cNvSpPr/>
      </dsp:nvSpPr>
      <dsp:spPr>
        <a:xfrm rot="16983315">
          <a:off x="2224851" y="3123050"/>
          <a:ext cx="419378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419378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4056" y="3115370"/>
        <a:ext cx="20968" cy="20968"/>
      </dsp:txXfrm>
    </dsp:sp>
    <dsp:sp modelId="{9959DFE6-ED29-4568-9DCF-409749788E86}">
      <dsp:nvSpPr>
        <dsp:cNvPr id="0" name=""/>
        <dsp:cNvSpPr/>
      </dsp:nvSpPr>
      <dsp:spPr>
        <a:xfrm>
          <a:off x="2481907" y="2862376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Ninjump</a:t>
          </a:r>
          <a:endParaRPr lang="fr-FR" sz="500" kern="1200"/>
        </a:p>
      </dsp:txBody>
      <dsp:txXfrm>
        <a:off x="2485375" y="2865844"/>
        <a:ext cx="229898" cy="111481"/>
      </dsp:txXfrm>
    </dsp:sp>
    <dsp:sp modelId="{DD5A534F-7DA3-4A39-8F8E-4222E7650AB4}">
      <dsp:nvSpPr>
        <dsp:cNvPr id="0" name=""/>
        <dsp:cNvSpPr/>
      </dsp:nvSpPr>
      <dsp:spPr>
        <a:xfrm>
          <a:off x="2718742" y="2918780"/>
          <a:ext cx="94733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94733" y="2804"/>
              </a:lnTo>
            </a:path>
          </a:pathLst>
        </a:custGeom>
        <a:noFill/>
        <a:ln w="19050" cap="flat" cmpd="sng" algn="ctr">
          <a:solidFill>
            <a:schemeClr val="accent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763740" y="2919216"/>
        <a:ext cx="4736" cy="4736"/>
      </dsp:txXfrm>
    </dsp:sp>
    <dsp:sp modelId="{6306A9C4-E56C-420D-A1BB-22EEBDA188A2}">
      <dsp:nvSpPr>
        <dsp:cNvPr id="0" name=""/>
        <dsp:cNvSpPr/>
      </dsp:nvSpPr>
      <dsp:spPr>
        <a:xfrm>
          <a:off x="2813475" y="2862376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Bufonobi</a:t>
          </a:r>
          <a:endParaRPr lang="fr-FR" sz="500" kern="1200"/>
        </a:p>
      </dsp:txBody>
      <dsp:txXfrm>
        <a:off x="2816943" y="2865844"/>
        <a:ext cx="229898" cy="111481"/>
      </dsp:txXfrm>
    </dsp:sp>
    <dsp:sp modelId="{AF901B4D-6298-48A0-88C7-B58C6BF6DFED}">
      <dsp:nvSpPr>
        <dsp:cNvPr id="0" name=""/>
        <dsp:cNvSpPr/>
      </dsp:nvSpPr>
      <dsp:spPr>
        <a:xfrm rot="17350740">
          <a:off x="2290358" y="3191140"/>
          <a:ext cx="288364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288364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7331" y="3186735"/>
        <a:ext cx="14418" cy="14418"/>
      </dsp:txXfrm>
    </dsp:sp>
    <dsp:sp modelId="{AF220DF3-371D-4837-B8A4-94BA4D2BD536}">
      <dsp:nvSpPr>
        <dsp:cNvPr id="0" name=""/>
        <dsp:cNvSpPr/>
      </dsp:nvSpPr>
      <dsp:spPr>
        <a:xfrm>
          <a:off x="2481907" y="2998556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Gnashley</a:t>
          </a:r>
          <a:endParaRPr lang="fr-FR" sz="500" kern="1200"/>
        </a:p>
      </dsp:txBody>
      <dsp:txXfrm>
        <a:off x="2485375" y="3002024"/>
        <a:ext cx="229898" cy="111481"/>
      </dsp:txXfrm>
    </dsp:sp>
    <dsp:sp modelId="{4D2CE3AF-EF29-4FD2-8EEA-C400F1ED4A69}">
      <dsp:nvSpPr>
        <dsp:cNvPr id="0" name=""/>
        <dsp:cNvSpPr/>
      </dsp:nvSpPr>
      <dsp:spPr>
        <a:xfrm rot="18289469">
          <a:off x="2351596" y="3259230"/>
          <a:ext cx="165889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165889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0393" y="3257887"/>
        <a:ext cx="8294" cy="8294"/>
      </dsp:txXfrm>
    </dsp:sp>
    <dsp:sp modelId="{21165700-13B8-4F2B-86FE-200AB0149C4C}">
      <dsp:nvSpPr>
        <dsp:cNvPr id="0" name=""/>
        <dsp:cNvSpPr/>
      </dsp:nvSpPr>
      <dsp:spPr>
        <a:xfrm>
          <a:off x="2481907" y="3134736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kern="1200"/>
            <a:t>Lucidina</a:t>
          </a:r>
        </a:p>
      </dsp:txBody>
      <dsp:txXfrm>
        <a:off x="2485375" y="3138204"/>
        <a:ext cx="229898" cy="111481"/>
      </dsp:txXfrm>
    </dsp:sp>
    <dsp:sp modelId="{E9AE776C-013E-44C3-9AC5-A440C368C64A}">
      <dsp:nvSpPr>
        <dsp:cNvPr id="0" name=""/>
        <dsp:cNvSpPr/>
      </dsp:nvSpPr>
      <dsp:spPr>
        <a:xfrm>
          <a:off x="2387174" y="3327320"/>
          <a:ext cx="94733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94733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2172" y="3327755"/>
        <a:ext cx="4736" cy="4736"/>
      </dsp:txXfrm>
    </dsp:sp>
    <dsp:sp modelId="{FC72F3A3-6CA4-4B0F-A780-13210000B55F}">
      <dsp:nvSpPr>
        <dsp:cNvPr id="0" name=""/>
        <dsp:cNvSpPr/>
      </dsp:nvSpPr>
      <dsp:spPr>
        <a:xfrm>
          <a:off x="2481907" y="3270915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Fingenue</a:t>
          </a:r>
          <a:endParaRPr lang="fr-FR" sz="500" kern="1200"/>
        </a:p>
      </dsp:txBody>
      <dsp:txXfrm>
        <a:off x="2485375" y="3274383"/>
        <a:ext cx="229898" cy="111481"/>
      </dsp:txXfrm>
    </dsp:sp>
    <dsp:sp modelId="{6F7D418D-3B09-468C-BDC9-F6CC4D7B1DF2}">
      <dsp:nvSpPr>
        <dsp:cNvPr id="0" name=""/>
        <dsp:cNvSpPr/>
      </dsp:nvSpPr>
      <dsp:spPr>
        <a:xfrm rot="3310531">
          <a:off x="2351596" y="3395409"/>
          <a:ext cx="165889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165889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30393" y="3394066"/>
        <a:ext cx="8294" cy="8294"/>
      </dsp:txXfrm>
    </dsp:sp>
    <dsp:sp modelId="{15718288-9D7E-46B3-BFFB-47878AECCD4F}">
      <dsp:nvSpPr>
        <dsp:cNvPr id="0" name=""/>
        <dsp:cNvSpPr/>
      </dsp:nvSpPr>
      <dsp:spPr>
        <a:xfrm>
          <a:off x="2481907" y="3407095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Dolphriend</a:t>
          </a:r>
          <a:endParaRPr lang="fr-FR" sz="500" kern="1200"/>
        </a:p>
      </dsp:txBody>
      <dsp:txXfrm>
        <a:off x="2485375" y="3410563"/>
        <a:ext cx="229898" cy="111481"/>
      </dsp:txXfrm>
    </dsp:sp>
    <dsp:sp modelId="{D04EADAA-0B89-44A2-86BA-86319599266B}">
      <dsp:nvSpPr>
        <dsp:cNvPr id="0" name=""/>
        <dsp:cNvSpPr/>
      </dsp:nvSpPr>
      <dsp:spPr>
        <a:xfrm rot="4249260">
          <a:off x="2290358" y="3463499"/>
          <a:ext cx="288364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288364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7331" y="3459094"/>
        <a:ext cx="14418" cy="14418"/>
      </dsp:txXfrm>
    </dsp:sp>
    <dsp:sp modelId="{2076D743-66DA-4DA5-B7FA-328E05E243AC}">
      <dsp:nvSpPr>
        <dsp:cNvPr id="0" name=""/>
        <dsp:cNvSpPr/>
      </dsp:nvSpPr>
      <dsp:spPr>
        <a:xfrm>
          <a:off x="2481907" y="3543275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Regalion</a:t>
          </a:r>
          <a:endParaRPr lang="fr-FR" sz="500" kern="1200"/>
        </a:p>
      </dsp:txBody>
      <dsp:txXfrm>
        <a:off x="2485375" y="3546743"/>
        <a:ext cx="229898" cy="111481"/>
      </dsp:txXfrm>
    </dsp:sp>
    <dsp:sp modelId="{0A913328-2CFB-4073-A03D-A1582BDAF0D0}">
      <dsp:nvSpPr>
        <dsp:cNvPr id="0" name=""/>
        <dsp:cNvSpPr/>
      </dsp:nvSpPr>
      <dsp:spPr>
        <a:xfrm rot="4616685">
          <a:off x="2224851" y="3531589"/>
          <a:ext cx="419378" cy="5608"/>
        </a:xfrm>
        <a:custGeom>
          <a:avLst/>
          <a:gdLst/>
          <a:ahLst/>
          <a:cxnLst/>
          <a:rect l="0" t="0" r="0" b="0"/>
          <a:pathLst>
            <a:path>
              <a:moveTo>
                <a:pt x="0" y="2804"/>
              </a:moveTo>
              <a:lnTo>
                <a:pt x="419378" y="2804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177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fr-FR" sz="400" kern="1200"/>
        </a:p>
      </dsp:txBody>
      <dsp:txXfrm>
        <a:off x="2424056" y="3523909"/>
        <a:ext cx="20968" cy="20968"/>
      </dsp:txXfrm>
    </dsp:sp>
    <dsp:sp modelId="{5E991383-A90D-49E3-AC13-9967570C4AB7}">
      <dsp:nvSpPr>
        <dsp:cNvPr id="0" name=""/>
        <dsp:cNvSpPr/>
      </dsp:nvSpPr>
      <dsp:spPr>
        <a:xfrm>
          <a:off x="2481907" y="3679454"/>
          <a:ext cx="236834" cy="118417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175" tIns="3175" rIns="3175" bIns="3175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fr-FR" sz="500" b="1" i="0" u="none" kern="1200"/>
            <a:t>Cryovern</a:t>
          </a:r>
          <a:endParaRPr lang="fr-FR" sz="500" kern="1200"/>
        </a:p>
      </dsp:txBody>
      <dsp:txXfrm>
        <a:off x="2485375" y="3682922"/>
        <a:ext cx="229898" cy="111481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image" Target="../media/image9.svg"/><Relationship Id="rId3" Type="http://schemas.openxmlformats.org/officeDocument/2006/relationships/diagramQuickStyle" Target="../diagrams/quickStyle1.xml"/><Relationship Id="rId7" Type="http://schemas.openxmlformats.org/officeDocument/2006/relationships/image" Target="../media/image3.svg"/><Relationship Id="rId12" Type="http://schemas.openxmlformats.org/officeDocument/2006/relationships/image" Target="../media/image8.png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image" Target="../media/image2.png"/><Relationship Id="rId11" Type="http://schemas.openxmlformats.org/officeDocument/2006/relationships/image" Target="../media/image7.svg"/><Relationship Id="rId5" Type="http://schemas.microsoft.com/office/2007/relationships/diagramDrawing" Target="../diagrams/drawing1.xml"/><Relationship Id="rId10" Type="http://schemas.openxmlformats.org/officeDocument/2006/relationships/image" Target="../media/image6.png"/><Relationship Id="rId4" Type="http://schemas.openxmlformats.org/officeDocument/2006/relationships/diagramColors" Target="../diagrams/colors1.xml"/><Relationship Id="rId9" Type="http://schemas.openxmlformats.org/officeDocument/2006/relationships/image" Target="../media/image5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143</xdr:row>
          <xdr:rowOff>114300</xdr:rowOff>
        </xdr:from>
        <xdr:to>
          <xdr:col>10</xdr:col>
          <xdr:colOff>323850</xdr:colOff>
          <xdr:row>146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25</xdr:col>
      <xdr:colOff>28576</xdr:colOff>
      <xdr:row>46</xdr:row>
      <xdr:rowOff>104775</xdr:rowOff>
    </xdr:from>
    <xdr:to>
      <xdr:col>35</xdr:col>
      <xdr:colOff>333376</xdr:colOff>
      <xdr:row>71</xdr:row>
      <xdr:rowOff>95250</xdr:rowOff>
    </xdr:to>
    <xdr:graphicFrame macro="">
      <xdr:nvGraphicFramePr>
        <xdr:cNvPr id="2" name="Diagramme 1">
          <a:extLst>
            <a:ext uri="{FF2B5EF4-FFF2-40B4-BE49-F238E27FC236}">
              <a16:creationId xmlns:a16="http://schemas.microsoft.com/office/drawing/2014/main" id="{FCED5DDB-0F54-B2B2-07F7-5AAD90155A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45</xdr:row>
          <xdr:rowOff>66675</xdr:rowOff>
        </xdr:from>
        <xdr:to>
          <xdr:col>3</xdr:col>
          <xdr:colOff>190500</xdr:colOff>
          <xdr:row>47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7</xdr:col>
      <xdr:colOff>716280</xdr:colOff>
      <xdr:row>51</xdr:row>
      <xdr:rowOff>106680</xdr:rowOff>
    </xdr:from>
    <xdr:to>
      <xdr:col>10</xdr:col>
      <xdr:colOff>169545</xdr:colOff>
      <xdr:row>58</xdr:row>
      <xdr:rowOff>45720</xdr:rowOff>
    </xdr:to>
    <xdr:pic>
      <xdr:nvPicPr>
        <xdr:cNvPr id="4" name="Graphique 3" descr="Feu avec un remplissage uni">
          <a:extLst>
            <a:ext uri="{FF2B5EF4-FFF2-40B4-BE49-F238E27FC236}">
              <a16:creationId xmlns:a16="http://schemas.microsoft.com/office/drawing/2014/main" id="{410E2ECA-A2CB-4166-9F80-B0E4D096E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5631180" y="7574280"/>
          <a:ext cx="1005840" cy="100584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59</xdr:row>
      <xdr:rowOff>0</xdr:rowOff>
    </xdr:from>
    <xdr:to>
      <xdr:col>10</xdr:col>
      <xdr:colOff>76200</xdr:colOff>
      <xdr:row>65</xdr:row>
      <xdr:rowOff>0</xdr:rowOff>
    </xdr:to>
    <xdr:pic>
      <xdr:nvPicPr>
        <xdr:cNvPr id="6" name="Graphique 5" descr="Eau avec un remplissage uni">
          <a:extLst>
            <a:ext uri="{FF2B5EF4-FFF2-40B4-BE49-F238E27FC236}">
              <a16:creationId xmlns:a16="http://schemas.microsoft.com/office/drawing/2014/main" id="{5EE4FBBC-6FBF-C407-00BE-C29B1FD2FE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5676900" y="86868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53</xdr:row>
      <xdr:rowOff>0</xdr:rowOff>
    </xdr:from>
    <xdr:to>
      <xdr:col>12</xdr:col>
      <xdr:colOff>76200</xdr:colOff>
      <xdr:row>59</xdr:row>
      <xdr:rowOff>0</xdr:rowOff>
    </xdr:to>
    <xdr:pic>
      <xdr:nvPicPr>
        <xdr:cNvPr id="8" name="Graphique 7" descr="Arbre à feuilles caduques avec un remplissage uni">
          <a:extLst>
            <a:ext uri="{FF2B5EF4-FFF2-40B4-BE49-F238E27FC236}">
              <a16:creationId xmlns:a16="http://schemas.microsoft.com/office/drawing/2014/main" id="{4E04296F-A4A8-C2FE-C0B8-634BA5C36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7277100" y="77724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60</xdr:row>
      <xdr:rowOff>0</xdr:rowOff>
    </xdr:from>
    <xdr:to>
      <xdr:col>12</xdr:col>
      <xdr:colOff>76200</xdr:colOff>
      <xdr:row>66</xdr:row>
      <xdr:rowOff>0</xdr:rowOff>
    </xdr:to>
    <xdr:pic>
      <xdr:nvPicPr>
        <xdr:cNvPr id="10" name="Graphique 9" descr="Éclair avec un remplissage uni">
          <a:extLst>
            <a:ext uri="{FF2B5EF4-FFF2-40B4-BE49-F238E27FC236}">
              <a16:creationId xmlns:a16="http://schemas.microsoft.com/office/drawing/2014/main" id="{B885C171-3FA3-2EC4-042D-437E97A688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7277100" y="88392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6"/>
  <sheetViews>
    <sheetView tabSelected="1" workbookViewId="0">
      <selection activeCell="E28" sqref="E28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customWidth="1" outlineLevel="1"/>
    <col min="18" max="18" width="8" style="1" customWidth="1" outlineLevel="1"/>
    <col min="19" max="20" width="5.7109375" style="1" customWidth="1" outlineLevel="1"/>
    <col min="21" max="21" width="10.28515625" style="1" customWidth="1" outlineLevel="1"/>
    <col min="22" max="22" width="5.7109375" style="1" customWidth="1" outlineLevel="1"/>
    <col min="23" max="23" width="1.42578125" style="1" customWidth="1"/>
    <col min="24" max="24" width="13" style="1" customWidth="1" outlineLevel="1"/>
    <col min="25" max="25" width="11.5703125" style="1" customWidth="1" outlineLevel="1"/>
    <col min="26" max="26" width="0.85546875" style="1" customWidth="1" outlineLevel="1"/>
    <col min="27" max="28" width="6.28515625" style="1" customWidth="1" outlineLevel="1"/>
    <col min="29" max="29" width="12.5703125" style="1" customWidth="1" outlineLevel="1"/>
    <col min="30" max="30" width="0.85546875" style="1" customWidth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5" t="s">
        <v>107</v>
      </c>
      <c r="C1" s="266"/>
      <c r="D1" s="266"/>
      <c r="E1" s="266"/>
      <c r="F1" s="266"/>
      <c r="G1" s="266"/>
      <c r="H1" s="266"/>
      <c r="I1" s="267"/>
      <c r="J1" s="262" t="s">
        <v>89</v>
      </c>
      <c r="K1" s="263"/>
      <c r="L1" s="263"/>
      <c r="M1" s="263"/>
      <c r="N1" s="264"/>
      <c r="P1" s="270" t="s">
        <v>17</v>
      </c>
      <c r="Q1" s="271"/>
      <c r="R1" s="271"/>
      <c r="S1" s="271"/>
      <c r="T1" s="271"/>
      <c r="U1" s="271"/>
      <c r="V1" s="272"/>
      <c r="X1" s="268" t="s">
        <v>79</v>
      </c>
      <c r="Y1" s="269"/>
      <c r="AA1" s="260" t="s">
        <v>93</v>
      </c>
      <c r="AB1" s="260"/>
      <c r="AC1" s="261"/>
      <c r="AE1" s="253" t="s">
        <v>143</v>
      </c>
      <c r="AF1" s="254"/>
      <c r="AG1" s="255"/>
      <c r="AI1" s="253" t="s">
        <v>103</v>
      </c>
      <c r="AJ1" s="254"/>
      <c r="AK1" s="255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7" t="s">
        <v>144</v>
      </c>
      <c r="AF2" s="218" t="s">
        <v>194</v>
      </c>
      <c r="AG2" s="219"/>
      <c r="AI2" s="223">
        <v>1</v>
      </c>
      <c r="AJ2" s="224">
        <v>2</v>
      </c>
      <c r="AK2" s="225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260</v>
      </c>
      <c r="F3" s="125" t="str" cm="1">
        <f t="array" ref="F3">IsUpgradable(E3)</f>
        <v/>
      </c>
      <c r="G3" s="127">
        <f t="shared" ref="G3:G26" si="0">INT(H3)</f>
        <v>5</v>
      </c>
      <c r="H3" s="201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110040000</v>
      </c>
      <c r="Y3" s="61" t="str">
        <f>F3</f>
        <v/>
      </c>
      <c r="AA3" s="110">
        <f>$H3*1000+$E3</f>
        <v>5260</v>
      </c>
      <c r="AB3" s="110">
        <f>RANK($AA3,$AA$3:$AA$44)+COUNTIF($AA$3:$AA3,AA3)-1</f>
        <v>1</v>
      </c>
      <c r="AC3" s="61" cm="1">
        <f t="array" ref="AC3">IFERROR(_xlfn.IFS($AB3&lt;8,1,$AB3&lt;15,2,$AB3&lt;21,3),"")</f>
        <v>1</v>
      </c>
      <c r="AE3" s="173" t="str">
        <f>AF22</f>
        <v>https://encrypted-tbn0.gstatic.com/images?q=tbn:ANd9GcRXczs_Bjhslhr7Mf2HENU6MTyGpz0RJEMjNA&amp;s</v>
      </c>
      <c r="AF3" s="169" t="str">
        <f t="shared" ref="AF3:AF44" si="3">" "</f>
        <v xml:space="preserve"> </v>
      </c>
      <c r="AG3" s="170" t="str">
        <f>" "</f>
        <v xml:space="preserve"> </v>
      </c>
      <c r="AI3" s="173" t="s">
        <v>195</v>
      </c>
      <c r="AJ3" s="169" t="s">
        <v>112</v>
      </c>
      <c r="AK3" s="170"/>
    </row>
    <row r="4" spans="1:37" ht="12" customHeight="1" x14ac:dyDescent="0.2">
      <c r="A4" s="1" cm="1">
        <f t="array" ref="A4">GetMutationLevel(B4)</f>
        <v>1</v>
      </c>
      <c r="B4" s="31" t="s">
        <v>196</v>
      </c>
      <c r="C4" s="19" t="s">
        <v>50</v>
      </c>
      <c r="D4" s="71" t="s">
        <v>97</v>
      </c>
      <c r="E4" s="63">
        <v>260</v>
      </c>
      <c r="F4" s="125" t="str" cm="1">
        <f t="array" ref="F4">IsUpgradable(E4)</f>
        <v/>
      </c>
      <c r="G4" s="127">
        <f t="shared" si="0"/>
        <v>5</v>
      </c>
      <c r="H4" s="201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110040000</v>
      </c>
      <c r="Y4" s="61" t="str">
        <f t="shared" ref="Y4:Y44" si="4">F4</f>
        <v/>
      </c>
      <c r="AA4" s="110">
        <f t="shared" ref="AA4:AA44" si="5">$H4*1000+$E4</f>
        <v>5260</v>
      </c>
      <c r="AB4" s="63">
        <f>RANK($AA4,$AA$3:$AA$44)+COUNTIF($AA$3:$AA4,AA4)-1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4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260</v>
      </c>
      <c r="F5" s="125" t="str" cm="1">
        <f t="array" ref="F5">IsUpgradable(E5)</f>
        <v/>
      </c>
      <c r="G5" s="127">
        <f t="shared" si="0"/>
        <v>4</v>
      </c>
      <c r="H5" s="201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110040000</v>
      </c>
      <c r="Y5" s="61" t="str">
        <f t="shared" si="4"/>
        <v/>
      </c>
      <c r="AA5" s="110">
        <f t="shared" si="5"/>
        <v>4260</v>
      </c>
      <c r="AB5" s="63">
        <f>RANK($AA5,$AA$3:$AA$44)+COUNTIF($AA$3:$AA5,AA5)-1</f>
        <v>8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212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201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997540000</v>
      </c>
      <c r="Y6" s="61">
        <f t="shared" si="4"/>
        <v>1</v>
      </c>
      <c r="AA6" s="110">
        <f t="shared" si="5"/>
        <v>4350</v>
      </c>
      <c r="AB6" s="63">
        <f>RANK($AA6,$AA$3:$AA$44)+COUNTIF($AA$3:$AA6,AA6)-1</f>
        <v>7</v>
      </c>
      <c r="AC6" s="61" cm="1">
        <f t="array" ref="AC6">IFERROR(_xlfn.IFS($AB6&lt;8,1,$AB6&lt;15,2,$AB6&lt;21,3),"")</f>
        <v>1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260</v>
      </c>
      <c r="F7" s="125" t="str" cm="1">
        <f t="array" ref="F7">IsUpgradable(E7)</f>
        <v/>
      </c>
      <c r="G7" s="127">
        <f t="shared" si="0"/>
        <v>4</v>
      </c>
      <c r="H7" s="201">
        <v>4.0999999999999996</v>
      </c>
      <c r="I7" s="123">
        <v>17</v>
      </c>
      <c r="J7" s="63">
        <v>15</v>
      </c>
      <c r="K7" s="7">
        <v>15</v>
      </c>
      <c r="L7" s="7">
        <v>15</v>
      </c>
      <c r="M7" s="7" t="str">
        <f t="shared" si="1"/>
        <v>Max</v>
      </c>
      <c r="N7" s="19" t="str">
        <f t="shared" si="2"/>
        <v/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0.19999999999999929</v>
      </c>
      <c r="U7" s="9" cm="1">
        <f t="array" ref="U7">SUMPRODUCT(TRANSPOSE(Details!$D$4:$D$8),$P7:$T7)/Details!$D$9</f>
        <v>0.58974358974358942</v>
      </c>
      <c r="V7" s="13" cm="1">
        <f t="array" ref="V7">Details!$D$9-SUMPRODUCT(TRANSPOSE(Details!$D$4:$D$8),$P7:$T7)-$I7</f>
        <v>383.00000000000034</v>
      </c>
      <c r="X7" s="13" cm="1">
        <f t="array" ref="X7">LevelUpgradeCost($E7)</f>
        <v>110040000</v>
      </c>
      <c r="Y7" s="61" t="str">
        <f t="shared" si="4"/>
        <v/>
      </c>
      <c r="AA7" s="110">
        <f t="shared" si="5"/>
        <v>4360</v>
      </c>
      <c r="AB7" s="63">
        <f>RANK($AA7,$AA$3:$AA$44)+COUNTIF($AA$3:$AA7,AA7)-1</f>
        <v>6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206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201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1705940000</v>
      </c>
      <c r="Y8" s="61">
        <f t="shared" si="4"/>
        <v>1</v>
      </c>
      <c r="AA8" s="110">
        <f t="shared" si="5"/>
        <v>3340</v>
      </c>
      <c r="AB8" s="63">
        <f>RANK($AA8,$AA$3:$AA$44)+COUNTIF($AA$3:$AA8,AA8)-1</f>
        <v>11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217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201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2265140000</v>
      </c>
      <c r="Y9" s="61">
        <f t="shared" si="4"/>
        <v>1</v>
      </c>
      <c r="AA9" s="110">
        <f t="shared" si="5"/>
        <v>2430</v>
      </c>
      <c r="AB9" s="63">
        <f>RANK($AA9,$AA$3:$AA$44)+COUNTIF($AA$3:$AA9,AA9)-1</f>
        <v>20</v>
      </c>
      <c r="AC9" s="61" cm="1">
        <f t="array" ref="AC9">IFERROR(_xlfn.IFS($AB9&lt;8,1,$AB9&lt;15,2,$AB9&lt;21,3),"")</f>
        <v>3</v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211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201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997540000</v>
      </c>
      <c r="Y10" s="61">
        <f t="shared" si="4"/>
        <v>1</v>
      </c>
      <c r="AA10" s="110">
        <f t="shared" si="5"/>
        <v>3250</v>
      </c>
      <c r="AB10" s="63">
        <f>RANK($AA10,$AA$3:$AA$44)+COUNTIF($AA$3:$AA10,AA10)-1</f>
        <v>12</v>
      </c>
      <c r="AC10" s="61" cm="1">
        <f t="array" ref="AC10">IFERROR(_xlfn.IFS($AB10&lt;8,1,$AB10&lt;15,2,$AB10&lt;21,3),"")</f>
        <v>2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223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2</v>
      </c>
      <c r="H11" s="201">
        <v>2.2999999999999998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0.59999999999999964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0.13846153846153844</v>
      </c>
      <c r="V11" s="13" cm="1">
        <f t="array" ref="V11">Details!$D$9-SUMPRODUCT(TRANSPOSE(Details!$D$4:$D$8),$P11:$T11)-$I11</f>
        <v>826</v>
      </c>
      <c r="X11" s="13" cm="1">
        <f t="array" ref="X11">LevelUpgradeCost($E11)</f>
        <v>2265140000</v>
      </c>
      <c r="Y11" s="61">
        <f t="shared" si="4"/>
        <v>1</v>
      </c>
      <c r="AA11" s="110">
        <f t="shared" si="5"/>
        <v>2530</v>
      </c>
      <c r="AB11" s="63">
        <f>RANK($AA11,$AA$3:$AA$44)+COUNTIF($AA$3:$AA11,AA11)-1</f>
        <v>16</v>
      </c>
      <c r="AC11" s="61" cm="1">
        <f t="array" ref="AC11">IFERROR(_xlfn.IFS($AB11&lt;8,1,$AB11&lt;15,2,$AB11&lt;21,3),"")</f>
        <v>3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221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201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2265140000</v>
      </c>
      <c r="Y12" s="61">
        <f t="shared" si="4"/>
        <v>1</v>
      </c>
      <c r="AA12" s="110">
        <f t="shared" si="5"/>
        <v>2530</v>
      </c>
      <c r="AB12" s="63">
        <f>RANK($AA12,$AA$3:$AA$44)+COUNTIF($AA$3:$AA12,AA12)-1</f>
        <v>17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208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260</v>
      </c>
      <c r="F13" s="125" t="str" cm="1">
        <f t="array" ref="F13">IsUpgradable(E13)</f>
        <v/>
      </c>
      <c r="G13" s="127">
        <f t="shared" si="0"/>
        <v>4</v>
      </c>
      <c r="H13" s="201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110040000</v>
      </c>
      <c r="Y13" s="61" t="str">
        <f t="shared" si="4"/>
        <v/>
      </c>
      <c r="AA13" s="110">
        <f t="shared" si="5"/>
        <v>4260</v>
      </c>
      <c r="AB13" s="63">
        <f>RANK($AA13,$AA$3:$AA$44)+COUNTIF($AA$3:$AA13,AA13)-1</f>
        <v>9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215</v>
      </c>
      <c r="C14" s="19" t="s">
        <v>55</v>
      </c>
      <c r="D14" s="71" t="s">
        <v>97</v>
      </c>
      <c r="E14" s="63">
        <v>260</v>
      </c>
      <c r="F14" s="125" t="str" cm="1">
        <f t="array" ref="F14">IsUpgradable(E14)</f>
        <v/>
      </c>
      <c r="G14" s="127">
        <f t="shared" si="0"/>
        <v>5</v>
      </c>
      <c r="H14" s="201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110040000</v>
      </c>
      <c r="Y14" s="61" t="str">
        <f t="shared" si="4"/>
        <v/>
      </c>
      <c r="AA14" s="110">
        <f t="shared" si="5"/>
        <v>5260</v>
      </c>
      <c r="AB14" s="63">
        <f>RANK($AA14,$AA$3:$AA$44)+COUNTIF($AA$3:$AA14,AA14)-1</f>
        <v>3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201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2265140000</v>
      </c>
      <c r="Y15" s="61">
        <f t="shared" si="4"/>
        <v>1</v>
      </c>
      <c r="AA15" s="110">
        <f t="shared" si="5"/>
        <v>2430</v>
      </c>
      <c r="AB15" s="63">
        <f>RANK($AA15,$AA$3:$AA$44)+COUNTIF($AA$3:$AA15,AA15)-1</f>
        <v>21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220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2</v>
      </c>
      <c r="H16" s="201">
        <v>2</v>
      </c>
      <c r="I16" s="123">
        <v>13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7.6923076923076927E-2</v>
      </c>
      <c r="V16" s="13" cm="1">
        <f t="array" ref="V16">Details!$D$9-SUMPRODUCT(TRANSPOSE(Details!$D$4:$D$8),$P16:$T16)-$I16</f>
        <v>887</v>
      </c>
      <c r="X16" s="13" cm="1">
        <f t="array" ref="X16">LevelUpgradeCost($E16)</f>
        <v>3035940000</v>
      </c>
      <c r="Y16" s="61">
        <f t="shared" si="4"/>
        <v>1</v>
      </c>
      <c r="AA16" s="110">
        <f t="shared" si="5"/>
        <v>2210</v>
      </c>
      <c r="AB16" s="63">
        <f>RANK($AA16,$AA$3:$AA$44)+COUNTIF($AA$3:$AA16,AA16)-1</f>
        <v>27</v>
      </c>
      <c r="AC16" s="61" t="str" cm="1">
        <f t="array" ref="AC16">IFERROR(_xlfn.IFS($AB16&lt;8,1,$AB16&lt;15,2,$AB16&lt;21,3),"")</f>
        <v/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201">
        <v>2.2000000000000002</v>
      </c>
      <c r="I17" s="123">
        <v>8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852</v>
      </c>
      <c r="X17" s="13" cm="1">
        <f t="array" ref="X17">LevelUpgradeCost($E17)</f>
        <v>3035940000</v>
      </c>
      <c r="Y17" s="61">
        <f t="shared" si="4"/>
        <v>1</v>
      </c>
      <c r="AA17" s="110">
        <f t="shared" si="5"/>
        <v>2410</v>
      </c>
      <c r="AB17" s="63">
        <f>RANK($AA17,$AA$3:$AA$44)+COUNTIF($AA$3:$AA17,AA17)-1</f>
        <v>22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213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201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997540000</v>
      </c>
      <c r="Y18" s="61">
        <f t="shared" si="4"/>
        <v>1</v>
      </c>
      <c r="AA18" s="110">
        <f t="shared" si="5"/>
        <v>3250</v>
      </c>
      <c r="AB18" s="63">
        <f>RANK($AA18,$AA$3:$AA$44)+COUNTIF($AA$3:$AA18,AA18)-1</f>
        <v>13</v>
      </c>
      <c r="AC18" s="61" cm="1">
        <f t="array" ref="AC18">IFERROR(_xlfn.IFS($AB18&lt;8,1,$AB18&lt;15,2,$AB18&lt;21,3),"")</f>
        <v>2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219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260</v>
      </c>
      <c r="F19" s="125" t="str" cm="1">
        <f t="array" ref="F19">IsUpgradable(E19)</f>
        <v/>
      </c>
      <c r="G19" s="127">
        <f t="shared" si="0"/>
        <v>4</v>
      </c>
      <c r="H19" s="201">
        <v>4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0.48717948717948717</v>
      </c>
      <c r="V19" s="13" cm="1">
        <f t="array" ref="V19">Details!$D$9-SUMPRODUCT(TRANSPOSE(Details!$D$4:$D$8),$P19:$T19)-$I19</f>
        <v>487</v>
      </c>
      <c r="X19" s="13" cm="1">
        <f t="array" ref="X19">LevelUpgradeCost($E19)</f>
        <v>110040000</v>
      </c>
      <c r="Y19" s="61" t="str">
        <f t="shared" si="4"/>
        <v/>
      </c>
      <c r="AA19" s="110">
        <f t="shared" si="5"/>
        <v>4260</v>
      </c>
      <c r="AB19" s="63">
        <f>RANK($AA19,$AA$3:$AA$44)+COUNTIF($AA$3:$AA19,AA19)-1</f>
        <v>10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6" t="str">
        <f t="shared" si="6"/>
        <v xml:space="preserve"> </v>
      </c>
      <c r="AI19" s="121" t="s">
        <v>207</v>
      </c>
      <c r="AJ19" s="117"/>
      <c r="AK19" s="216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201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3290240000</v>
      </c>
      <c r="Y20" s="61">
        <f t="shared" si="4"/>
        <v>1</v>
      </c>
      <c r="AA20" s="110">
        <f t="shared" si="5"/>
        <v>2200</v>
      </c>
      <c r="AB20" s="63">
        <f>RANK($AA20,$AA$3:$AA$44)+COUNTIF($AA$3:$AA20,AA20)-1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216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201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3035940000</v>
      </c>
      <c r="Y21" s="61">
        <f t="shared" si="4"/>
        <v>1</v>
      </c>
      <c r="AA21" s="110">
        <f t="shared" si="5"/>
        <v>2410</v>
      </c>
      <c r="AB21" s="63">
        <f>RANK($AA21,$AA$3:$AA$44)+COUNTIF($AA$3:$AA21,AA21)-1</f>
        <v>23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201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3793740000</v>
      </c>
      <c r="Y22" s="61">
        <f t="shared" si="4"/>
        <v>1</v>
      </c>
      <c r="AA22" s="110">
        <f t="shared" si="5"/>
        <v>2460</v>
      </c>
      <c r="AB22" s="63">
        <f>RANK($AA22,$AA$3:$AA$44)+COUNTIF($AA$3:$AA22,AA22)-1</f>
        <v>18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201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2700740000</v>
      </c>
      <c r="Y23" s="61">
        <f t="shared" si="4"/>
        <v>1</v>
      </c>
      <c r="AA23" s="110">
        <f t="shared" si="5"/>
        <v>2220</v>
      </c>
      <c r="AB23" s="63">
        <f>RANK($AA23,$AA$3:$AA$44)+COUNTIF($AA$3:$AA23,AA23)-1</f>
        <v>26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201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3290240000</v>
      </c>
      <c r="Y24" s="61">
        <f t="shared" si="4"/>
        <v>1</v>
      </c>
      <c r="AA24" s="110">
        <f t="shared" si="5"/>
        <v>2200</v>
      </c>
      <c r="AB24" s="63">
        <f>RANK($AA24,$AA$3:$AA$44)+COUNTIF($AA$3:$AA24,AA24)-1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214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201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3290240000</v>
      </c>
      <c r="Y25" s="61">
        <f t="shared" si="4"/>
        <v>1</v>
      </c>
      <c r="AA25" s="110">
        <f t="shared" si="5"/>
        <v>2200</v>
      </c>
      <c r="AB25" s="63">
        <f>RANK($AA25,$AA$3:$AA$44)+COUNTIF($AA$3:$AA25,AA25)-1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210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201">
        <v>2.2000000000000002</v>
      </c>
      <c r="I26" s="123">
        <v>37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0.40000000000000036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0.11794871794871797</v>
      </c>
      <c r="V26" s="13" cm="1">
        <f t="array" ref="V26">Details!$D$9-SUMPRODUCT(TRANSPOSE(Details!$D$4:$D$8),$P26:$T26)-$I26</f>
        <v>823</v>
      </c>
      <c r="X26" s="13" cm="1">
        <f t="array" ref="X26">LevelUpgradeCost($E26)</f>
        <v>3035940000</v>
      </c>
      <c r="Y26" s="61">
        <f t="shared" si="4"/>
        <v>1</v>
      </c>
      <c r="AA26" s="110">
        <f t="shared" si="5"/>
        <v>2410</v>
      </c>
      <c r="AB26" s="63">
        <f>RANK($AA26,$AA$3:$AA$44)+COUNTIF($AA$3:$AA26,AA26)-1</f>
        <v>24</v>
      </c>
      <c r="AC26" s="61" t="str" cm="1">
        <f t="array" ref="AC26">IFERROR(_xlfn.IFS($AB26&lt;8,1,$AB26&lt;15,2,$AB26&lt;21,3),"")</f>
        <v/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222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t="str" cm="1">
        <f t="array" ref="F27">IsUpgradable(E27)</f>
        <v/>
      </c>
      <c r="G27" s="127">
        <f>INT(H27)</f>
        <v>4</v>
      </c>
      <c r="H27" s="202">
        <v>4.3</v>
      </c>
      <c r="I27" s="156">
        <v>11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 t="str">
        <f t="shared" ref="N27:N33" si="8">IF(H27=5,10,"")</f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0.59999999999999964</v>
      </c>
      <c r="U27" s="9" cm="1">
        <f t="array" ref="U27">SUMPRODUCT(TRANSPOSE(Details!$D$4:$D$8),$P27:$T27)/Details!$D$9</f>
        <v>0.7948717948717946</v>
      </c>
      <c r="V27" s="13" cm="1">
        <f t="array" ref="V27">Details!$D$9-SUMPRODUCT(TRANSPOSE(Details!$D$4:$D$8),$P27:$T27)-$I27</f>
        <v>189.00000000000023</v>
      </c>
      <c r="X27" s="13" cm="1">
        <f t="array" ref="X27">LevelUpgradeCost($E27)</f>
        <v>110040000</v>
      </c>
      <c r="Y27" s="61" t="str">
        <f t="shared" si="4"/>
        <v/>
      </c>
      <c r="AA27" s="110">
        <f t="shared" si="5"/>
        <v>4560</v>
      </c>
      <c r="AB27" s="63">
        <f>RANK($AA27,$AA$3:$AA$44)+COUNTIF($AA$3:$AA27,AA27)-1</f>
        <v>5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202">
        <v>3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0.17948717948717949</v>
      </c>
      <c r="V28" s="13" cm="1">
        <f t="array" ref="V28">Details!$D$9-SUMPRODUCT(TRANSPOSE(Details!$D$4:$D$8),$P28:$T28)-$I28</f>
        <v>790</v>
      </c>
      <c r="X28" s="13" cm="1">
        <f t="array" ref="X28">LevelUpgradeCost($E28)</f>
        <v>3035940000</v>
      </c>
      <c r="Y28" s="61">
        <f t="shared" si="4"/>
        <v>1</v>
      </c>
      <c r="AA28" s="110">
        <f t="shared" si="5"/>
        <v>3210</v>
      </c>
      <c r="AB28" s="63">
        <f>RANK($AA28,$AA$3:$AA$44)+COUNTIF($AA$3:$AA28,AA28)-1</f>
        <v>14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237</v>
      </c>
      <c r="C29" s="19" t="s">
        <v>53</v>
      </c>
      <c r="D29" s="71" t="s">
        <v>98</v>
      </c>
      <c r="E29" s="63">
        <v>170</v>
      </c>
      <c r="F29" s="125" cm="1">
        <f t="array" ref="F29">IsUpgradable(E29)</f>
        <v>1</v>
      </c>
      <c r="G29" s="127">
        <f t="shared" ref="G29" si="9">INT(H29)</f>
        <v>3</v>
      </c>
      <c r="H29" s="201">
        <v>3</v>
      </c>
      <c r="I29" s="123">
        <v>90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0.17948717948717949</v>
      </c>
      <c r="V29" s="13" cm="1">
        <f t="array" ref="V29">Details!$D$9-SUMPRODUCT(TRANSPOSE(Details!$D$4:$D$8),$P29:$T29)-$I29</f>
        <v>710</v>
      </c>
      <c r="X29" s="13" cm="1">
        <f t="array" ref="X29">LevelUpgradeCost($E29)</f>
        <v>3722240000</v>
      </c>
      <c r="Y29" s="61">
        <f t="shared" ref="Y29" si="10">F29</f>
        <v>1</v>
      </c>
      <c r="AA29" s="110">
        <f t="shared" si="5"/>
        <v>3170</v>
      </c>
      <c r="AB29" s="63">
        <f>RANK($AA29,$AA$3:$AA$44)+COUNTIF($AA$3:$AA29,AA29)-1</f>
        <v>15</v>
      </c>
      <c r="AC29" s="61" cm="1">
        <f t="array" ref="AC29">IFERROR(_xlfn.IFS($AB29&lt;8,1,$AB29&lt;15,2,$AB29&lt;21,3),"")</f>
        <v>3</v>
      </c>
      <c r="AE29" s="63" t="s">
        <v>240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202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3035940000</v>
      </c>
      <c r="Y30" s="160">
        <f t="shared" si="4"/>
        <v>1</v>
      </c>
      <c r="AA30" s="206">
        <f t="shared" si="5"/>
        <v>2310</v>
      </c>
      <c r="AB30" s="153">
        <f>RANK($AA30,$AA$3:$AA$44)+COUNTIF($AA$3:$AA30,AA30)-1</f>
        <v>25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218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4" t="s">
        <v>84</v>
      </c>
      <c r="C31" s="175" t="s">
        <v>50</v>
      </c>
      <c r="D31" s="176" t="s">
        <v>98</v>
      </c>
      <c r="E31" s="177"/>
      <c r="F31" s="178" t="str" cm="1">
        <f t="array" ref="F31">IsUpgradable(E31)</f>
        <v/>
      </c>
      <c r="G31" s="179">
        <f t="shared" ref="G31:G43" si="11">INT(H31)</f>
        <v>0</v>
      </c>
      <c r="H31" s="203"/>
      <c r="I31" s="180"/>
      <c r="J31" s="177" t="str" cm="1">
        <f t="array" ref="J31">IF(E31="","",_xlfn.MAKEARRAY(1,3,_xlfn.LAMBDA(_xlpm.row,_xlpm.col,1)))</f>
        <v/>
      </c>
      <c r="K31" s="181"/>
      <c r="L31" s="181"/>
      <c r="M31" s="181" t="str">
        <f t="shared" si="7"/>
        <v/>
      </c>
      <c r="N31" s="175" t="str">
        <f t="shared" si="8"/>
        <v/>
      </c>
      <c r="O31" s="140"/>
      <c r="P31" s="182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82">
        <f>IFERROR(CHOOSE(IF($H31&gt;=Details!$B$6,1,2),Details!$D$6,IF($H31&gt;Details!$B$6-1,IF($H31&lt;1,Details!$G$5,MOD($H31,Details!$B$6-1))*10*Details!$C$6,""))/Details!$D$6,0)</f>
        <v>0</v>
      </c>
      <c r="S31" s="182">
        <f>IFERROR(CHOOSE(IF($H31&gt;=Details!$B$7,1,2),Details!$D$7,IF($H31&gt;Details!$B$7-1,IF($H31&lt;1,Details!$G$5,MOD($H31,Details!$B$7-1))*10*Details!$C$7,""))/Details!$D$7,0)</f>
        <v>0</v>
      </c>
      <c r="T31" s="182">
        <f>IFERROR(CHOOSE(IF($H31&gt;=Details!$B$8,1,2),Details!$D$8,IF($H31&gt;Details!$B$8-1,IF($H31&lt;1,Details!$G$5,MOD($H31,Details!$B$8-1))*10*Details!$C$8,""))/Details!$D$8,0)</f>
        <v>0</v>
      </c>
      <c r="U31" s="182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3918613700</v>
      </c>
      <c r="Y31" s="183" t="str">
        <f t="shared" si="4"/>
        <v/>
      </c>
      <c r="Z31" s="140"/>
      <c r="AA31" s="207">
        <f t="shared" si="5"/>
        <v>0</v>
      </c>
      <c r="AB31" s="177">
        <f>RANK($AA31,$AA$3:$AA$44)+COUNTIF($AA$3:$AA31,AA31)-1</f>
        <v>32</v>
      </c>
      <c r="AC31" s="183" t="str" cm="1">
        <f t="array" ref="AC31">IFERROR(_xlfn.IFS($AB31&lt;8,1,$AB31&lt;15,2,$AB31&lt;21,3),"")</f>
        <v/>
      </c>
      <c r="AE31" s="177" t="s">
        <v>164</v>
      </c>
      <c r="AF31" s="181" t="str">
        <f t="shared" si="3"/>
        <v xml:space="preserve"> </v>
      </c>
      <c r="AG31" s="175" t="str">
        <f t="shared" si="6"/>
        <v xml:space="preserve"> </v>
      </c>
      <c r="AI31" s="177" t="s">
        <v>224</v>
      </c>
      <c r="AJ31" s="181"/>
      <c r="AK31" s="175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/>
      <c r="F32" s="125" t="str" cm="1">
        <f t="array" ref="F32">IsUpgradable(E32)</f>
        <v/>
      </c>
      <c r="G32" s="127">
        <f t="shared" si="11"/>
        <v>0</v>
      </c>
      <c r="H32" s="201"/>
      <c r="I32" s="123">
        <v>94</v>
      </c>
      <c r="J32" s="63" t="str" cm="1">
        <f t="array" ref="J32">IF(E32="","",_xlfn.MAKEARRAY(1,3,_xlfn.LAMBDA(_xlpm.row,_xlpm.col,1)))</f>
        <v/>
      </c>
      <c r="K32" s="7"/>
      <c r="L32" s="7"/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881</v>
      </c>
      <c r="X32" s="13" cm="1">
        <f t="array" ref="X32">LevelUpgradeCost($E32)</f>
        <v>3918613700</v>
      </c>
      <c r="Y32" s="61" t="str">
        <f t="shared" si="4"/>
        <v/>
      </c>
      <c r="AA32" s="110">
        <f t="shared" si="5"/>
        <v>0</v>
      </c>
      <c r="AB32" s="63">
        <f>RANK($AA32,$AA$3:$AA$44)+COUNTIF($AA$3:$AA32,AA32)-1</f>
        <v>33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225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226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201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3918613700</v>
      </c>
      <c r="Y33" s="61" t="str">
        <f t="shared" si="4"/>
        <v/>
      </c>
      <c r="AA33" s="110">
        <f t="shared" si="5"/>
        <v>0</v>
      </c>
      <c r="AB33" s="63">
        <f>RANK($AA33,$AA$3:$AA$44)+COUNTIF($AA$3:$AA33,AA33)-1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260</v>
      </c>
      <c r="F34" s="126" t="str" cm="1">
        <f t="array" ref="F34">IsUpgradable(E34)</f>
        <v/>
      </c>
      <c r="G34" s="129">
        <f t="shared" si="11"/>
        <v>5</v>
      </c>
      <c r="H34" s="204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3" si="12">IF($G34&gt;3,"Max","")</f>
        <v>Max</v>
      </c>
      <c r="N34" s="20">
        <f t="shared" ref="N34:N43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110040000</v>
      </c>
      <c r="Y34" s="62" t="str">
        <f t="shared" si="4"/>
        <v/>
      </c>
      <c r="Z34" s="141"/>
      <c r="AA34" s="112">
        <f t="shared" si="5"/>
        <v>5260</v>
      </c>
      <c r="AB34" s="64">
        <f>RANK($AA34,$AA$3:$AA$44)+COUNTIF($AA$3:$AA34,AA34)-1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64"/>
      <c r="F35" s="165" t="str" cm="1">
        <f t="array" ref="F35">IsUpgradable(E35)</f>
        <v/>
      </c>
      <c r="G35" s="166">
        <f t="shared" si="11"/>
        <v>0</v>
      </c>
      <c r="H35" s="205"/>
      <c r="I35" s="167"/>
      <c r="J35" s="164" t="str" cm="1">
        <f t="array" ref="J35">IF(E35="","",_xlfn.MAKEARRAY(1,3,_xlfn.LAMBDA(_xlpm.row,_xlpm.col,1)))</f>
        <v/>
      </c>
      <c r="K35" s="168"/>
      <c r="L35" s="168"/>
      <c r="M35" s="169" t="str">
        <f t="shared" si="12"/>
        <v/>
      </c>
      <c r="N35" s="170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71" cm="1">
        <f t="array" ref="V35">Details!$D$9-SUMPRODUCT(TRANSPOSE(Details!$D$4:$D$8),$P35:$T35)-$I35</f>
        <v>975</v>
      </c>
      <c r="X35" s="171" cm="1">
        <f t="array" ref="X35">LevelUpgradeCost($E35)</f>
        <v>3918613700</v>
      </c>
      <c r="Y35" s="172" t="str">
        <f t="shared" si="4"/>
        <v/>
      </c>
      <c r="AA35" s="108">
        <f t="shared" si="5"/>
        <v>0</v>
      </c>
      <c r="AB35" s="173">
        <f>RANK($AA35,$AA$3:$AA$44)+COUNTIF($AA$3:$AA35,AA35)-1</f>
        <v>35</v>
      </c>
      <c r="AC35" s="172" t="str" cm="1">
        <f t="array" ref="AC35">IFERROR(_xlfn.IFS($AB35&lt;8,1,$AB35&lt;15,2,$AB35&lt;21,3),"")</f>
        <v/>
      </c>
      <c r="AE35" s="173"/>
      <c r="AF35" s="169" t="str">
        <f t="shared" si="3"/>
        <v xml:space="preserve"> </v>
      </c>
      <c r="AG35" s="170" t="str">
        <f t="shared" si="6"/>
        <v xml:space="preserve"> </v>
      </c>
      <c r="AI35" s="173"/>
      <c r="AJ35" s="169"/>
      <c r="AK35" s="170"/>
    </row>
    <row r="36" spans="1:37" ht="12" customHeight="1" x14ac:dyDescent="0.2">
      <c r="B36" s="150" t="s">
        <v>58</v>
      </c>
      <c r="C36" s="151" t="s">
        <v>55</v>
      </c>
      <c r="D36" s="152" t="s">
        <v>97</v>
      </c>
      <c r="E36" s="153">
        <v>1</v>
      </c>
      <c r="F36" s="125" cm="1">
        <f t="array" ref="F36">IsUpgradable(E36)</f>
        <v>1</v>
      </c>
      <c r="G36" s="127">
        <f t="shared" ref="G36" si="14">INT(H36)</f>
        <v>0</v>
      </c>
      <c r="H36" s="202">
        <v>0</v>
      </c>
      <c r="I36" s="156">
        <v>0</v>
      </c>
      <c r="J36" s="153" cm="1">
        <f t="array" ref="J36:L36">IF(E36="","",_xlfn.MAKEARRAY(1,3,_xlfn.LAMBDA(_xlpm.row,_xlpm.col,1)))</f>
        <v>1</v>
      </c>
      <c r="K36" s="157">
        <v>1</v>
      </c>
      <c r="L36" s="157">
        <v>1</v>
      </c>
      <c r="M36" s="7" t="str">
        <f t="shared" si="12"/>
        <v/>
      </c>
      <c r="N36" s="19" t="str">
        <f t="shared" ref="N36" si="15">IF(H36=5,10,"")</f>
        <v/>
      </c>
      <c r="P36" s="9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9">
        <f>IFERROR(CHOOSE(IF($H36&gt;=Details!$B$6,1,2),Details!$D$6,IF($H36&gt;Details!$B$6-1,IF($H36&lt;1,Details!$G$5,MOD($H36,Details!$B$6-1))*10*Details!$C$6,""))/Details!$D$6,0)</f>
        <v>0</v>
      </c>
      <c r="S36" s="9">
        <f>IFERROR(CHOOSE(IF($H36&gt;=Details!$B$7,1,2),Details!$D$7,IF($H36&gt;Details!$B$7-1,IF($H36&lt;1,Details!$G$5,MOD($H36,Details!$B$7-1))*10*Details!$C$7,""))/Details!$D$7,0)</f>
        <v>0</v>
      </c>
      <c r="T36" s="9">
        <f>IFERROR(CHOOSE(IF($H36&gt;=Details!$B$8,1,2),Details!$D$8,IF($H36&gt;Details!$B$8-1,IF($H36&lt;1,Details!$G$5,MOD($H36,Details!$B$8-1))*10*Details!$C$8,""))/Details!$D$8,0)</f>
        <v>0</v>
      </c>
      <c r="U36" s="9" cm="1">
        <f t="array" ref="U36">SUMPRODUCT(TRANSPOSE(Details!$D$4:$D$8),$P36:$T36)/Details!$D$9</f>
        <v>0</v>
      </c>
      <c r="V36" s="13" cm="1">
        <f t="array" ref="V36">Details!$D$9-SUMPRODUCT(TRANSPOSE(Details!$D$4:$D$8),$P36:$T36)-$I36</f>
        <v>975</v>
      </c>
      <c r="X36" s="13" cm="1">
        <f t="array" ref="X36">LevelUpgradeCost($E36)</f>
        <v>3918613700</v>
      </c>
      <c r="Y36" s="61">
        <f t="shared" ref="Y36" si="16">F36</f>
        <v>1</v>
      </c>
      <c r="AA36" s="110">
        <f t="shared" si="5"/>
        <v>1</v>
      </c>
      <c r="AB36" s="63">
        <f>RANK($AA36,$AA$3:$AA$44)+COUNTIF($AA$3:$AA36,AA36)-1</f>
        <v>31</v>
      </c>
      <c r="AC36" s="61" t="str" cm="1">
        <f t="array" ref="AC36">IFERROR(_xlfn.IFS($AB36&lt;8,1,$AB36&lt;15,2,$AB36&lt;21,3),"")</f>
        <v/>
      </c>
      <c r="AE36" s="63" t="s">
        <v>184</v>
      </c>
      <c r="AF36" s="7" t="str">
        <f t="shared" si="3"/>
        <v xml:space="preserve"> </v>
      </c>
      <c r="AG36" s="19" t="str">
        <f t="shared" si="6"/>
        <v xml:space="preserve"> </v>
      </c>
      <c r="AI36" s="63" t="s">
        <v>215</v>
      </c>
      <c r="AJ36" s="7"/>
      <c r="AK36" s="19"/>
    </row>
    <row r="37" spans="1:37" ht="12" customHeight="1" x14ac:dyDescent="0.2">
      <c r="A37" s="1" t="str" cm="1">
        <f t="array" ref="A37">GetMutationLevel(B37)</f>
        <v/>
      </c>
      <c r="B37" s="150" t="s">
        <v>113</v>
      </c>
      <c r="C37" s="151" t="s">
        <v>61</v>
      </c>
      <c r="D37" s="152" t="s">
        <v>97</v>
      </c>
      <c r="E37" s="153"/>
      <c r="F37" s="125" t="str" cm="1">
        <f t="array" ref="F37">IsUpgradable(E37)</f>
        <v/>
      </c>
      <c r="G37" s="127">
        <f t="shared" si="11"/>
        <v>0</v>
      </c>
      <c r="H37" s="202"/>
      <c r="I37" s="156"/>
      <c r="J37" s="153" t="str" cm="1">
        <f t="array" ref="J37">IF(E37="","",_xlfn.MAKEARRAY(1,3,_xlfn.LAMBDA(_xlpm.row,_xlpm.col,1)))</f>
        <v/>
      </c>
      <c r="K37" s="157"/>
      <c r="L37" s="157"/>
      <c r="M37" s="7" t="str">
        <f t="shared" si="12"/>
        <v/>
      </c>
      <c r="N37" s="19" t="str">
        <f t="shared" si="13"/>
        <v/>
      </c>
      <c r="P37" s="9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9">
        <f>IFERROR(CHOOSE(IF($H37&gt;=Details!$B$6,1,2),Details!$D$6,IF($H37&gt;Details!$B$6-1,IF($H37&lt;1,Details!$G$5,MOD($H37,Details!$B$6-1))*10*Details!$C$6,""))/Details!$D$6,0)</f>
        <v>0</v>
      </c>
      <c r="S37" s="9">
        <f>IFERROR(CHOOSE(IF($H37&gt;=Details!$B$7,1,2),Details!$D$7,IF($H37&gt;Details!$B$7-1,IF($H37&lt;1,Details!$G$5,MOD($H37,Details!$B$7-1))*10*Details!$C$7,""))/Details!$D$7,0)</f>
        <v>0</v>
      </c>
      <c r="T37" s="9">
        <f>IFERROR(CHOOSE(IF($H37&gt;=Details!$B$8,1,2),Details!$D$8,IF($H37&gt;Details!$B$8-1,IF($H37&lt;1,Details!$G$5,MOD($H37,Details!$B$8-1))*10*Details!$C$8,""))/Details!$D$8,0)</f>
        <v>0</v>
      </c>
      <c r="U37" s="9" cm="1">
        <f t="array" ref="U37">SUMPRODUCT(TRANSPOSE(Details!$D$4:$D$8),$P37:$T37)/Details!$D$9</f>
        <v>0</v>
      </c>
      <c r="V37" s="13" cm="1">
        <f t="array" ref="V37">Details!$D$9-SUMPRODUCT(TRANSPOSE(Details!$D$4:$D$8),$P37:$T37)-$I37</f>
        <v>975</v>
      </c>
      <c r="X37" s="13" cm="1">
        <f t="array" ref="X37">LevelUpgradeCost($E37)</f>
        <v>3918613700</v>
      </c>
      <c r="Y37" s="61" t="str">
        <f t="shared" si="4"/>
        <v/>
      </c>
      <c r="AA37" s="110">
        <f t="shared" si="5"/>
        <v>0</v>
      </c>
      <c r="AB37" s="63">
        <f>RANK($AA37,$AA$3:$AA$44)+COUNTIF($AA$3:$AA37,AA37)-1</f>
        <v>36</v>
      </c>
      <c r="AC37" s="61" t="str" cm="1">
        <f t="array" ref="AC37">IFERROR(_xlfn.IFS($AB37&lt;8,1,$AB37&lt;15,2,$AB37&lt;21,3),"")</f>
        <v/>
      </c>
      <c r="AE37" s="63"/>
      <c r="AF37" s="7" t="str">
        <f t="shared" si="3"/>
        <v xml:space="preserve"> </v>
      </c>
      <c r="AG37" s="19" t="str">
        <f t="shared" si="6"/>
        <v xml:space="preserve"> </v>
      </c>
      <c r="AI37" s="63"/>
      <c r="AJ37" s="7"/>
      <c r="AK37" s="19"/>
    </row>
    <row r="38" spans="1:37" ht="12" customHeight="1" x14ac:dyDescent="0.2">
      <c r="A38" s="1" t="str" cm="1">
        <f t="array" ref="A38">GetMutationLevel(B38)</f>
        <v/>
      </c>
      <c r="B38" s="150" t="s">
        <v>114</v>
      </c>
      <c r="C38" s="151" t="s">
        <v>55</v>
      </c>
      <c r="D38" s="152" t="s">
        <v>97</v>
      </c>
      <c r="E38" s="153"/>
      <c r="F38" s="125" t="str" cm="1">
        <f t="array" ref="F38">IsUpgradable(E38)</f>
        <v/>
      </c>
      <c r="G38" s="127">
        <f t="shared" si="11"/>
        <v>0</v>
      </c>
      <c r="H38" s="202"/>
      <c r="I38" s="156"/>
      <c r="J38" s="153" t="str" cm="1">
        <f t="array" ref="J38">IF(E38="","",_xlfn.MAKEARRAY(1,3,_xlfn.LAMBDA(_xlpm.row,_xlpm.col,1)))</f>
        <v/>
      </c>
      <c r="K38" s="157"/>
      <c r="L38" s="157"/>
      <c r="M38" s="7" t="str">
        <f t="shared" si="12"/>
        <v/>
      </c>
      <c r="N38" s="19" t="str">
        <f t="shared" si="13"/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3918613700</v>
      </c>
      <c r="Y38" s="61" t="str">
        <f t="shared" si="4"/>
        <v/>
      </c>
      <c r="AA38" s="110">
        <f t="shared" si="5"/>
        <v>0</v>
      </c>
      <c r="AB38" s="63">
        <f>RANK($AA38,$AA$3:$AA$44)+COUNTIF($AA$3:$AA38,AA38)-1</f>
        <v>37</v>
      </c>
      <c r="AC38" s="61" t="str" cm="1">
        <f t="array" ref="AC38">IFERROR(_xlfn.IFS($AB38&lt;8,1,$AB38&lt;15,2,$AB38&lt;21,3),"")</f>
        <v/>
      </c>
      <c r="AE38" s="63"/>
      <c r="AF38" s="7" t="str">
        <f t="shared" si="3"/>
        <v xml:space="preserve"> </v>
      </c>
      <c r="AG38" s="19" t="str">
        <f t="shared" si="6"/>
        <v xml:space="preserve"> </v>
      </c>
      <c r="AI38" s="63"/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115</v>
      </c>
      <c r="C39" s="151" t="s">
        <v>50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202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3918613700</v>
      </c>
      <c r="Y39" s="61" t="str">
        <f t="shared" si="4"/>
        <v/>
      </c>
      <c r="AA39" s="110">
        <f t="shared" si="5"/>
        <v>0</v>
      </c>
      <c r="AB39" s="63">
        <f>RANK($AA39,$AA$3:$AA$44)+COUNTIF($AA$3:$AA39,AA39)-1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116</v>
      </c>
      <c r="C40" s="151" t="s">
        <v>53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202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3918613700</v>
      </c>
      <c r="Y40" s="61" t="str">
        <f t="shared" si="4"/>
        <v/>
      </c>
      <c r="AA40" s="110">
        <f t="shared" si="5"/>
        <v>0</v>
      </c>
      <c r="AB40" s="63">
        <f>RANK($AA40,$AA$3:$AA$44)+COUNTIF($AA$3:$AA40,AA40)-1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117</v>
      </c>
      <c r="C41" s="151" t="s">
        <v>61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202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3918613700</v>
      </c>
      <c r="Y41" s="61" t="str">
        <f t="shared" si="4"/>
        <v/>
      </c>
      <c r="AA41" s="110">
        <f t="shared" si="5"/>
        <v>0</v>
      </c>
      <c r="AB41" s="63">
        <f>RANK($AA41,$AA$3:$AA$44)+COUNTIF($AA$3:$AA41,AA41)-1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118</v>
      </c>
      <c r="C42" s="151" t="s">
        <v>55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202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3918613700</v>
      </c>
      <c r="Y42" s="61" t="str">
        <f t="shared" si="4"/>
        <v/>
      </c>
      <c r="AA42" s="110">
        <f t="shared" si="5"/>
        <v>0</v>
      </c>
      <c r="AB42" s="63">
        <f>RANK($AA42,$AA$3:$AA$44)+COUNTIF($AA$3:$AA42,AA42)-1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119</v>
      </c>
      <c r="C43" s="151" t="s">
        <v>50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202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3918613700</v>
      </c>
      <c r="Y43" s="61" t="str">
        <f t="shared" si="4"/>
        <v/>
      </c>
      <c r="AA43" s="110">
        <f t="shared" si="5"/>
        <v>0</v>
      </c>
      <c r="AB43" s="63">
        <f>RANK($AA43,$AA$3:$AA$44)+COUNTIF($AA$3:$AA43,AA43)-1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thickBot="1" x14ac:dyDescent="0.25">
      <c r="A44" s="1" t="str" cm="1">
        <f t="array" ref="A44">GetMutationLevel(B44)</f>
        <v/>
      </c>
      <c r="B44" s="14" t="s">
        <v>49</v>
      </c>
      <c r="C44" s="20" t="s">
        <v>50</v>
      </c>
      <c r="D44" s="72" t="s">
        <v>97</v>
      </c>
      <c r="E44" s="64">
        <v>160</v>
      </c>
      <c r="F44" s="126" cm="1">
        <f t="array" ref="F44">IsUpgradable(E44)</f>
        <v>1</v>
      </c>
      <c r="G44" s="129">
        <f>INT(H44)</f>
        <v>2</v>
      </c>
      <c r="H44" s="204">
        <v>2.2999999999999998</v>
      </c>
      <c r="I44" s="124">
        <v>0</v>
      </c>
      <c r="J44" s="64" cm="1">
        <f t="array" ref="J44:L44">IF(E44="","",_xlfn.MAKEARRAY(1,3,_xlfn.LAMBDA(_xlpm.row,_xlpm.col,1)))</f>
        <v>1</v>
      </c>
      <c r="K44" s="70">
        <v>1</v>
      </c>
      <c r="L44" s="70">
        <v>1</v>
      </c>
      <c r="M44" s="70" t="str">
        <f>IF($G44&gt;3,"Max","")</f>
        <v/>
      </c>
      <c r="N44" s="20" t="str">
        <f>IF(H44=5,10,"")</f>
        <v/>
      </c>
      <c r="P44" s="21">
        <f>IFERROR(CHOOSE(IF($H44&gt;=Details!$B$4,1,2),Details!$D$4,IF($H44&gt;Details!$B$4-1,IF($H44&lt;1,$H44,MOD($H44,Details!$B$4-1))*10*Details!$C$4,""))/Details!$D$4,0)</f>
        <v>1</v>
      </c>
      <c r="Q44" s="9">
        <f>IFERROR(CHOOSE(IF($H44&gt;=Details!$B$5,1,2),Details!$D$5,IF($H44&gt;Details!$B$5-1,IF($H44&lt;1,Details!$G$4,MOD($H44,Details!$B$5-1))*10*Details!$C$5,""))/Details!$D$5,0)</f>
        <v>1</v>
      </c>
      <c r="R44" s="21">
        <f>IFERROR(CHOOSE(IF($H44&gt;=Details!$B$6,1,2),Details!$D$6,IF($H44&gt;Details!$B$6-1,IF($H44&lt;1,Details!$G$5,MOD($H44,Details!$B$6-1))*10*Details!$C$6,""))/Details!$D$6,0)</f>
        <v>0.59999999999999964</v>
      </c>
      <c r="S44" s="21">
        <f>IFERROR(CHOOSE(IF($H44&gt;=Details!$B$7,1,2),Details!$D$7,IF($H44&gt;Details!$B$7-1,IF($H44&lt;1,Details!$G$5,MOD($H44,Details!$B$7-1))*10*Details!$C$7,""))/Details!$D$7,0)</f>
        <v>0</v>
      </c>
      <c r="T44" s="21">
        <f>IFERROR(CHOOSE(IF($H44&gt;=Details!$B$8,1,2),Details!$D$8,IF($H44&gt;Details!$B$8-1,IF($H44&lt;1,Details!$G$5,MOD($H44,Details!$B$8-1))*10*Details!$C$8,""))/Details!$D$8,0)</f>
        <v>0</v>
      </c>
      <c r="U44" s="21" cm="1">
        <f t="array" ref="U44">SUMPRODUCT(TRANSPOSE(Details!$D$4:$D$8),$P44:$T44)/Details!$D$9</f>
        <v>0.13846153846153844</v>
      </c>
      <c r="V44" s="22" cm="1">
        <f t="array" ref="V44">Details!$D$9-SUMPRODUCT(TRANSPOSE(Details!$D$4:$D$8),$P44:$T44)-$I44</f>
        <v>840</v>
      </c>
      <c r="X44" s="22" cm="1">
        <f t="array" ref="X44">LevelUpgradeCost($E44)</f>
        <v>3793740000</v>
      </c>
      <c r="Y44" s="62">
        <f t="shared" si="4"/>
        <v>1</v>
      </c>
      <c r="AA44" s="112">
        <f t="shared" si="5"/>
        <v>2460</v>
      </c>
      <c r="AB44" s="64">
        <f>RANK($AA44,$AA$3:$AA$44)+COUNTIF($AA$3:$AA44,AA44)-1</f>
        <v>19</v>
      </c>
      <c r="AC44" s="62" cm="1">
        <f t="array" ref="AC44">IFERROR(_xlfn.IFS($AB44&lt;8,1,$AB44&lt;15,2,$AB44&lt;21,3),"")</f>
        <v>3</v>
      </c>
      <c r="AE44" s="64"/>
      <c r="AF44" s="70" t="str">
        <f t="shared" si="3"/>
        <v xml:space="preserve"> </v>
      </c>
      <c r="AG44" s="20" t="str">
        <f t="shared" si="6"/>
        <v xml:space="preserve"> </v>
      </c>
      <c r="AI44" s="64" t="s">
        <v>196</v>
      </c>
      <c r="AJ44" s="70" t="s">
        <v>187</v>
      </c>
      <c r="AK44" s="20"/>
    </row>
    <row r="45" spans="1:37" ht="12" customHeight="1" x14ac:dyDescent="0.2">
      <c r="B45" s="79">
        <f>COLUMN()-1</f>
        <v>1</v>
      </c>
      <c r="C45" s="1">
        <f t="shared" ref="C45:AK45" si="17">COLUMN()-1</f>
        <v>2</v>
      </c>
      <c r="D45" s="142">
        <f t="shared" si="17"/>
        <v>3</v>
      </c>
      <c r="E45" s="1">
        <f t="shared" si="17"/>
        <v>4</v>
      </c>
      <c r="F45" s="142">
        <f t="shared" si="17"/>
        <v>5</v>
      </c>
      <c r="G45" s="142">
        <f t="shared" si="17"/>
        <v>6</v>
      </c>
      <c r="H45" s="1">
        <f t="shared" si="17"/>
        <v>7</v>
      </c>
      <c r="I45" s="5">
        <f t="shared" si="17"/>
        <v>8</v>
      </c>
      <c r="J45" s="1">
        <f t="shared" si="17"/>
        <v>9</v>
      </c>
      <c r="K45" s="1">
        <f t="shared" si="17"/>
        <v>10</v>
      </c>
      <c r="L45" s="1">
        <f t="shared" si="17"/>
        <v>11</v>
      </c>
      <c r="M45" s="1">
        <f t="shared" si="17"/>
        <v>12</v>
      </c>
      <c r="N45" s="1">
        <f t="shared" si="17"/>
        <v>13</v>
      </c>
      <c r="O45" s="1">
        <f t="shared" si="17"/>
        <v>14</v>
      </c>
      <c r="P45" s="1">
        <f t="shared" si="17"/>
        <v>15</v>
      </c>
      <c r="Q45" s="1">
        <f t="shared" si="17"/>
        <v>16</v>
      </c>
      <c r="R45" s="1">
        <f t="shared" si="17"/>
        <v>17</v>
      </c>
      <c r="S45" s="1">
        <f t="shared" si="17"/>
        <v>18</v>
      </c>
      <c r="T45" s="1">
        <f t="shared" si="17"/>
        <v>19</v>
      </c>
      <c r="U45" s="1">
        <f t="shared" si="17"/>
        <v>20</v>
      </c>
      <c r="V45" s="1">
        <f t="shared" si="17"/>
        <v>21</v>
      </c>
      <c r="W45" s="1">
        <f t="shared" si="17"/>
        <v>22</v>
      </c>
      <c r="X45" s="1">
        <f t="shared" si="17"/>
        <v>23</v>
      </c>
      <c r="Y45" s="1">
        <f t="shared" si="17"/>
        <v>24</v>
      </c>
      <c r="Z45" s="1">
        <f t="shared" si="17"/>
        <v>25</v>
      </c>
      <c r="AA45" s="1">
        <f t="shared" si="17"/>
        <v>26</v>
      </c>
      <c r="AB45" s="1">
        <f t="shared" si="17"/>
        <v>27</v>
      </c>
      <c r="AC45" s="1">
        <f t="shared" si="17"/>
        <v>28</v>
      </c>
      <c r="AD45" s="1">
        <f t="shared" si="17"/>
        <v>29</v>
      </c>
      <c r="AE45" s="1">
        <f t="shared" si="17"/>
        <v>30</v>
      </c>
      <c r="AF45" s="1">
        <f t="shared" si="17"/>
        <v>31</v>
      </c>
      <c r="AG45" s="1">
        <f t="shared" si="17"/>
        <v>32</v>
      </c>
      <c r="AI45" s="1">
        <f t="shared" si="17"/>
        <v>34</v>
      </c>
      <c r="AJ45" s="1">
        <f t="shared" si="17"/>
        <v>35</v>
      </c>
      <c r="AK45" s="1">
        <f t="shared" si="17"/>
        <v>36</v>
      </c>
    </row>
    <row r="46" spans="1:37" ht="12" customHeight="1" x14ac:dyDescent="0.2">
      <c r="B46" s="79"/>
      <c r="D46" s="142"/>
      <c r="E46" s="1">
        <f>COUNTIF(E3:E44,"&gt;0")-COUNTIF(E3:E44,"="&amp;HallLevel*10)</f>
        <v>22</v>
      </c>
      <c r="F46" s="142"/>
      <c r="G46" s="142"/>
      <c r="I46" s="5"/>
      <c r="X46" s="5">
        <f>SUMPRODUCT(X3:X44,Y3:Y44)</f>
        <v>59774553700</v>
      </c>
    </row>
    <row r="47" spans="1:37" ht="12" customHeight="1" x14ac:dyDescent="0.2">
      <c r="B47" s="10" t="s">
        <v>80</v>
      </c>
      <c r="C47" s="25">
        <v>26</v>
      </c>
      <c r="D47" s="142"/>
    </row>
    <row r="48" spans="1:37" ht="12" customHeight="1" x14ac:dyDescent="0.2">
      <c r="B48" s="10" t="s">
        <v>99</v>
      </c>
      <c r="C48" s="25">
        <v>1005</v>
      </c>
      <c r="D48" s="142"/>
    </row>
    <row r="49" spans="2:35" ht="12" customHeight="1" thickBot="1" x14ac:dyDescent="0.25">
      <c r="B49" s="79"/>
      <c r="D49" s="142"/>
      <c r="I49" s="5"/>
    </row>
    <row r="50" spans="2:35" ht="12" customHeight="1" thickBot="1" x14ac:dyDescent="0.25">
      <c r="B50" s="258" t="s">
        <v>48</v>
      </c>
      <c r="C50" s="259"/>
      <c r="D50" s="142"/>
      <c r="I50" s="5"/>
    </row>
    <row r="51" spans="2:35" ht="12" customHeight="1" x14ac:dyDescent="0.2">
      <c r="B51" s="214" t="s">
        <v>9</v>
      </c>
      <c r="C51" s="215">
        <v>150</v>
      </c>
      <c r="D51" s="142"/>
      <c r="I51" s="5"/>
    </row>
    <row r="52" spans="2:35" ht="12" customHeight="1" x14ac:dyDescent="0.2">
      <c r="B52" s="208" t="s">
        <v>10</v>
      </c>
      <c r="C52" s="239">
        <f>IF(D52="",C47*10,D52)</f>
        <v>160</v>
      </c>
      <c r="D52" s="209">
        <v>160</v>
      </c>
      <c r="E52" s="208" t="str">
        <f>"Total to " &amp; C52</f>
        <v>Total to 160</v>
      </c>
      <c r="F52" s="208" t="s">
        <v>22</v>
      </c>
      <c r="I52" s="5"/>
    </row>
    <row r="53" spans="2:35" ht="12" customHeight="1" x14ac:dyDescent="0.2">
      <c r="B53" s="210" t="s">
        <v>11</v>
      </c>
      <c r="C53" s="211" cm="1">
        <f t="array" ref="C53">LevelUpgradeCost(C51)</f>
        <v>3842740000</v>
      </c>
      <c r="D53" s="238" t="str" cm="1">
        <f t="array" ref="D53">CostScreen(C53)</f>
        <v>3,84B</v>
      </c>
      <c r="E53" s="61">
        <f>SUMIF(Tableaux!$A$3:$A$302,"&lt;" &amp; Palmon!$C$52,Tableaux!$C$3:$C$302)</f>
        <v>124873700</v>
      </c>
      <c r="F53" s="246">
        <f>E53/E54</f>
        <v>1.2663665188738593E-2</v>
      </c>
      <c r="I53" s="5"/>
    </row>
    <row r="54" spans="2:35" ht="12" customHeight="1" thickBot="1" x14ac:dyDescent="0.25">
      <c r="B54" s="212" t="s">
        <v>23</v>
      </c>
      <c r="C54" s="213">
        <v>9985660300</v>
      </c>
      <c r="D54" s="212" t="s">
        <v>205</v>
      </c>
      <c r="E54" s="61">
        <f>C54-E53</f>
        <v>9860786600</v>
      </c>
      <c r="I54" s="5"/>
    </row>
    <row r="55" spans="2:35" ht="12" customHeight="1" thickBot="1" x14ac:dyDescent="0.3">
      <c r="B55" s="79"/>
      <c r="D55" s="142"/>
      <c r="I55" s="5"/>
      <c r="P55" s="1" t="s">
        <v>55</v>
      </c>
      <c r="Q55" s="1">
        <f>SUMIF($C$3:$C$44,"=" &amp; $P55,$E$3:$E$44)</f>
        <v>1631</v>
      </c>
      <c r="R55" s="1">
        <f>COUNTIFS($C$3:$C$44,"=" &amp; $P55,$E$3:$E$44,"&gt;0")</f>
        <v>8</v>
      </c>
      <c r="S55" s="1">
        <f>Q55/R55</f>
        <v>203.875</v>
      </c>
      <c r="X55"/>
    </row>
    <row r="56" spans="2:35" ht="12" customHeight="1" thickBot="1" x14ac:dyDescent="0.3">
      <c r="B56" s="256" t="s">
        <v>204</v>
      </c>
      <c r="C56" s="257"/>
      <c r="D56" s="142"/>
      <c r="I56" s="5"/>
      <c r="P56" s="1" t="s">
        <v>53</v>
      </c>
      <c r="Q56" s="1">
        <f t="shared" ref="Q56:Q58" si="18">SUMIF($C$3:$C$44,"=" &amp; $P56,$E$3:$E$44)</f>
        <v>1980</v>
      </c>
      <c r="R56" s="1">
        <f t="shared" ref="R56:R58" si="19">COUNTIFS($C$3:$C$44,"=" &amp; $P56,$E$3:$E$44,"&gt;0")</f>
        <v>9</v>
      </c>
      <c r="S56" s="1">
        <f t="shared" ref="S56:S58" si="20">Q56/R56</f>
        <v>220</v>
      </c>
      <c r="X56"/>
    </row>
    <row r="57" spans="2:35" ht="12" customHeight="1" x14ac:dyDescent="0.25">
      <c r="B57" s="244" t="s">
        <v>197</v>
      </c>
      <c r="C57" s="60">
        <v>400000</v>
      </c>
      <c r="D57" s="142"/>
      <c r="I57" s="5"/>
      <c r="P57" s="1" t="s">
        <v>50</v>
      </c>
      <c r="Q57" s="1">
        <f t="shared" si="18"/>
        <v>1870</v>
      </c>
      <c r="R57" s="1">
        <f t="shared" si="19"/>
        <v>8</v>
      </c>
      <c r="S57" s="1">
        <f t="shared" si="20"/>
        <v>233.75</v>
      </c>
      <c r="X57"/>
    </row>
    <row r="58" spans="2:35" ht="12" customHeight="1" x14ac:dyDescent="0.25">
      <c r="B58" s="208" t="s">
        <v>198</v>
      </c>
      <c r="C58" s="13">
        <v>300</v>
      </c>
      <c r="D58" s="142"/>
      <c r="I58" s="5"/>
      <c r="P58" s="1" t="s">
        <v>61</v>
      </c>
      <c r="Q58" s="1">
        <f t="shared" si="18"/>
        <v>1340</v>
      </c>
      <c r="R58" s="1">
        <f t="shared" si="19"/>
        <v>6</v>
      </c>
      <c r="S58" s="1">
        <f t="shared" si="20"/>
        <v>223.33333333333334</v>
      </c>
      <c r="X58"/>
    </row>
    <row r="59" spans="2:35" ht="12" customHeight="1" thickBot="1" x14ac:dyDescent="0.3">
      <c r="B59" s="245" t="s">
        <v>199</v>
      </c>
      <c r="C59" s="22">
        <v>975</v>
      </c>
      <c r="D59" s="142"/>
      <c r="I59" s="5"/>
      <c r="X59"/>
    </row>
    <row r="60" spans="2:35" ht="12" customHeight="1" x14ac:dyDescent="0.25">
      <c r="B60" s="79"/>
      <c r="D60" s="142"/>
      <c r="I60" s="5"/>
      <c r="X60"/>
    </row>
    <row r="61" spans="2:35" ht="12" customHeight="1" x14ac:dyDescent="0.25">
      <c r="B61" s="79"/>
      <c r="D61" s="142"/>
      <c r="I61" s="5"/>
      <c r="X61"/>
    </row>
    <row r="62" spans="2:35" ht="12" customHeight="1" x14ac:dyDescent="0.25">
      <c r="B62" s="79"/>
      <c r="D62" s="142"/>
      <c r="I62" s="5"/>
      <c r="X62"/>
    </row>
    <row r="63" spans="2:35" ht="12" customHeight="1" x14ac:dyDescent="0.2">
      <c r="B63" s="79"/>
      <c r="D63" s="142"/>
      <c r="I63" s="5"/>
      <c r="AH63" s="142"/>
      <c r="AI63" s="142"/>
    </row>
    <row r="64" spans="2:35" ht="12" customHeight="1" x14ac:dyDescent="0.2">
      <c r="B64" s="79"/>
      <c r="D64" s="142"/>
      <c r="I64" s="5"/>
      <c r="AH64" s="142"/>
      <c r="AI64" s="142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</row>
    <row r="67" spans="2:39" ht="12" customHeight="1" x14ac:dyDescent="0.2">
      <c r="B67" s="79"/>
      <c r="D67" s="142"/>
      <c r="I67" s="5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  <c r="AM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5">
      <c r="B79" s="79"/>
      <c r="D79" s="142"/>
      <c r="I79" s="5"/>
      <c r="Q79"/>
      <c r="S79"/>
    </row>
    <row r="80" spans="2:39" ht="12" customHeight="1" x14ac:dyDescent="0.2">
      <c r="I80" s="5"/>
    </row>
    <row r="81" spans="9:9" ht="12" customHeight="1" x14ac:dyDescent="0.2">
      <c r="I81" s="5"/>
    </row>
    <row r="82" spans="9:9" ht="12" customHeight="1" x14ac:dyDescent="0.2">
      <c r="I82" s="5"/>
    </row>
    <row r="83" spans="9:9" ht="12" customHeight="1" x14ac:dyDescent="0.2">
      <c r="I83" s="5"/>
    </row>
    <row r="84" spans="9:9" ht="12" customHeight="1" x14ac:dyDescent="0.2">
      <c r="I84" s="5"/>
    </row>
    <row r="85" spans="9:9" ht="12" customHeight="1" x14ac:dyDescent="0.2">
      <c r="I85" s="5"/>
    </row>
    <row r="86" spans="9:9" ht="12" customHeight="1" x14ac:dyDescent="0.2">
      <c r="I86" s="5"/>
    </row>
    <row r="87" spans="9:9" ht="12" customHeight="1" x14ac:dyDescent="0.2">
      <c r="I87" s="5"/>
    </row>
    <row r="88" spans="9:9" ht="12" customHeight="1" x14ac:dyDescent="0.2">
      <c r="I88" s="5"/>
    </row>
    <row r="89" spans="9:9" ht="12" customHeight="1" x14ac:dyDescent="0.2">
      <c r="I89" s="5"/>
    </row>
    <row r="145" spans="6:6" ht="12" customHeight="1" x14ac:dyDescent="0.2">
      <c r="F145" s="1" t="str" cm="1">
        <f t="array" ref="F145">INDEX(PalmonNamesSorted,F146)</f>
        <v>Fleurizard</v>
      </c>
    </row>
    <row r="146" spans="6:6" ht="12" customHeight="1" x14ac:dyDescent="0.2">
      <c r="F146" s="1">
        <v>10</v>
      </c>
    </row>
  </sheetData>
  <autoFilter ref="B2:G48" xr:uid="{BCDDB74B-9FF0-4207-9899-68A047ECE06D}"/>
  <sortState xmlns:xlrd2="http://schemas.microsoft.com/office/spreadsheetml/2017/richdata2" ref="B50:O78">
    <sortCondition descending="1" ref="L50:L78"/>
    <sortCondition descending="1" ref="E50:E78"/>
  </sortState>
  <mergeCells count="9">
    <mergeCell ref="AI1:AK1"/>
    <mergeCell ref="B56:C56"/>
    <mergeCell ref="B50:C50"/>
    <mergeCell ref="AA1:AC1"/>
    <mergeCell ref="AE1:AG1"/>
    <mergeCell ref="J1:N1"/>
    <mergeCell ref="B1:I1"/>
    <mergeCell ref="X1:Y1"/>
    <mergeCell ref="P1:V1"/>
  </mergeCells>
  <conditionalFormatting sqref="B3:C46 B49:C49 B55:C55 C57:C59 B60:C79">
    <cfRule type="expression" dxfId="65" priority="108">
      <formula>$C3="Fire"</formula>
    </cfRule>
    <cfRule type="expression" dxfId="64" priority="109">
      <formula>$C3="Water"</formula>
    </cfRule>
    <cfRule type="expression" dxfId="63" priority="110">
      <formula>$C3="Electricity"</formula>
    </cfRule>
    <cfRule type="expression" dxfId="62" priority="111">
      <formula>$C3="Wood"</formula>
    </cfRule>
  </conditionalFormatting>
  <conditionalFormatting sqref="D3:D51 D55:D79">
    <cfRule type="cellIs" dxfId="61" priority="76" operator="equal">
      <formula>"Attack"</formula>
    </cfRule>
    <cfRule type="cellIs" dxfId="60" priority="77" operator="equal">
      <formula>"Defend"</formula>
    </cfRule>
  </conditionalFormatting>
  <conditionalFormatting sqref="M3:M44">
    <cfRule type="expression" dxfId="59" priority="181">
      <formula>$G3&lt;4</formula>
    </cfRule>
  </conditionalFormatting>
  <conditionalFormatting sqref="N3:N44">
    <cfRule type="expression" dxfId="58" priority="182">
      <formula>$G3&lt;&gt;5</formula>
    </cfRule>
  </conditionalFormatting>
  <conditionalFormatting sqref="P3:T44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4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57" priority="190">
      <formula>VLOOKUP(#REF!,PalmonList,3,FALSE)="Attack"</formula>
    </cfRule>
    <cfRule type="expression" dxfId="56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5" priority="236">
      <formula>VLOOKUP($B55,PalmonList,3,FALSE)="Attack"</formula>
    </cfRule>
    <cfRule type="expression" dxfId="54" priority="237">
      <formula>VLOOKUP($B55,PalmonList,3,FALSE)&lt;&gt;"Attack"</formula>
    </cfRule>
    <cfRule type="iconSet" priority="238">
      <iconSet iconSet="3Flags">
        <cfvo type="percent" val="0"/>
        <cfvo type="num" val="8"/>
        <cfvo type="num" val="15"/>
      </iconSet>
    </cfRule>
  </conditionalFormatting>
  <conditionalFormatting sqref="AB30:AB35">
    <cfRule type="expression" dxfId="53" priority="239">
      <formula>VLOOKUP($B74,PalmonList,3,FALSE)="Attack"</formula>
    </cfRule>
    <cfRule type="expression" dxfId="52" priority="240">
      <formula>VLOOKUP($B74,PalmonList,3,FALSE)&lt;&gt;"Attack"</formula>
    </cfRule>
    <cfRule type="iconSet" priority="241">
      <iconSet iconSet="3Flags">
        <cfvo type="percent" val="0"/>
        <cfvo type="num" val="8"/>
        <cfvo type="num" val="15"/>
      </iconSet>
    </cfRule>
  </conditionalFormatting>
  <conditionalFormatting sqref="AB36:AB43">
    <cfRule type="expression" dxfId="51" priority="242">
      <formula>VLOOKUP($B79,PalmonList,3,FALSE)="Attack"</formula>
    </cfRule>
    <cfRule type="expression" dxfId="50" priority="243">
      <formula>VLOOKUP($B79,PalmonList,3,FALSE)&lt;&gt;"Attack"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4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6 C50 C3:C44" xr:uid="{D035E7CB-578D-4DCA-A578-6CE81A056734}">
      <formula1>"Water,Fire,Wood,Electricity"</formula1>
    </dataValidation>
    <dataValidation type="list" allowBlank="1" showInputMessage="1" showErrorMessage="1" sqref="D3:D44" xr:uid="{D255B30B-61CA-4796-BCCE-BF88FB33EF4C}">
      <formula1>"Attack,Defend"</formula1>
    </dataValidation>
    <dataValidation type="whole" operator="greaterThan" allowBlank="1" showInputMessage="1" showErrorMessage="1" sqref="C47:C48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143</xdr:row>
                    <xdr:rowOff>114300</xdr:rowOff>
                  </from>
                  <to>
                    <xdr:col>10</xdr:col>
                    <xdr:colOff>323850</xdr:colOff>
                    <xdr:row>146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45</xdr:row>
                    <xdr:rowOff>66675</xdr:rowOff>
                  </from>
                  <to>
                    <xdr:col>3</xdr:col>
                    <xdr:colOff>190500</xdr:colOff>
                    <xdr:row>47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A3:A44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P3:T44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3"/>
  <sheetViews>
    <sheetView workbookViewId="0">
      <selection activeCell="E15" sqref="E1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260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110040000</v>
      </c>
      <c r="X2" t="str">
        <f>Palmon!Y3</f>
        <v/>
      </c>
      <c r="Y2">
        <f>Palmon!Z3</f>
        <v>0</v>
      </c>
      <c r="Z2">
        <f>Palmon!AA3</f>
        <v>5260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Palmon!AI3</f>
        <v/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260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110040000</v>
      </c>
      <c r="X3" t="str">
        <f>Palmon!Y4</f>
        <v/>
      </c>
      <c r="Y3">
        <f>Palmon!Z4</f>
        <v>0</v>
      </c>
      <c r="Z3">
        <f>Palmon!AA4</f>
        <v>5260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260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110040000</v>
      </c>
      <c r="X4" t="str">
        <f>Palmon!Y5</f>
        <v/>
      </c>
      <c r="Y4">
        <f>Palmon!Z5</f>
        <v>0</v>
      </c>
      <c r="Z4">
        <f>Palmon!AA5</f>
        <v>4260</v>
      </c>
      <c r="AA4">
        <f>Palmon!AB5</f>
        <v>8</v>
      </c>
      <c r="AB4">
        <f>Palmon!AC5</f>
        <v>2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997540000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7</v>
      </c>
      <c r="AB5">
        <f>Palmon!AC6</f>
        <v>1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260</v>
      </c>
      <c r="E6" t="str">
        <f>Palmon!F7</f>
        <v/>
      </c>
      <c r="F6">
        <f>Palmon!G7</f>
        <v>4</v>
      </c>
      <c r="G6">
        <f>Palmon!H7</f>
        <v>4.0999999999999996</v>
      </c>
      <c r="H6">
        <f>Palmon!I7</f>
        <v>17</v>
      </c>
      <c r="I6">
        <f>Palmon!J7</f>
        <v>15</v>
      </c>
      <c r="J6">
        <f>Palmon!K7</f>
        <v>15</v>
      </c>
      <c r="K6">
        <f>Palmon!L7</f>
        <v>15</v>
      </c>
      <c r="L6" t="str">
        <f>Palmon!M7</f>
        <v>Max</v>
      </c>
      <c r="M6" t="str">
        <f>Palmon!N7</f>
        <v/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0.19999999999999929</v>
      </c>
      <c r="T6">
        <f>Palmon!U7</f>
        <v>0.58974358974358942</v>
      </c>
      <c r="U6">
        <f>Palmon!V7</f>
        <v>383.00000000000034</v>
      </c>
      <c r="V6">
        <f>Palmon!W7</f>
        <v>0</v>
      </c>
      <c r="W6">
        <f>Palmon!X7</f>
        <v>110040000</v>
      </c>
      <c r="X6" t="str">
        <f>Palmon!Y7</f>
        <v/>
      </c>
      <c r="Y6">
        <f>Palmon!Z7</f>
        <v>0</v>
      </c>
      <c r="Z6">
        <f>Palmon!AA7</f>
        <v>4360</v>
      </c>
      <c r="AA6">
        <f>Palmon!AB7</f>
        <v>6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Palmon!AI7</f>
        <v>Gnashfin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1705940000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11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Palmon!AI8</f>
        <v>Obsidrake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2265140000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20</v>
      </c>
      <c r="AB8">
        <f>Palmon!AC9</f>
        <v>3</v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Palmon!AI9</f>
        <v>Bunodroid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997540000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12</v>
      </c>
      <c r="AB9">
        <f>Palmon!AC10</f>
        <v>2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Palmon!AI10</f>
        <v>Wattweiler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2</v>
      </c>
      <c r="G10">
        <f>Palmon!H11</f>
        <v>2.2999999999999998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0.59999999999999964</v>
      </c>
      <c r="R10">
        <f>Palmon!S11</f>
        <v>0</v>
      </c>
      <c r="S10">
        <f>Palmon!T11</f>
        <v>0</v>
      </c>
      <c r="T10">
        <f>Palmon!U11</f>
        <v>0.13846153846153844</v>
      </c>
      <c r="U10">
        <f>Palmon!V11</f>
        <v>826</v>
      </c>
      <c r="V10">
        <f>Palmon!W11</f>
        <v>0</v>
      </c>
      <c r="W10">
        <f>Palmon!X11</f>
        <v>2265140000</v>
      </c>
      <c r="X10">
        <f>Palmon!Y11</f>
        <v>1</v>
      </c>
      <c r="Y10">
        <f>Palmon!Z11</f>
        <v>0</v>
      </c>
      <c r="Z10">
        <f>Palmon!AA11</f>
        <v>2530</v>
      </c>
      <c r="AA10">
        <f>Palmon!AB11</f>
        <v>16</v>
      </c>
      <c r="AB10">
        <f>Palmon!AC11</f>
        <v>3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Palmon!AI11</f>
        <v>Servolt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2265140000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17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Palmon!AI12</f>
        <v>Essaucier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260</v>
      </c>
      <c r="E12" t="str">
        <f>Palmon!F13</f>
        <v/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110040000</v>
      </c>
      <c r="X12" t="str">
        <f>Palmon!Y13</f>
        <v/>
      </c>
      <c r="Y12">
        <f>Palmon!Z13</f>
        <v>0</v>
      </c>
      <c r="Z12">
        <f>Palmon!AA13</f>
        <v>4260</v>
      </c>
      <c r="AA12">
        <f>Palmon!AB13</f>
        <v>9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Oneirina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 t="str">
        <f>Palmon!F14</f>
        <v/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110040000</v>
      </c>
      <c r="X13" t="str">
        <f>Palmon!Y14</f>
        <v/>
      </c>
      <c r="Y13">
        <f>Palmon!Z14</f>
        <v>0</v>
      </c>
      <c r="Z13">
        <f>Palmon!AA14</f>
        <v>5260</v>
      </c>
      <c r="AA13">
        <f>Palmon!AB14</f>
        <v>3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>
        <f>Palmon!AI14</f>
        <v>0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2265140000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21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Palmon!AI15</f>
        <v>Anubeast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2</v>
      </c>
      <c r="G15">
        <f>Palmon!H16</f>
        <v>2</v>
      </c>
      <c r="H15">
        <f>Palmon!I16</f>
        <v>13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</v>
      </c>
      <c r="R15">
        <f>Palmon!S16</f>
        <v>0</v>
      </c>
      <c r="S15">
        <f>Palmon!T16</f>
        <v>0</v>
      </c>
      <c r="T15">
        <f>Palmon!U16</f>
        <v>7.6923076923076927E-2</v>
      </c>
      <c r="U15">
        <f>Palmon!V16</f>
        <v>887</v>
      </c>
      <c r="V15">
        <f>Palmon!W16</f>
        <v>0</v>
      </c>
      <c r="W15">
        <f>Palmon!X16</f>
        <v>3035940000</v>
      </c>
      <c r="X15">
        <f>Palmon!Y16</f>
        <v>1</v>
      </c>
      <c r="Y15">
        <f>Palmon!Z16</f>
        <v>0</v>
      </c>
      <c r="Z15">
        <f>Palmon!AA16</f>
        <v>2210</v>
      </c>
      <c r="AA15">
        <f>Palmon!AB16</f>
        <v>27</v>
      </c>
      <c r="AB15" t="str">
        <f>Palmon!AC16</f>
        <v/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Palmon!AI16</f>
        <v>Ampereina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8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852</v>
      </c>
      <c r="V16">
        <f>Palmon!W17</f>
        <v>0</v>
      </c>
      <c r="W16">
        <f>Palmon!X17</f>
        <v>3035940000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22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Palmon!AI17</f>
        <v>Keraunosaur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997540000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13</v>
      </c>
      <c r="AB17">
        <f>Palmon!AC18</f>
        <v>2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Palmon!AI18</f>
        <v>Wildfuror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260</v>
      </c>
      <c r="E18" t="str">
        <f>Palmon!F19</f>
        <v/>
      </c>
      <c r="F18">
        <f>Palmon!G19</f>
        <v>4</v>
      </c>
      <c r="G18">
        <f>Palmon!H19</f>
        <v>4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</v>
      </c>
      <c r="T18">
        <f>Palmon!U19</f>
        <v>0.48717948717948717</v>
      </c>
      <c r="U18">
        <f>Palmon!V19</f>
        <v>487</v>
      </c>
      <c r="V18">
        <f>Palmon!W19</f>
        <v>0</v>
      </c>
      <c r="W18">
        <f>Palmon!X19</f>
        <v>110040000</v>
      </c>
      <c r="X18" t="str">
        <f>Palmon!Y19</f>
        <v/>
      </c>
      <c r="Y18">
        <f>Palmon!Z19</f>
        <v>0</v>
      </c>
      <c r="Z18">
        <f>Palmon!AA19</f>
        <v>4260</v>
      </c>
      <c r="AA18">
        <f>Palmon!AB19</f>
        <v>10</v>
      </c>
      <c r="AB18">
        <f>Palmon!AC19</f>
        <v>2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Palmon!AI19</f>
        <v>Azurostrigoi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3290240000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Palmon!AI20</f>
        <v>Finnabelle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3035940000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23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Palmon!AI21</f>
        <v>Adolphonis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3793740000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18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Palmon!AI22</f>
        <v>Bufonobi</v>
      </c>
      <c r="AI21" t="str">
        <f>Palmon!AJ22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2700740000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26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Palmon!AI23</f>
        <v>Camouflynx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3290240000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Palmon!AI24</f>
        <v>Silvaurus</v>
      </c>
      <c r="AI23">
        <f>Palmon!AJ24</f>
        <v>0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3290240000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Palmon!AI25</f>
        <v>Lionarch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2.2000000000000002</v>
      </c>
      <c r="H25">
        <f>Palmon!I26</f>
        <v>37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0.40000000000000036</v>
      </c>
      <c r="R25">
        <f>Palmon!S26</f>
        <v>0</v>
      </c>
      <c r="S25">
        <f>Palmon!T26</f>
        <v>0</v>
      </c>
      <c r="T25">
        <f>Palmon!U26</f>
        <v>0.11794871794871797</v>
      </c>
      <c r="U25">
        <f>Palmon!V26</f>
        <v>823</v>
      </c>
      <c r="V25">
        <f>Palmon!W26</f>
        <v>0</v>
      </c>
      <c r="W25">
        <f>Palmon!X26</f>
        <v>3035940000</v>
      </c>
      <c r="X25">
        <f>Palmon!Y26</f>
        <v>1</v>
      </c>
      <c r="Y25">
        <f>Palmon!Z26</f>
        <v>0</v>
      </c>
      <c r="Z25">
        <f>Palmon!AA26</f>
        <v>2410</v>
      </c>
      <c r="AA25">
        <f>Palmon!AB26</f>
        <v>24</v>
      </c>
      <c r="AB25" t="str">
        <f>Palmon!AC26</f>
        <v/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Palmon!AI26</f>
        <v>Sorceray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 t="str">
        <f>Palmon!F27</f>
        <v/>
      </c>
      <c r="F26">
        <f>Palmon!G27</f>
        <v>4</v>
      </c>
      <c r="G26">
        <f>Palmon!H27</f>
        <v>4.3</v>
      </c>
      <c r="H26">
        <f>Palmon!I27</f>
        <v>11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0.59999999999999964</v>
      </c>
      <c r="T26">
        <f>Palmon!U27</f>
        <v>0.7948717948717946</v>
      </c>
      <c r="U26">
        <f>Palmon!V27</f>
        <v>189.00000000000023</v>
      </c>
      <c r="V26">
        <f>Palmon!W27</f>
        <v>0</v>
      </c>
      <c r="W26">
        <f>Palmon!X27</f>
        <v>110040000</v>
      </c>
      <c r="X26" t="str">
        <f>Palmon!Y27</f>
        <v/>
      </c>
      <c r="Y26">
        <f>Palmon!Z27</f>
        <v>0</v>
      </c>
      <c r="Z26">
        <f>Palmon!AA27</f>
        <v>4560</v>
      </c>
      <c r="AA26">
        <f>Palmon!AB27</f>
        <v>5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>
        <f>Palmon!AI27</f>
        <v>0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</v>
      </c>
      <c r="S27">
        <f>Palmon!T28</f>
        <v>0</v>
      </c>
      <c r="T27">
        <f>Palmon!U28</f>
        <v>0.17948717948717949</v>
      </c>
      <c r="U27">
        <f>Palmon!V28</f>
        <v>790</v>
      </c>
      <c r="V27">
        <f>Palmon!W28</f>
        <v>0</v>
      </c>
      <c r="W27">
        <f>Palmon!X28</f>
        <v>3035940000</v>
      </c>
      <c r="X27">
        <f>Palmon!Y28</f>
        <v>1</v>
      </c>
      <c r="Y27">
        <f>Palmon!Z28</f>
        <v>0</v>
      </c>
      <c r="Z27">
        <f>Palmon!AA28</f>
        <v>3210</v>
      </c>
      <c r="AA27">
        <f>Palmon!AB28</f>
        <v>14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>
        <f>Palmon!AI28</f>
        <v>0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170</v>
      </c>
      <c r="E28">
        <f>Palmon!F29</f>
        <v>1</v>
      </c>
      <c r="F28">
        <f>Palmon!G29</f>
        <v>3</v>
      </c>
      <c r="G28">
        <f>Palmon!H29</f>
        <v>3</v>
      </c>
      <c r="H28">
        <f>Palmon!I29</f>
        <v>90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</v>
      </c>
      <c r="S28">
        <f>Palmon!T29</f>
        <v>0</v>
      </c>
      <c r="T28">
        <f>Palmon!U29</f>
        <v>0.17948717948717949</v>
      </c>
      <c r="U28">
        <f>Palmon!V29</f>
        <v>710</v>
      </c>
      <c r="V28">
        <f>Palmon!W29</f>
        <v>0</v>
      </c>
      <c r="W28">
        <f>Palmon!X29</f>
        <v>3722240000</v>
      </c>
      <c r="X28">
        <f>Palmon!Y29</f>
        <v>1</v>
      </c>
      <c r="Y28">
        <f>Palmon!Z29</f>
        <v>0</v>
      </c>
      <c r="Z28">
        <f>Palmon!AA29</f>
        <v>3170</v>
      </c>
      <c r="AA28">
        <f>Palmon!AB29</f>
        <v>15</v>
      </c>
      <c r="AB28">
        <f>Palmon!AC29</f>
        <v>3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3035940000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25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Palmon!AI30</f>
        <v>Rumbkey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3918613700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32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Palmon!AI31</f>
        <v>Embergeist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0</v>
      </c>
      <c r="E31" t="str">
        <f>Palmon!F32</f>
        <v/>
      </c>
      <c r="F31">
        <f>Palmon!G32</f>
        <v>0</v>
      </c>
      <c r="G31">
        <f>Palmon!H32</f>
        <v>0</v>
      </c>
      <c r="H31">
        <f>Palmon!I32</f>
        <v>94</v>
      </c>
      <c r="I31" t="str">
        <f>Palmon!J32</f>
        <v/>
      </c>
      <c r="J31">
        <f>Palmon!K32</f>
        <v>0</v>
      </c>
      <c r="K31">
        <f>Palmon!L32</f>
        <v>0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881</v>
      </c>
      <c r="V31">
        <f>Palmon!W32</f>
        <v>0</v>
      </c>
      <c r="W31">
        <f>Palmon!X32</f>
        <v>3918613700</v>
      </c>
      <c r="X31" t="str">
        <f>Palmon!Y32</f>
        <v/>
      </c>
      <c r="Y31">
        <f>Palmon!Z32</f>
        <v>0</v>
      </c>
      <c r="Z31">
        <f>Palmon!AA32</f>
        <v>0</v>
      </c>
      <c r="AA31">
        <f>Palmon!AB32</f>
        <v>33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Palmon!AI32</f>
        <v>Thundermane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3918613700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Palmon!AI33</f>
        <v>Prismalith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260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110040000</v>
      </c>
      <c r="X33" t="str">
        <f>Palmon!Y34</f>
        <v/>
      </c>
      <c r="Y33">
        <f>Palmon!Z34</f>
        <v>0</v>
      </c>
      <c r="Z33">
        <f>Palmon!AA34</f>
        <v>5260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Palmon!AI34</f>
        <v>Cryovern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3918613700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>
        <f>Palmon!AI35</f>
        <v>0</v>
      </c>
      <c r="AI34">
        <f>Palmon!AJ35</f>
        <v>0</v>
      </c>
      <c r="AJ34">
        <f>Palmon!AK35</f>
        <v>0</v>
      </c>
    </row>
    <row r="35" spans="1:36" x14ac:dyDescent="0.25">
      <c r="A35" t="str">
        <f>Palmon!B36</f>
        <v>Woozard</v>
      </c>
      <c r="B35" t="str">
        <f>Palmon!C36</f>
        <v>Wood</v>
      </c>
      <c r="C35" t="str">
        <f>Palmon!D36</f>
        <v>Attack</v>
      </c>
      <c r="D35">
        <f>Palmon!E36</f>
        <v>1</v>
      </c>
      <c r="E35">
        <f>Palmon!F36</f>
        <v>1</v>
      </c>
      <c r="F35">
        <f>Palmon!G36</f>
        <v>0</v>
      </c>
      <c r="G35">
        <f>Palmon!H36</f>
        <v>0</v>
      </c>
      <c r="H35">
        <f>Palmon!I36</f>
        <v>0</v>
      </c>
      <c r="I35">
        <f>Palmon!J36</f>
        <v>1</v>
      </c>
      <c r="J35">
        <f>Palmon!K36</f>
        <v>1</v>
      </c>
      <c r="K35">
        <f>Palmon!L36</f>
        <v>1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975</v>
      </c>
      <c r="V35">
        <f>Palmon!W36</f>
        <v>0</v>
      </c>
      <c r="W35">
        <f>Palmon!X36</f>
        <v>3918613700</v>
      </c>
      <c r="X35">
        <f>Palmon!Y36</f>
        <v>1</v>
      </c>
      <c r="Y35">
        <f>Palmon!Z36</f>
        <v>0</v>
      </c>
      <c r="Z35">
        <f>Palmon!AA36</f>
        <v>1</v>
      </c>
      <c r="AA35">
        <f>Palmon!AB36</f>
        <v>31</v>
      </c>
      <c r="AB35" t="str">
        <f>Palmon!AC36</f>
        <v/>
      </c>
      <c r="AC35">
        <f>Palmon!AD36</f>
        <v>0</v>
      </c>
      <c r="AD35" t="str">
        <f>Palmon!AE36</f>
        <v>https://encrypted-tbn0.gstatic.com/images?q=tbn:ANd9GcQCf63iS9oq-SMn3DO74UTS2j_zSrzNVTRMOQ&amp;s</v>
      </c>
      <c r="AE35" t="str">
        <f>Palmon!AF36</f>
        <v xml:space="preserve"> </v>
      </c>
      <c r="AF35" t="str">
        <f>Palmon!AG36</f>
        <v xml:space="preserve"> </v>
      </c>
      <c r="AG35">
        <f>Palmon!AH36</f>
        <v>0</v>
      </c>
      <c r="AH35" t="str">
        <f>Palmon!AI36</f>
        <v>Fleurizard</v>
      </c>
      <c r="AI35">
        <f>Palmon!AJ36</f>
        <v>0</v>
      </c>
      <c r="AJ35">
        <f>Palmon!AK36</f>
        <v>0</v>
      </c>
    </row>
    <row r="36" spans="1:36" x14ac:dyDescent="0.25">
      <c r="A36" t="str">
        <f>Palmon!B37</f>
        <v>Mystiray</v>
      </c>
      <c r="B36" t="str">
        <f>Palmon!C37</f>
        <v>Electricity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3918613700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36</v>
      </c>
      <c r="AB36" t="str">
        <f>Palmon!AC37</f>
        <v/>
      </c>
      <c r="AC36">
        <f>Palmon!AD37</f>
        <v>0</v>
      </c>
      <c r="AD36">
        <f>Palmon!AE37</f>
        <v>0</v>
      </c>
      <c r="AE36" t="str">
        <f>Palmon!AF37</f>
        <v xml:space="preserve"> </v>
      </c>
      <c r="AF36" t="str">
        <f>Palmon!AG37</f>
        <v xml:space="preserve"> </v>
      </c>
      <c r="AG36">
        <f>Palmon!AH37</f>
        <v>0</v>
      </c>
      <c r="AH36">
        <f>Palmon!AI37</f>
        <v>0</v>
      </c>
      <c r="AI36">
        <f>Palmon!AJ37</f>
        <v>0</v>
      </c>
      <c r="AJ36">
        <f>Palmon!AK37</f>
        <v>0</v>
      </c>
    </row>
    <row r="37" spans="1:36" x14ac:dyDescent="0.25">
      <c r="A37" t="str">
        <f>Palmon!B38</f>
        <v>Predalynx</v>
      </c>
      <c r="B37" t="str">
        <f>Palmon!C38</f>
        <v>Wood</v>
      </c>
      <c r="C37" t="str">
        <f>Palmon!D38</f>
        <v>Attack</v>
      </c>
      <c r="D37">
        <f>Palmon!E38</f>
        <v>0</v>
      </c>
      <c r="E37" t="str">
        <f>Palmon!F38</f>
        <v/>
      </c>
      <c r="F37">
        <f>Palmon!G38</f>
        <v>0</v>
      </c>
      <c r="G37">
        <f>Palmon!H38</f>
        <v>0</v>
      </c>
      <c r="H37">
        <f>Palmon!I38</f>
        <v>0</v>
      </c>
      <c r="I37" t="str">
        <f>Palmon!J38</f>
        <v/>
      </c>
      <c r="J37">
        <f>Palmon!K38</f>
        <v>0</v>
      </c>
      <c r="K37">
        <f>Palmon!L38</f>
        <v>0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3918613700</v>
      </c>
      <c r="X37" t="str">
        <f>Palmon!Y38</f>
        <v/>
      </c>
      <c r="Y37">
        <f>Palmon!Z38</f>
        <v>0</v>
      </c>
      <c r="Z37">
        <f>Palmon!AA38</f>
        <v>0</v>
      </c>
      <c r="AA37">
        <f>Palmon!AB38</f>
        <v>37</v>
      </c>
      <c r="AB37" t="str">
        <f>Palmon!AC38</f>
        <v/>
      </c>
      <c r="AC37">
        <f>Palmon!AD38</f>
        <v>0</v>
      </c>
      <c r="AD37">
        <f>Palmon!AE38</f>
        <v>0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>
        <f>Palmon!AI38</f>
        <v>0</v>
      </c>
      <c r="AI37">
        <f>Palmon!AJ38</f>
        <v>0</v>
      </c>
      <c r="AJ37">
        <f>Palmon!AK38</f>
        <v>0</v>
      </c>
    </row>
    <row r="38" spans="1:36" x14ac:dyDescent="0.25">
      <c r="A38" t="str">
        <f>Palmon!B39</f>
        <v>Solhorn</v>
      </c>
      <c r="B38" t="str">
        <f>Palmon!C39</f>
        <v>Fire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3918613700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>
        <f>Palmon!AI39</f>
        <v>0</v>
      </c>
      <c r="AI38">
        <f>Palmon!AJ39</f>
        <v>0</v>
      </c>
      <c r="AJ38">
        <f>Palmon!AK39</f>
        <v>0</v>
      </c>
    </row>
    <row r="39" spans="1:36" x14ac:dyDescent="0.25">
      <c r="A39" t="str">
        <f>Palmon!B40</f>
        <v>Leviadolph</v>
      </c>
      <c r="B39" t="str">
        <f>Palmon!C40</f>
        <v>Water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3918613700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>
        <f>Palmon!AI40</f>
        <v>0</v>
      </c>
      <c r="AI39">
        <f>Palmon!AJ40</f>
        <v>0</v>
      </c>
      <c r="AJ39">
        <f>Palmon!AK40</f>
        <v>0</v>
      </c>
    </row>
    <row r="40" spans="1:36" x14ac:dyDescent="0.25">
      <c r="A40" t="str">
        <f>Palmon!B41</f>
        <v>Voltfang</v>
      </c>
      <c r="B40" t="str">
        <f>Palmon!C41</f>
        <v>Electricity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3918613700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>
        <f>Palmon!AI41</f>
        <v>0</v>
      </c>
      <c r="AI40">
        <f>Palmon!AJ41</f>
        <v>0</v>
      </c>
      <c r="AJ40">
        <f>Palmon!AK41</f>
        <v>0</v>
      </c>
    </row>
    <row r="41" spans="1:36" x14ac:dyDescent="0.25">
      <c r="A41" t="str">
        <f>Palmon!B42</f>
        <v>Leafgarde</v>
      </c>
      <c r="B41" t="str">
        <f>Palmon!C42</f>
        <v>Wood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3918613700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>
        <f>Palmon!AI42</f>
        <v>0</v>
      </c>
      <c r="AI41">
        <f>Palmon!AJ42</f>
        <v>0</v>
      </c>
      <c r="AJ41">
        <f>Palmon!AK42</f>
        <v>0</v>
      </c>
    </row>
    <row r="42" spans="1:36" x14ac:dyDescent="0.25">
      <c r="A42" t="str">
        <f>Palmon!B43</f>
        <v>Inferdrake</v>
      </c>
      <c r="B42" t="str">
        <f>Palmon!C43</f>
        <v>Fire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3918613700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>
        <f>Palmon!AI43</f>
        <v>0</v>
      </c>
      <c r="AI42">
        <f>Palmon!AJ43</f>
        <v>0</v>
      </c>
      <c r="AJ42">
        <f>Palmon!AK43</f>
        <v>0</v>
      </c>
    </row>
    <row r="43" spans="1:36" x14ac:dyDescent="0.25">
      <c r="A43" t="str">
        <f>Palmon!B44</f>
        <v>Revontulet</v>
      </c>
      <c r="B43" t="str">
        <f>Palmon!C44</f>
        <v>Fire</v>
      </c>
      <c r="C43" t="str">
        <f>Palmon!D44</f>
        <v>Attack</v>
      </c>
      <c r="D43">
        <f>Palmon!E44</f>
        <v>160</v>
      </c>
      <c r="E43">
        <f>Palmon!F44</f>
        <v>1</v>
      </c>
      <c r="F43">
        <f>Palmon!G44</f>
        <v>2</v>
      </c>
      <c r="G43">
        <f>Palmon!H44</f>
        <v>2.2999999999999998</v>
      </c>
      <c r="H43">
        <f>Palmon!I44</f>
        <v>0</v>
      </c>
      <c r="I43">
        <f>Palmon!J44</f>
        <v>1</v>
      </c>
      <c r="J43">
        <f>Palmon!K44</f>
        <v>1</v>
      </c>
      <c r="K43">
        <f>Palmon!L44</f>
        <v>1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1</v>
      </c>
      <c r="P43">
        <f>Palmon!Q44</f>
        <v>1</v>
      </c>
      <c r="Q43">
        <f>Palmon!R44</f>
        <v>0.59999999999999964</v>
      </c>
      <c r="R43">
        <f>Palmon!S44</f>
        <v>0</v>
      </c>
      <c r="S43">
        <f>Palmon!T44</f>
        <v>0</v>
      </c>
      <c r="T43">
        <f>Palmon!U44</f>
        <v>0.13846153846153844</v>
      </c>
      <c r="U43">
        <f>Palmon!V44</f>
        <v>840</v>
      </c>
      <c r="V43">
        <f>Palmon!W44</f>
        <v>0</v>
      </c>
      <c r="W43">
        <f>Palmon!X44</f>
        <v>3793740000</v>
      </c>
      <c r="X43">
        <f>Palmon!Y44</f>
        <v>1</v>
      </c>
      <c r="Y43">
        <f>Palmon!Z44</f>
        <v>0</v>
      </c>
      <c r="Z43">
        <f>Palmon!AA44</f>
        <v>2460</v>
      </c>
      <c r="AA43">
        <f>Palmon!AB44</f>
        <v>19</v>
      </c>
      <c r="AB43">
        <f>Palmon!AC44</f>
        <v>3</v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 t="str">
        <f>Palmon!AI44</f>
        <v>Vulpyrean</v>
      </c>
      <c r="AI43" t="str">
        <f>Palmon!AJ44</f>
        <v>Camouflynx</v>
      </c>
      <c r="AJ43">
        <f>Palmon!AK44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workbookViewId="0"/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3" t="s">
        <v>91</v>
      </c>
      <c r="F2" s="274"/>
      <c r="G2" s="274"/>
      <c r="H2" s="274"/>
      <c r="I2" s="274"/>
      <c r="J2" s="275"/>
      <c r="L2" s="1"/>
      <c r="M2" s="273" t="s">
        <v>109</v>
      </c>
      <c r="N2" s="274"/>
      <c r="O2" s="274"/>
      <c r="P2" s="274"/>
      <c r="Q2" s="274"/>
      <c r="R2" s="274"/>
      <c r="S2" s="275"/>
    </row>
    <row r="3" spans="2:23" ht="15.75" thickBot="1" x14ac:dyDescent="0.3">
      <c r="B3" s="1" t="str" cm="1">
        <f t="array" ref="B3:H35">_xlfn.PIVOTBY(Palmon!B2:D44,IFERROR(Palmon!G2:G44+1,"To Next Step"),_xlfn.LAMBDA(_xlpm.x,IFERROR(VLOOKUP(Palmon!G2:G44+1,StepNeeds,4,FALSE)-NeedsFull*_xlpm.x-Palmon!I2:I44,""))(Palmon!U2:U44),_xleta.MAX,3,0,,0,,Palmon!G2:G44&gt;0)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>
        <v>26.000000000000028</v>
      </c>
      <c r="F6" s="33" t="str">
        <v/>
      </c>
      <c r="G6" s="33" t="str">
        <v/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>
        <v>87</v>
      </c>
      <c r="F9" s="33" t="str">
        <v/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3" t="str">
        <f>TCD!E2 &amp; " per Type"</f>
        <v>Palmon upgrade costs per Type</v>
      </c>
      <c r="N12" s="274"/>
      <c r="O12" s="274"/>
      <c r="P12" s="274"/>
      <c r="Q12" s="275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_xlfn.PIVOTBY(Palmon!$C$2:$C$44,IF(Palmon!$A$2:$A$44=0,"Average Level",""),_xlfn.LAMBDA(_xlpm.x,_xlpm.x)(Palmon!$E$2:$E$44),_xleta.AVERAGE,1,0,,0,,Palmon!$E$2:$E$44&gt;=200)</f>
        <v/>
      </c>
      <c r="V15" s="194" t="str">
        <v/>
      </c>
      <c r="W15" s="196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51.999999999999972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87</v>
      </c>
      <c r="N16" s="33">
        <v>300</v>
      </c>
      <c r="O16" s="33" t="str">
        <v/>
      </c>
      <c r="P16" s="47">
        <v>300</v>
      </c>
      <c r="Q16" s="40"/>
      <c r="R16" s="1"/>
      <c r="U16" s="46" t="str">
        <v>Electricity</v>
      </c>
      <c r="V16" s="195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5">
        <v>244.28571428571428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210</v>
      </c>
      <c r="O18" s="33">
        <v>500</v>
      </c>
      <c r="P18" s="47">
        <v>500</v>
      </c>
      <c r="Q18" s="40"/>
      <c r="R18" s="1"/>
      <c r="U18" s="46" t="str">
        <v>Water</v>
      </c>
      <c r="V18" s="195">
        <v>235.71428571428572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>
        <v>383.00000000000034</v>
      </c>
      <c r="H19" s="33" t="str">
        <v/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7">
        <v>232.85714285714286</v>
      </c>
      <c r="W19" s="198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200">
        <f>AVERAGE(V16:V19)</f>
        <v>234.04761904761904</v>
      </c>
      <c r="W20" s="199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210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3" t="s">
        <v>90</v>
      </c>
      <c r="N22" s="274"/>
      <c r="O22" s="274"/>
      <c r="P22" s="274"/>
      <c r="Q22" s="274"/>
      <c r="R22" s="274"/>
      <c r="S22" s="275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4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22.999999999999972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5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5</v>
      </c>
      <c r="N26" s="33">
        <v>1</v>
      </c>
      <c r="O26" s="33" t="str">
        <v/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>
        <v>189.00000000000023</v>
      </c>
      <c r="H27" s="33" t="str">
        <v/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487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2</v>
      </c>
      <c r="P28" s="33">
        <v>1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2</v>
      </c>
      <c r="P29" s="33">
        <v>1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14</v>
      </c>
      <c r="N30" s="86">
        <v>5</v>
      </c>
      <c r="O30" s="86">
        <v>6</v>
      </c>
      <c r="P30" s="86">
        <v>3</v>
      </c>
      <c r="Q30" s="87">
        <v>28</v>
      </c>
      <c r="R30" s="88"/>
      <c r="S30" s="186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290</v>
      </c>
      <c r="G32" s="33" t="str">
        <v/>
      </c>
      <c r="H32" s="33" t="str">
        <v/>
      </c>
      <c r="I32" s="33"/>
      <c r="J32" s="40"/>
      <c r="L32" s="1"/>
      <c r="M32" s="273" t="s">
        <v>95</v>
      </c>
      <c r="N32" s="274"/>
      <c r="O32" s="275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2</v>
      </c>
      <c r="P34" s="1"/>
      <c r="Q34" s="220" t="str">
        <v>Electricity</v>
      </c>
      <c r="R34" s="39">
        <v>3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1</v>
      </c>
      <c r="N35" s="33">
        <v>5</v>
      </c>
      <c r="O35" s="40">
        <v>1</v>
      </c>
      <c r="P35" s="1"/>
      <c r="Q35" s="221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1</v>
      </c>
      <c r="O36" s="40">
        <v>2</v>
      </c>
      <c r="P36" s="1"/>
      <c r="Q36" s="221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3</v>
      </c>
      <c r="N37" s="33" t="str">
        <v/>
      </c>
      <c r="O37" s="40" t="str">
        <v/>
      </c>
      <c r="P37" s="1"/>
      <c r="Q37" s="221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5</v>
      </c>
      <c r="P38" s="1"/>
      <c r="Q38" s="222" t="str">
        <v>Total</v>
      </c>
      <c r="R38" s="85">
        <v>20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3" t="s">
        <v>94</v>
      </c>
      <c r="M40" s="274"/>
      <c r="N40" s="275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Hoofrit</v>
      </c>
      <c r="N42" s="75" t="str">
        <v>Kungpaw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Hoofrit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Lucidina</v>
      </c>
      <c r="N43" s="78" t="str">
        <v>Abuzzinian</v>
      </c>
      <c r="O43" s="1"/>
      <c r="P43" s="1" t="str">
        <v>Vulpyrean</v>
      </c>
      <c r="Q43" s="1" t="str">
        <v>Lucidina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Fleurizard</v>
      </c>
      <c r="M44" s="77" t="str">
        <v>Pipistrigoi</v>
      </c>
      <c r="N44" s="78" t="str">
        <v>Escarffier</v>
      </c>
      <c r="O44" s="1"/>
      <c r="P44" s="1" t="str">
        <v>Fleurizard</v>
      </c>
      <c r="Q44" s="1" t="str">
        <v>Pipistrigoi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Magmolin</v>
      </c>
      <c r="N45" s="78" t="str">
        <v>Ninjump</v>
      </c>
      <c r="O45" s="1"/>
      <c r="P45" s="1" t="str">
        <v>Glacewing</v>
      </c>
      <c r="Q45" s="1" t="str">
        <v>Magmolin</v>
      </c>
      <c r="R45" s="1"/>
      <c r="T45"/>
      <c r="U45"/>
      <c r="V45"/>
      <c r="W45"/>
    </row>
    <row r="46" spans="2:23" x14ac:dyDescent="0.25">
      <c r="L46" s="76" t="str">
        <v>Oleana</v>
      </c>
      <c r="M46" s="77" t="str">
        <v>Barkplug</v>
      </c>
      <c r="N46" s="78" t="str">
        <v>Revontulet</v>
      </c>
      <c r="O46" s="1"/>
      <c r="P46" s="1" t="str">
        <v>Oleana</v>
      </c>
      <c r="Q46" s="1" t="str">
        <v>Barkplug</v>
      </c>
      <c r="R46" s="1"/>
      <c r="T46"/>
      <c r="U46"/>
      <c r="V46"/>
      <c r="W46"/>
    </row>
    <row r="47" spans="2:23" x14ac:dyDescent="0.25">
      <c r="L47" s="76" t="str">
        <v>Gnashley</v>
      </c>
      <c r="M47" s="77" t="str">
        <v>Blazeal</v>
      </c>
      <c r="N47" s="78" t="str">
        <v>Limudroid</v>
      </c>
      <c r="O47" s="1"/>
      <c r="P47" s="1" t="str">
        <v>Gnashley</v>
      </c>
      <c r="Q47" s="1" t="str">
        <v>Blazeal</v>
      </c>
      <c r="R47" s="1"/>
      <c r="T47"/>
      <c r="U47"/>
      <c r="V47"/>
      <c r="W47"/>
    </row>
    <row r="48" spans="2:23" ht="15.75" thickBot="1" x14ac:dyDescent="0.3">
      <c r="L48" s="81" t="str">
        <v>Ghillant</v>
      </c>
      <c r="M48" s="82" t="str">
        <v>Spookaboo</v>
      </c>
      <c r="N48" s="83" t="str">
        <v>Statchew</v>
      </c>
      <c r="O48" s="1"/>
      <c r="P48" s="1" t="str">
        <v>Ghillant</v>
      </c>
      <c r="Q48" s="1" t="str">
        <v>Spookaboo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230</v>
      </c>
      <c r="N50" s="1"/>
      <c r="O50" s="1"/>
      <c r="P50" s="1" t="s">
        <v>231</v>
      </c>
      <c r="Q50" s="1"/>
      <c r="R50" s="1"/>
      <c r="S50" s="1" t="s">
        <v>232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14</v>
      </c>
      <c r="L52" s="1" t="str">
        <v>Abuzzinian</v>
      </c>
      <c r="M52" s="1" t="str">
        <v/>
      </c>
      <c r="N52" s="1">
        <v>16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6</v>
      </c>
      <c r="S52" s="1" t="str" cm="1">
        <f t="array" ref="S52:S58">_xlfn.CHOOSECOLS(_xlfn._xlws.FILTER(L52:Q78,P52:P78&lt;=7),1)</f>
        <v>Blazeal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22</v>
      </c>
      <c r="H53" s="1" t="str">
        <v/>
      </c>
      <c r="L53" s="1" t="str">
        <v>Baboom</v>
      </c>
      <c r="M53" s="1">
        <v>25</v>
      </c>
      <c r="N53" s="1" t="str">
        <v/>
      </c>
      <c r="P53" s="1">
        <v>12</v>
      </c>
      <c r="Q53" s="1" t="str">
        <v/>
      </c>
      <c r="S53" s="1" t="str">
        <v>Bufonobi</v>
      </c>
      <c r="T53" s="1" t="str">
        <v>Barkplug</v>
      </c>
    </row>
    <row r="54" spans="7:20" s="1" customFormat="1" ht="12" x14ac:dyDescent="0.2">
      <c r="G54" s="1" t="str">
        <v/>
      </c>
      <c r="H54" s="1">
        <v>10</v>
      </c>
      <c r="L54" s="1" t="str">
        <v>Barkplug</v>
      </c>
      <c r="M54" s="1" t="str">
        <v/>
      </c>
      <c r="N54" s="1">
        <v>12</v>
      </c>
      <c r="P54" s="1" t="str">
        <v/>
      </c>
      <c r="Q54" s="1">
        <v>4</v>
      </c>
      <c r="S54" s="1" t="str">
        <v>Fleurizard</v>
      </c>
      <c r="T54" s="1" t="str">
        <v>Escarffier</v>
      </c>
    </row>
    <row r="55" spans="7:20" s="1" customFormat="1" ht="12" x14ac:dyDescent="0.2">
      <c r="G55" s="1">
        <v>24</v>
      </c>
      <c r="H55" s="1" t="str">
        <v/>
      </c>
      <c r="L55" s="1" t="str">
        <v>Battereina</v>
      </c>
      <c r="M55" s="1">
        <v>27</v>
      </c>
      <c r="N55" s="1" t="str">
        <v/>
      </c>
      <c r="P55" s="1">
        <v>14</v>
      </c>
      <c r="Q55" s="1" t="str">
        <v/>
      </c>
      <c r="S55" s="1" t="str">
        <v>Hoofrit</v>
      </c>
      <c r="T55" s="1" t="str">
        <v>Ghillant</v>
      </c>
    </row>
    <row r="56" spans="7:20" s="1" customFormat="1" ht="12" x14ac:dyDescent="0.2">
      <c r="G56" s="1">
        <v>11</v>
      </c>
      <c r="H56" s="1" t="str">
        <v/>
      </c>
      <c r="L56" s="1" t="str">
        <v>Blazeal</v>
      </c>
      <c r="M56" s="1">
        <v>13</v>
      </c>
      <c r="N56" s="1" t="str">
        <v/>
      </c>
      <c r="P56" s="1">
        <v>7</v>
      </c>
      <c r="Q56" s="1" t="str">
        <v/>
      </c>
      <c r="S56" s="1" t="str">
        <v>Lucidina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Oleana</v>
      </c>
      <c r="T57" s="1" t="str">
        <v>Kungpaw</v>
      </c>
    </row>
    <row r="58" spans="7:20" s="1" customFormat="1" ht="12" x14ac:dyDescent="0.2">
      <c r="G58" s="1" t="str">
        <v/>
      </c>
      <c r="H58" s="1">
        <v>20</v>
      </c>
      <c r="L58" s="1" t="str">
        <v>Dolphriend</v>
      </c>
      <c r="M58" s="1" t="str">
        <v/>
      </c>
      <c r="N58" s="1">
        <v>23</v>
      </c>
      <c r="P58" s="1" t="str">
        <v/>
      </c>
      <c r="Q58" s="1">
        <v>10</v>
      </c>
      <c r="S58" s="1" t="str">
        <v>Pipistrigoi</v>
      </c>
      <c r="T58" s="1" t="str">
        <v>Magmolin</v>
      </c>
    </row>
    <row r="59" spans="7:20" s="1" customFormat="1" ht="12" x14ac:dyDescent="0.2">
      <c r="G59" s="1" t="str">
        <v/>
      </c>
      <c r="H59" s="1">
        <v>15</v>
      </c>
      <c r="L59" s="1" t="str">
        <v>Escarffier</v>
      </c>
      <c r="M59" s="1" t="str">
        <v/>
      </c>
      <c r="N59" s="1">
        <v>17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2</v>
      </c>
      <c r="H61" s="1" t="str">
        <v/>
      </c>
      <c r="L61" s="1" t="str">
        <v>Fleurizard</v>
      </c>
      <c r="M61" s="1">
        <v>3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19</v>
      </c>
      <c r="L62" s="1" t="str">
        <v>Fulgairy</v>
      </c>
      <c r="M62" s="1" t="str">
        <v/>
      </c>
      <c r="N62" s="1">
        <v>22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5</v>
      </c>
      <c r="L63" s="1" t="str">
        <v>Ghillant</v>
      </c>
      <c r="M63" s="1" t="str">
        <v/>
      </c>
      <c r="N63" s="1">
        <v>7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4</v>
      </c>
      <c r="L64" s="1" t="str">
        <v>Gnashley</v>
      </c>
      <c r="M64" s="1" t="str">
        <v/>
      </c>
      <c r="N64" s="1">
        <v>6</v>
      </c>
      <c r="P64" s="1" t="str">
        <v/>
      </c>
      <c r="Q64" s="1">
        <v>1</v>
      </c>
    </row>
    <row r="65" spans="7:20" s="1" customFormat="1" ht="12" x14ac:dyDescent="0.2">
      <c r="G65" s="1">
        <v>6</v>
      </c>
      <c r="H65" s="1" t="str">
        <v/>
      </c>
      <c r="L65" s="1" t="str">
        <v>Hoofrit</v>
      </c>
      <c r="M65" s="1">
        <v>8</v>
      </c>
      <c r="N65" s="1" t="str">
        <v/>
      </c>
      <c r="P65" s="1">
        <v>4</v>
      </c>
      <c r="Q65" s="1" t="str">
        <v/>
      </c>
    </row>
    <row r="66" spans="7:20" s="1" customFormat="1" ht="12" x14ac:dyDescent="0.2">
      <c r="G66" s="1" t="str">
        <v/>
      </c>
      <c r="H66" s="1">
        <v>13</v>
      </c>
      <c r="L66" s="1" t="str">
        <v>Kungpaw</v>
      </c>
      <c r="M66" s="1" t="str">
        <v/>
      </c>
      <c r="N66" s="1">
        <v>15</v>
      </c>
      <c r="P66" s="1" t="str">
        <v/>
      </c>
      <c r="Q66" s="1">
        <v>5</v>
      </c>
    </row>
    <row r="67" spans="7:20" s="1" customFormat="1" ht="12" x14ac:dyDescent="0.2">
      <c r="G67" s="1">
        <v>17</v>
      </c>
      <c r="H67" s="1" t="str">
        <v/>
      </c>
      <c r="L67" s="1" t="str">
        <v>Limudroid</v>
      </c>
      <c r="M67" s="1">
        <v>20</v>
      </c>
      <c r="N67" s="1" t="str">
        <v/>
      </c>
      <c r="P67" s="1">
        <v>10</v>
      </c>
      <c r="Q67" s="1" t="str">
        <v/>
      </c>
    </row>
    <row r="68" spans="7:20" s="1" customFormat="1" ht="12" x14ac:dyDescent="0.2">
      <c r="G68" s="1">
        <v>7</v>
      </c>
      <c r="H68" s="1" t="str">
        <v/>
      </c>
      <c r="L68" s="1" t="str">
        <v>Lucidina</v>
      </c>
      <c r="M68" s="1">
        <v>9</v>
      </c>
      <c r="N68" s="1" t="str">
        <v/>
      </c>
      <c r="P68" s="1">
        <v>5</v>
      </c>
      <c r="Q68" s="1" t="str">
        <v/>
      </c>
    </row>
    <row r="69" spans="7:20" s="1" customFormat="1" ht="12" x14ac:dyDescent="0.2">
      <c r="G69" s="1" t="str">
        <v/>
      </c>
      <c r="H69" s="1">
        <v>9</v>
      </c>
      <c r="L69" s="1" t="str">
        <v>Magmolin</v>
      </c>
      <c r="M69" s="1" t="str">
        <v/>
      </c>
      <c r="N69" s="1">
        <v>11</v>
      </c>
      <c r="P69" s="1" t="str">
        <v/>
      </c>
      <c r="Q69" s="1">
        <v>3</v>
      </c>
    </row>
    <row r="70" spans="7:20" s="1" customFormat="1" ht="12" x14ac:dyDescent="0.2">
      <c r="G70" s="1">
        <v>21</v>
      </c>
      <c r="H70" s="1" t="str">
        <v/>
      </c>
      <c r="L70" s="1" t="str">
        <v>Mantleray</v>
      </c>
      <c r="M70" s="1">
        <v>24</v>
      </c>
      <c r="N70" s="1" t="str">
        <v/>
      </c>
      <c r="P70" s="1">
        <v>11</v>
      </c>
      <c r="Q70" s="1" t="str">
        <v/>
      </c>
    </row>
    <row r="71" spans="7:20" s="1" customFormat="1" ht="12" x14ac:dyDescent="0.2">
      <c r="G71" s="1">
        <v>16</v>
      </c>
      <c r="H71" s="1" t="str">
        <v/>
      </c>
      <c r="L71" s="1" t="str">
        <v>Ninjump</v>
      </c>
      <c r="M71" s="1">
        <v>18</v>
      </c>
      <c r="N71" s="1" t="str">
        <v/>
      </c>
      <c r="P71" s="1">
        <v>9</v>
      </c>
      <c r="Q71" s="1" t="str">
        <v/>
      </c>
    </row>
    <row r="72" spans="7:20" s="1" customFormat="1" ht="12" x14ac:dyDescent="0.2">
      <c r="G72" s="1">
        <v>3</v>
      </c>
      <c r="H72" s="1" t="str">
        <v/>
      </c>
      <c r="L72" s="1" t="str">
        <v>Oleana</v>
      </c>
      <c r="M72" s="1">
        <v>5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8</v>
      </c>
      <c r="H73" s="1" t="str">
        <v/>
      </c>
      <c r="L73" s="1" t="str">
        <v>Pipistrigoi</v>
      </c>
      <c r="M73" s="1">
        <v>10</v>
      </c>
      <c r="N73" s="1" t="str">
        <v/>
      </c>
      <c r="P73" s="1">
        <v>6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12</v>
      </c>
      <c r="H76" s="1" t="str">
        <v/>
      </c>
      <c r="L76" s="1" t="str">
        <v>Spookaboo</v>
      </c>
      <c r="M76" s="1">
        <v>14</v>
      </c>
      <c r="N76" s="1" t="str">
        <v/>
      </c>
      <c r="P76" s="1">
        <v>8</v>
      </c>
      <c r="Q76" s="1" t="str">
        <v/>
      </c>
    </row>
    <row r="77" spans="7:20" s="1" customFormat="1" ht="12" x14ac:dyDescent="0.2">
      <c r="G77" s="1" t="str">
        <v/>
      </c>
      <c r="H77" s="1">
        <v>18</v>
      </c>
      <c r="L77" s="1" t="str">
        <v>Statchew</v>
      </c>
      <c r="M77" s="1" t="str">
        <v/>
      </c>
      <c r="N77" s="1">
        <v>21</v>
      </c>
      <c r="P77" s="1" t="str">
        <v/>
      </c>
      <c r="Q77" s="1">
        <v>8</v>
      </c>
    </row>
    <row r="78" spans="7:20" s="1" customFormat="1" ht="12" x14ac:dyDescent="0.2">
      <c r="G78" s="1">
        <v>23</v>
      </c>
      <c r="H78" s="1" t="str">
        <v/>
      </c>
      <c r="L78" s="1" t="str">
        <v>Surveilynx</v>
      </c>
      <c r="M78" s="1">
        <v>26</v>
      </c>
      <c r="N78" s="1" t="str">
        <v/>
      </c>
      <c r="P78" s="1">
        <v>13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49" priority="43">
      <formula>$C6="Fire"</formula>
    </cfRule>
    <cfRule type="expression" dxfId="48" priority="44">
      <formula>$C6="Water"</formula>
    </cfRule>
    <cfRule type="expression" dxfId="47" priority="45">
      <formula>$C6="Electricity"</formula>
    </cfRule>
    <cfRule type="expression" dxfId="46" priority="46">
      <formula>$C6="Wood"</formula>
    </cfRule>
  </conditionalFormatting>
  <conditionalFormatting sqref="L16:L19 U16:U19">
    <cfRule type="expression" dxfId="45" priority="39">
      <formula>$L16="Fire"</formula>
    </cfRule>
    <cfRule type="expression" dxfId="44" priority="40">
      <formula>$L16="Water"</formula>
    </cfRule>
    <cfRule type="expression" dxfId="43" priority="41">
      <formula>$L16="Electricity"</formula>
    </cfRule>
    <cfRule type="expression" dxfId="42" priority="42">
      <formula>$L16="Wood"</formula>
    </cfRule>
  </conditionalFormatting>
  <conditionalFormatting sqref="L26:L29">
    <cfRule type="expression" dxfId="41" priority="35">
      <formula>$L26="Fire"</formula>
    </cfRule>
    <cfRule type="expression" dxfId="40" priority="36">
      <formula>$L26="Water"</formula>
    </cfRule>
    <cfRule type="expression" dxfId="39" priority="37">
      <formula>$L26="Electricity"</formula>
    </cfRule>
    <cfRule type="expression" dxfId="38" priority="38">
      <formula>$L26="Wood"</formula>
    </cfRule>
  </conditionalFormatting>
  <conditionalFormatting sqref="L34:L37">
    <cfRule type="expression" dxfId="37" priority="31">
      <formula>$L34="Fire"</formula>
    </cfRule>
    <cfRule type="expression" dxfId="36" priority="32">
      <formula>$L34="Water"</formula>
    </cfRule>
    <cfRule type="expression" dxfId="35" priority="33">
      <formula>$L34="Electricity"</formula>
    </cfRule>
    <cfRule type="expression" dxfId="34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3" priority="17">
      <formula>VLOOKUP(L42,PalmonList,2,FALSE)="Wood"</formula>
    </cfRule>
    <cfRule type="expression" dxfId="32" priority="18">
      <formula>VLOOKUP(L42,PalmonList,2,FALSE)="Fire"</formula>
    </cfRule>
    <cfRule type="expression" dxfId="31" priority="19">
      <formula>VLOOKUP(L42,PalmonList,2,FALSE)="Electricity"</formula>
    </cfRule>
    <cfRule type="expression" dxfId="30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29" priority="5">
      <formula>$L34="Fire"</formula>
    </cfRule>
    <cfRule type="expression" dxfId="28" priority="6">
      <formula>$L34="Water"</formula>
    </cfRule>
    <cfRule type="expression" dxfId="27" priority="7">
      <formula>$L34="Electricity"</formula>
    </cfRule>
    <cfRule type="expression" dxfId="26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5" t="s">
        <v>34</v>
      </c>
      <c r="C2" s="286"/>
      <c r="D2" s="286"/>
      <c r="E2" s="286"/>
      <c r="F2" s="58" t="s">
        <v>19</v>
      </c>
      <c r="G2" s="60">
        <f>VLOOKUP($G$7,PalmonList,8,FALSE)</f>
        <v>0</v>
      </c>
      <c r="H2" s="276" t="e" vm="1">
        <f>IFERROR(_xlfn.IMAGE(VLOOKUP($G$7,PalmonList,30,FALSE),$G$7,0),"")</f>
        <v>#VALUE!</v>
      </c>
      <c r="I2" s="277"/>
      <c r="J2" s="278"/>
    </row>
    <row r="3" spans="1:10" ht="15.75" thickBot="1" x14ac:dyDescent="0.3">
      <c r="A3" s="1"/>
      <c r="B3" s="227" t="s">
        <v>17</v>
      </c>
      <c r="C3" s="226" t="s">
        <v>20</v>
      </c>
      <c r="D3" s="226" t="s">
        <v>21</v>
      </c>
      <c r="E3" s="226" t="s">
        <v>8</v>
      </c>
      <c r="F3" s="59" t="s">
        <v>18</v>
      </c>
      <c r="G3" s="228">
        <f>VLOOKUP($G$7,PalmonList,7,FALSE)</f>
        <v>5</v>
      </c>
      <c r="H3" s="279"/>
      <c r="I3" s="280"/>
      <c r="J3" s="281"/>
    </row>
    <row r="4" spans="1:10" x14ac:dyDescent="0.25">
      <c r="A4" s="1"/>
      <c r="B4" s="229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30"/>
      <c r="H4" s="279"/>
      <c r="I4" s="280"/>
      <c r="J4" s="281"/>
    </row>
    <row r="5" spans="1:10" x14ac:dyDescent="0.25">
      <c r="A5" s="1"/>
      <c r="B5" s="229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30"/>
      <c r="H5" s="279"/>
      <c r="I5" s="280"/>
      <c r="J5" s="281"/>
    </row>
    <row r="6" spans="1:10" ht="15.75" thickBot="1" x14ac:dyDescent="0.3">
      <c r="A6" s="1"/>
      <c r="B6" s="229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30"/>
      <c r="H6" s="279"/>
      <c r="I6" s="280"/>
      <c r="J6" s="281"/>
    </row>
    <row r="7" spans="1:10" x14ac:dyDescent="0.25">
      <c r="A7" s="1"/>
      <c r="B7" s="229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31" t="s">
        <v>139</v>
      </c>
      <c r="H7" s="279"/>
      <c r="I7" s="280"/>
      <c r="J7" s="281"/>
    </row>
    <row r="8" spans="1:10" ht="15.75" thickBot="1" x14ac:dyDescent="0.3">
      <c r="A8" s="1"/>
      <c r="B8" s="232">
        <v>5</v>
      </c>
      <c r="C8" s="233">
        <v>100</v>
      </c>
      <c r="D8" s="233">
        <f>C8*5</f>
        <v>500</v>
      </c>
      <c r="E8" s="233">
        <f>SUM(D$4:D8)</f>
        <v>975</v>
      </c>
      <c r="F8" s="21">
        <f>IFERROR(CHOOSE(IF($G$3&gt;=$B8,1,2),$D8,IF($G$3&gt;$B8-1,IF($G$3&lt;1,#REF!,MOD($G$3,$B8-1))*10*$C8,""))/$D8,0)</f>
        <v>1</v>
      </c>
      <c r="G8" s="234" t="s">
        <v>22</v>
      </c>
      <c r="H8" s="279"/>
      <c r="I8" s="280"/>
      <c r="J8" s="281"/>
    </row>
    <row r="9" spans="1:10" ht="15.75" thickBot="1" x14ac:dyDescent="0.3">
      <c r="A9" s="1"/>
      <c r="B9" s="1"/>
      <c r="C9" s="235" t="s">
        <v>35</v>
      </c>
      <c r="D9" s="236">
        <f>SUM(D4:D8)</f>
        <v>975</v>
      </c>
      <c r="E9" s="236">
        <f>MAX(E4:E8)</f>
        <v>975</v>
      </c>
      <c r="F9" s="236">
        <f>D9-SUMPRODUCT($F$4:$F$8,D4:D8)-$G$2</f>
        <v>0</v>
      </c>
      <c r="G9" s="237">
        <f>SUMPRODUCT($F$4:$F$8,$D$4:$D$8)/$D$9</f>
        <v>1</v>
      </c>
      <c r="H9" s="282"/>
      <c r="I9" s="283"/>
      <c r="J9" s="284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A201" workbookViewId="0">
      <selection activeCell="D263" sqref="D26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9" t="s">
        <v>88</v>
      </c>
      <c r="B1" s="290"/>
      <c r="C1" s="290"/>
      <c r="D1" s="290"/>
      <c r="E1" s="290"/>
      <c r="F1" s="291"/>
      <c r="H1" s="289" t="s">
        <v>89</v>
      </c>
      <c r="I1" s="290"/>
      <c r="J1" s="290"/>
      <c r="K1" s="290"/>
      <c r="L1" s="291"/>
      <c r="N1" s="289" t="s">
        <v>103</v>
      </c>
      <c r="O1" s="290"/>
      <c r="P1" s="290"/>
      <c r="Q1" s="290"/>
      <c r="R1" s="291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7" t="s">
        <v>111</v>
      </c>
      <c r="X2" s="243" t="s">
        <v>33</v>
      </c>
      <c r="Y2" s="242" t="s">
        <v>0</v>
      </c>
      <c r="Z2" s="242" t="s">
        <v>1</v>
      </c>
      <c r="AA2" s="242" t="s">
        <v>2</v>
      </c>
      <c r="AB2" s="242" t="s">
        <v>3</v>
      </c>
      <c r="AC2" s="242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3">_xlfn._xlws.SORT(_xlfn._xlws.FILTER(Palmon!B3:B44,Palmon!E3:E44&gt;0))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92" t="s">
        <v>30</v>
      </c>
      <c r="AA8" s="293"/>
      <c r="AB8" s="293"/>
      <c r="AC8" s="293"/>
      <c r="AD8" s="294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7" t="s">
        <v>32</v>
      </c>
      <c r="AF10" s="288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42" t="s">
        <v>101</v>
      </c>
      <c r="Y18" s="242" t="s">
        <v>102</v>
      </c>
      <c r="Z18" s="242" t="s">
        <v>229</v>
      </c>
      <c r="AA18" s="242" t="s">
        <v>228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22</v>
      </c>
      <c r="Y19" s="4">
        <v>2</v>
      </c>
      <c r="Z19" s="4">
        <v>91200</v>
      </c>
      <c r="AA19" s="4">
        <f>Z19*Y19</f>
        <v>182400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23</v>
      </c>
      <c r="Y20" s="4">
        <v>4</v>
      </c>
      <c r="Z20" s="4">
        <v>96000</v>
      </c>
      <c r="AA20" s="4">
        <f>Z20*Y20</f>
        <v>384000</v>
      </c>
      <c r="AB20" s="242" t="s">
        <v>227</v>
      </c>
      <c r="AC20" s="242" t="s">
        <v>203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24</v>
      </c>
      <c r="Y21" s="4">
        <v>1</v>
      </c>
      <c r="Z21" s="4">
        <v>100800</v>
      </c>
      <c r="AA21" s="4">
        <f>Z21*Y21</f>
        <v>100800</v>
      </c>
      <c r="AB21" s="4">
        <f>SUMPRODUCT(Y19:Y21,Z19:Z21)</f>
        <v>667200</v>
      </c>
      <c r="AC21" s="241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41">
        <f>AB22/AB21</f>
        <v>1.4988009592326139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16012800</v>
      </c>
      <c r="AC23" s="241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41">
        <f>AB24/AB21</f>
        <v>149.88009592326139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40"/>
      <c r="Y30" s="240" t="s">
        <v>200</v>
      </c>
      <c r="Z30" s="240" t="s">
        <v>201</v>
      </c>
      <c r="AA30" s="240" t="s">
        <v>202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40" t="s">
        <v>200</v>
      </c>
      <c r="Y31" s="240">
        <v>1</v>
      </c>
      <c r="Z31" s="240">
        <v>60</v>
      </c>
      <c r="AA31" s="240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Vulpyrean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Woozard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6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110040000</v>
      </c>
      <c r="D263" s="4">
        <f t="shared" si="36"/>
        <v>12340000</v>
      </c>
      <c r="E263" s="4">
        <f t="shared" si="37"/>
        <v>3918613700</v>
      </c>
      <c r="F263" s="3" t="str" cm="1">
        <f t="array" ref="F263">CostScreen($C263)</f>
        <v>110,04M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110040000</v>
      </c>
      <c r="D264" s="4">
        <f t="shared" si="36"/>
        <v>0</v>
      </c>
      <c r="E264" s="4">
        <f t="shared" si="37"/>
        <v>4028653700</v>
      </c>
      <c r="F264" s="3" t="str" cm="1">
        <f t="array" ref="F264">CostScreen($C264)</f>
        <v>110,04M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110040000</v>
      </c>
      <c r="D265" s="4">
        <f t="shared" si="36"/>
        <v>0</v>
      </c>
      <c r="E265" s="4">
        <f t="shared" si="37"/>
        <v>4138693700</v>
      </c>
      <c r="F265" s="3" t="str" cm="1">
        <f t="array" ref="F265">CostScreen($C265)</f>
        <v>110,04M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110040000</v>
      </c>
      <c r="D266" s="4">
        <f t="shared" si="36"/>
        <v>0</v>
      </c>
      <c r="E266" s="4">
        <f t="shared" si="37"/>
        <v>4248733700</v>
      </c>
      <c r="F266" s="3" t="str" cm="1">
        <f t="array" ref="F266">CostScreen($C266)</f>
        <v>110,04M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110040000</v>
      </c>
      <c r="D267" s="4">
        <f t="shared" si="36"/>
        <v>0</v>
      </c>
      <c r="E267" s="4">
        <f t="shared" si="37"/>
        <v>4358773700</v>
      </c>
      <c r="F267" s="3" t="str" cm="1">
        <f t="array" ref="F267">CostScreen($C267)</f>
        <v>110,04M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110040000</v>
      </c>
      <c r="D268" s="4">
        <f t="shared" si="36"/>
        <v>0</v>
      </c>
      <c r="E268" s="4">
        <f t="shared" si="37"/>
        <v>4468813700</v>
      </c>
      <c r="F268" s="3" t="str" cm="1">
        <f t="array" ref="F268">CostScreen($C268)</f>
        <v>110,04M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110040000</v>
      </c>
      <c r="D269" s="4">
        <f t="shared" si="36"/>
        <v>0</v>
      </c>
      <c r="E269" s="4">
        <f t="shared" si="37"/>
        <v>4578853700</v>
      </c>
      <c r="F269" s="3" t="str" cm="1">
        <f t="array" ref="F269">CostScreen($C269)</f>
        <v>110,04M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110040000</v>
      </c>
      <c r="D270" s="4">
        <f t="shared" si="36"/>
        <v>0</v>
      </c>
      <c r="E270" s="4">
        <f t="shared" si="37"/>
        <v>4688893700</v>
      </c>
      <c r="F270" s="3" t="str" cm="1">
        <f t="array" ref="F270">CostScreen($C270)</f>
        <v>110,04M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110040000</v>
      </c>
      <c r="D271" s="4">
        <f t="shared" si="36"/>
        <v>0</v>
      </c>
      <c r="E271" s="4">
        <f t="shared" si="37"/>
        <v>4798933700</v>
      </c>
      <c r="F271" s="3" t="str" cm="1">
        <f t="array" ref="F271">CostScreen($C271)</f>
        <v>110,04M</v>
      </c>
      <c r="K271" s="1" t="s">
        <v>262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110040000</v>
      </c>
      <c r="D272" s="4">
        <f t="shared" si="36"/>
        <v>0</v>
      </c>
      <c r="E272" s="4">
        <f t="shared" si="37"/>
        <v>4908973700</v>
      </c>
      <c r="F272" s="3" t="str" cm="1">
        <f t="array" ref="F272">CostScreen($C272)</f>
        <v>110,04M</v>
      </c>
      <c r="H272" s="1">
        <f>I272/10</f>
        <v>110040000</v>
      </c>
      <c r="I272" s="143">
        <v>1100400000</v>
      </c>
      <c r="K272" s="1" t="s">
        <v>261</v>
      </c>
    </row>
    <row r="273" spans="1:9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25080000</v>
      </c>
      <c r="E273" s="4">
        <f t="shared" si="37"/>
        <v>5044093700</v>
      </c>
      <c r="F273" s="3" t="str" cm="1">
        <f t="array" ref="F273">CostScreen($C273)</f>
        <v>135,12M</v>
      </c>
    </row>
    <row r="274" spans="1:9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9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9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9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9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9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9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9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9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H282" s="1">
        <f>I282/10</f>
        <v>135120000</v>
      </c>
      <c r="I282" s="143">
        <v>1351200000</v>
      </c>
    </row>
    <row r="283" spans="1:9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9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9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9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9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9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9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9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9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9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H292" s="1">
        <f>I292/10</f>
        <v>164440000</v>
      </c>
      <c r="I292" s="143">
        <v>1644400000</v>
      </c>
    </row>
    <row r="293" spans="1:9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9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9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9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9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9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9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9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9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9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H302" s="1">
        <f>I302/10</f>
        <v>198470000</v>
      </c>
      <c r="I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5" priority="5">
      <formula>AND($U4="",$U3&lt;&gt;"")</formula>
    </cfRule>
    <cfRule type="cellIs" dxfId="24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A12"/>
  <sheetViews>
    <sheetView topLeftCell="E1" workbookViewId="0">
      <selection activeCell="AA2" sqref="AA2"/>
    </sheetView>
  </sheetViews>
  <sheetFormatPr baseColWidth="10" defaultRowHeight="15" x14ac:dyDescent="0.25"/>
  <sheetData>
    <row r="1" spans="1:27" ht="15.75" thickBot="1" x14ac:dyDescent="0.3">
      <c r="A1" s="256" t="s">
        <v>204</v>
      </c>
      <c r="B1" s="257"/>
      <c r="D1" s="295" t="s">
        <v>241</v>
      </c>
      <c r="E1" s="296"/>
      <c r="F1" s="296"/>
      <c r="H1" s="295" t="s">
        <v>241</v>
      </c>
      <c r="I1" s="296"/>
      <c r="J1" s="296"/>
      <c r="K1" s="296"/>
      <c r="L1" s="296"/>
      <c r="M1" s="296"/>
      <c r="N1" s="296"/>
      <c r="O1" s="296"/>
      <c r="P1" s="296"/>
      <c r="Q1" s="296"/>
      <c r="Z1" s="256" t="s">
        <v>259</v>
      </c>
      <c r="AA1" s="257"/>
    </row>
    <row r="2" spans="1:27" x14ac:dyDescent="0.25">
      <c r="A2" s="244" t="s">
        <v>197</v>
      </c>
      <c r="B2" s="60">
        <v>400000</v>
      </c>
      <c r="D2" s="227" t="s">
        <v>17</v>
      </c>
      <c r="E2" s="226" t="s">
        <v>20</v>
      </c>
      <c r="F2" s="226" t="s">
        <v>239</v>
      </c>
      <c r="H2" s="227" t="s">
        <v>78</v>
      </c>
      <c r="I2" s="251" t="s">
        <v>31</v>
      </c>
      <c r="J2" s="226" t="s">
        <v>79</v>
      </c>
      <c r="K2" s="226" t="s">
        <v>17</v>
      </c>
      <c r="L2" s="226" t="s">
        <v>242</v>
      </c>
      <c r="M2" s="226" t="s">
        <v>243</v>
      </c>
      <c r="N2" s="226" t="s">
        <v>244</v>
      </c>
      <c r="O2" s="226" t="s">
        <v>245</v>
      </c>
      <c r="P2" s="226" t="s">
        <v>246</v>
      </c>
      <c r="Q2" s="226" t="s">
        <v>144</v>
      </c>
      <c r="S2" s="227" t="s">
        <v>258</v>
      </c>
      <c r="T2" s="226" t="s">
        <v>242</v>
      </c>
      <c r="U2" s="226" t="s">
        <v>243</v>
      </c>
      <c r="V2" s="226" t="s">
        <v>244</v>
      </c>
      <c r="W2" s="226" t="s">
        <v>245</v>
      </c>
      <c r="X2" s="226" t="s">
        <v>246</v>
      </c>
      <c r="Z2" s="227" t="s">
        <v>79</v>
      </c>
      <c r="AA2" s="226" t="s">
        <v>260</v>
      </c>
    </row>
    <row r="3" spans="1:27" x14ac:dyDescent="0.25">
      <c r="A3" s="208" t="s">
        <v>198</v>
      </c>
      <c r="B3" s="13">
        <v>300</v>
      </c>
      <c r="D3" s="229">
        <v>1</v>
      </c>
      <c r="E3" s="4">
        <v>200</v>
      </c>
      <c r="F3" s="4">
        <f>E3*5</f>
        <v>1000</v>
      </c>
      <c r="H3" s="249" t="s">
        <v>247</v>
      </c>
      <c r="I3" s="252" t="s">
        <v>249</v>
      </c>
      <c r="J3" s="241">
        <v>5.0599999999999996</v>
      </c>
      <c r="K3" s="250">
        <v>0</v>
      </c>
      <c r="L3" s="241">
        <v>0</v>
      </c>
      <c r="M3" s="241">
        <v>0</v>
      </c>
      <c r="N3" s="241">
        <v>0</v>
      </c>
      <c r="O3" s="241">
        <v>0</v>
      </c>
      <c r="P3" s="241">
        <v>0</v>
      </c>
      <c r="Q3" s="241" t="s">
        <v>253</v>
      </c>
      <c r="S3" s="229">
        <v>1</v>
      </c>
      <c r="U3">
        <v>30</v>
      </c>
      <c r="Z3" s="229">
        <v>1</v>
      </c>
      <c r="AA3" s="4">
        <v>10</v>
      </c>
    </row>
    <row r="4" spans="1:27" x14ac:dyDescent="0.25">
      <c r="A4" s="208" t="s">
        <v>199</v>
      </c>
      <c r="B4" s="13">
        <v>975</v>
      </c>
      <c r="D4" s="229">
        <v>2</v>
      </c>
      <c r="E4" s="4">
        <v>400</v>
      </c>
      <c r="F4" s="4">
        <f t="shared" ref="F4:F7" si="0">E4*5</f>
        <v>2000</v>
      </c>
      <c r="H4" s="249" t="s">
        <v>248</v>
      </c>
      <c r="I4" s="252" t="s">
        <v>50</v>
      </c>
      <c r="J4" s="241">
        <v>5.17</v>
      </c>
      <c r="K4" s="250">
        <v>0</v>
      </c>
      <c r="L4" s="241">
        <v>0</v>
      </c>
      <c r="M4" s="241">
        <v>0</v>
      </c>
      <c r="N4" s="241">
        <v>0</v>
      </c>
      <c r="O4" s="241">
        <v>0</v>
      </c>
      <c r="P4" s="241">
        <v>0</v>
      </c>
      <c r="Q4" s="241" t="s">
        <v>255</v>
      </c>
      <c r="S4" s="229">
        <v>2</v>
      </c>
      <c r="U4">
        <v>40</v>
      </c>
      <c r="Z4" s="229">
        <v>2</v>
      </c>
      <c r="AA4" s="4">
        <v>20</v>
      </c>
    </row>
    <row r="5" spans="1:27" ht="15.75" thickBot="1" x14ac:dyDescent="0.3">
      <c r="A5" s="245" t="s">
        <v>236</v>
      </c>
      <c r="B5" s="22">
        <v>9985660300</v>
      </c>
      <c r="D5" s="229">
        <v>3</v>
      </c>
      <c r="E5" s="4">
        <v>800</v>
      </c>
      <c r="F5" s="4">
        <f t="shared" si="0"/>
        <v>4000</v>
      </c>
      <c r="H5" s="249" t="s">
        <v>250</v>
      </c>
      <c r="I5" s="252" t="s">
        <v>61</v>
      </c>
      <c r="J5" s="241">
        <v>5.2</v>
      </c>
      <c r="K5" s="250">
        <v>0</v>
      </c>
      <c r="L5" s="241">
        <v>0</v>
      </c>
      <c r="M5" s="241">
        <v>0</v>
      </c>
      <c r="N5" s="241">
        <v>0</v>
      </c>
      <c r="O5" s="241">
        <v>0</v>
      </c>
      <c r="P5" s="241">
        <v>0</v>
      </c>
      <c r="Q5" s="241" t="s">
        <v>256</v>
      </c>
      <c r="S5" s="229">
        <v>3</v>
      </c>
      <c r="U5">
        <v>50</v>
      </c>
      <c r="Z5" s="229">
        <v>3</v>
      </c>
      <c r="AA5" s="4">
        <v>30</v>
      </c>
    </row>
    <row r="6" spans="1:27" x14ac:dyDescent="0.25">
      <c r="D6" s="229">
        <v>4</v>
      </c>
      <c r="E6" s="4">
        <v>1000</v>
      </c>
      <c r="F6" s="4">
        <f t="shared" si="0"/>
        <v>5000</v>
      </c>
      <c r="H6" s="249" t="s">
        <v>251</v>
      </c>
      <c r="I6" s="252" t="s">
        <v>53</v>
      </c>
      <c r="J6" s="241">
        <v>5.2</v>
      </c>
      <c r="K6" s="250">
        <v>2.2999999999999998</v>
      </c>
      <c r="L6" s="241">
        <v>5</v>
      </c>
      <c r="M6" s="241">
        <v>0</v>
      </c>
      <c r="N6" s="241">
        <v>0</v>
      </c>
      <c r="O6" s="241">
        <v>0</v>
      </c>
      <c r="P6" s="241">
        <v>0</v>
      </c>
      <c r="Q6" s="241" t="s">
        <v>254</v>
      </c>
      <c r="S6" s="229">
        <v>4</v>
      </c>
      <c r="Z6" s="229">
        <v>4</v>
      </c>
      <c r="AA6" s="4">
        <v>40</v>
      </c>
    </row>
    <row r="7" spans="1:27" x14ac:dyDescent="0.25">
      <c r="D7" s="229">
        <v>5</v>
      </c>
      <c r="E7" s="4">
        <v>1200</v>
      </c>
      <c r="F7" s="4">
        <f t="shared" si="0"/>
        <v>6000</v>
      </c>
      <c r="H7" s="249" t="s">
        <v>252</v>
      </c>
      <c r="I7" s="252" t="s">
        <v>55</v>
      </c>
      <c r="J7" s="241">
        <v>5.12</v>
      </c>
      <c r="K7" s="250">
        <v>0</v>
      </c>
      <c r="L7" s="241">
        <v>0</v>
      </c>
      <c r="M7" s="241">
        <v>0</v>
      </c>
      <c r="N7" s="241">
        <v>0</v>
      </c>
      <c r="O7" s="241">
        <v>0</v>
      </c>
      <c r="P7" s="241">
        <v>0</v>
      </c>
      <c r="Q7" s="241" t="s">
        <v>257</v>
      </c>
      <c r="S7" s="229">
        <v>5</v>
      </c>
      <c r="Z7" s="229">
        <v>5</v>
      </c>
      <c r="AA7" s="4">
        <v>50</v>
      </c>
    </row>
    <row r="8" spans="1:27" x14ac:dyDescent="0.25">
      <c r="Z8" s="229">
        <v>6</v>
      </c>
      <c r="AA8" s="4">
        <v>75</v>
      </c>
    </row>
    <row r="9" spans="1:27" x14ac:dyDescent="0.25">
      <c r="Z9" s="229">
        <v>7</v>
      </c>
      <c r="AA9" s="4">
        <v>100</v>
      </c>
    </row>
    <row r="10" spans="1:27" x14ac:dyDescent="0.25">
      <c r="Z10" s="229">
        <v>8</v>
      </c>
      <c r="AA10" s="4">
        <v>200</v>
      </c>
    </row>
    <row r="11" spans="1:27" x14ac:dyDescent="0.25">
      <c r="Z11" s="229">
        <v>9</v>
      </c>
      <c r="AA11" s="4">
        <v>300</v>
      </c>
    </row>
    <row r="12" spans="1:27" x14ac:dyDescent="0.25">
      <c r="Z12" s="229">
        <v>10</v>
      </c>
      <c r="AA12" s="4">
        <v>600</v>
      </c>
    </row>
  </sheetData>
  <mergeCells count="4">
    <mergeCell ref="A1:B1"/>
    <mergeCell ref="D1:F1"/>
    <mergeCell ref="H1:Q1"/>
    <mergeCell ref="Z1:AA1"/>
  </mergeCells>
  <phoneticPr fontId="11" type="noConversion"/>
  <conditionalFormatting sqref="B2:B4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E2:E4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J2:J4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K2:P3 Q2:Q7 K4 L4:P7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conditionalFormatting sqref="T2:X2">
    <cfRule type="expression" dxfId="7" priority="5">
      <formula>$C2="Fire"</formula>
    </cfRule>
    <cfRule type="expression" dxfId="6" priority="6">
      <formula>$C2="Water"</formula>
    </cfRule>
    <cfRule type="expression" dxfId="5" priority="7">
      <formula>$C2="Electricity"</formula>
    </cfRule>
    <cfRule type="expression" dxfId="4" priority="8">
      <formula>$C2="Wood"</formula>
    </cfRule>
  </conditionalFormatting>
  <conditionalFormatting sqref="AA2">
    <cfRule type="expression" dxfId="3" priority="1">
      <formula>$C2="Fire"</formula>
    </cfRule>
    <cfRule type="expression" dxfId="2" priority="2">
      <formula>$C2="Water"</formula>
    </cfRule>
    <cfRule type="expression" dxfId="1" priority="3">
      <formula>$C2="Electricity"</formula>
    </cfRule>
    <cfRule type="expression" dxfId="0" priority="4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7" t="s">
        <v>17</v>
      </c>
      <c r="B1" s="226" t="s">
        <v>20</v>
      </c>
      <c r="C1" s="226" t="s">
        <v>239</v>
      </c>
    </row>
    <row r="2" spans="1:3" x14ac:dyDescent="0.25">
      <c r="A2" s="229">
        <v>1</v>
      </c>
      <c r="B2" s="4">
        <v>5</v>
      </c>
      <c r="C2" s="4">
        <f>B2*5</f>
        <v>25</v>
      </c>
    </row>
    <row r="3" spans="1:3" x14ac:dyDescent="0.25">
      <c r="A3" s="229">
        <v>2</v>
      </c>
      <c r="B3" s="4">
        <v>10</v>
      </c>
      <c r="C3" s="4">
        <f t="shared" ref="C3:C6" si="0">B3*5</f>
        <v>50</v>
      </c>
    </row>
    <row r="4" spans="1:3" x14ac:dyDescent="0.25">
      <c r="A4" s="229">
        <v>3</v>
      </c>
      <c r="B4" s="4">
        <v>20</v>
      </c>
      <c r="C4" s="4">
        <f t="shared" si="0"/>
        <v>100</v>
      </c>
    </row>
    <row r="5" spans="1:3" x14ac:dyDescent="0.25">
      <c r="A5" s="229">
        <v>4</v>
      </c>
      <c r="B5" s="4">
        <v>60</v>
      </c>
      <c r="C5" s="4">
        <f t="shared" si="0"/>
        <v>300</v>
      </c>
    </row>
    <row r="6" spans="1:3" x14ac:dyDescent="0.25">
      <c r="A6" s="229">
        <v>5</v>
      </c>
      <c r="B6" s="4">
        <v>100</v>
      </c>
      <c r="C6" s="4">
        <f t="shared" si="0"/>
        <v>500</v>
      </c>
    </row>
    <row r="7" spans="1:3" ht="15.75" thickBot="1" x14ac:dyDescent="0.3">
      <c r="A7" s="232" t="s">
        <v>239</v>
      </c>
      <c r="B7" s="233"/>
      <c r="C7" s="233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73" workbookViewId="0"/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90" t="s">
        <v>123</v>
      </c>
      <c r="L4" s="190" t="s">
        <v>124</v>
      </c>
      <c r="M4" s="190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91">
        <f>DATE(L3,1,1)</f>
        <v>46023</v>
      </c>
      <c r="L5" s="7" t="s">
        <v>126</v>
      </c>
      <c r="M5" s="192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91">
        <f>ROUND(DATE(L3, 4, MOD(234-11*MOD(L3, 19), 30))/7, 0)*7-6</f>
        <v>46117</v>
      </c>
      <c r="L6" s="7" t="s">
        <v>127</v>
      </c>
      <c r="M6" s="192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91">
        <f>K6+1</f>
        <v>46118</v>
      </c>
      <c r="L7" s="7" t="s">
        <v>128</v>
      </c>
      <c r="M7" s="192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91">
        <f>DATE(L3,5,1)</f>
        <v>46143</v>
      </c>
      <c r="L8" s="7" t="s">
        <v>129</v>
      </c>
      <c r="M8" s="192">
        <f t="shared" si="0"/>
        <v>1</v>
      </c>
      <c r="O8" s="1">
        <v>2029</v>
      </c>
    </row>
    <row r="9" spans="2:15" x14ac:dyDescent="0.2">
      <c r="K9" s="191">
        <f>DATE(L3,5,8)</f>
        <v>46150</v>
      </c>
      <c r="L9" s="7" t="s">
        <v>130</v>
      </c>
      <c r="M9" s="192">
        <f t="shared" si="0"/>
        <v>8</v>
      </c>
      <c r="O9" s="1">
        <v>2030</v>
      </c>
    </row>
    <row r="10" spans="2:15" x14ac:dyDescent="0.2">
      <c r="K10" s="191">
        <f>K6+39</f>
        <v>46156</v>
      </c>
      <c r="L10" s="7" t="s">
        <v>131</v>
      </c>
      <c r="M10" s="192">
        <f t="shared" si="0"/>
        <v>14</v>
      </c>
      <c r="O10" s="1">
        <v>2031</v>
      </c>
    </row>
    <row r="11" spans="2:15" x14ac:dyDescent="0.2">
      <c r="K11" s="191">
        <f>K6+50</f>
        <v>46167</v>
      </c>
      <c r="L11" s="7" t="s">
        <v>132</v>
      </c>
      <c r="M11" s="192">
        <f t="shared" si="0"/>
        <v>25</v>
      </c>
      <c r="O11" s="1">
        <v>2032</v>
      </c>
    </row>
    <row r="12" spans="2:15" x14ac:dyDescent="0.2">
      <c r="K12" s="191">
        <f>DATE(L3,7,14)</f>
        <v>46217</v>
      </c>
      <c r="L12" s="7" t="s">
        <v>133</v>
      </c>
      <c r="M12" s="192">
        <f t="shared" si="0"/>
        <v>14</v>
      </c>
      <c r="O12" s="1">
        <v>2033</v>
      </c>
    </row>
    <row r="13" spans="2:15" x14ac:dyDescent="0.2">
      <c r="K13" s="191">
        <f>DATE(L3,8,15)</f>
        <v>46249</v>
      </c>
      <c r="L13" s="7" t="s">
        <v>134</v>
      </c>
      <c r="M13" s="192">
        <f t="shared" si="0"/>
        <v>15</v>
      </c>
      <c r="O13" s="1">
        <v>2034</v>
      </c>
    </row>
    <row r="14" spans="2:15" x14ac:dyDescent="0.2">
      <c r="K14" s="191">
        <f>DATE(L3,11,1)</f>
        <v>46327</v>
      </c>
      <c r="L14" s="7" t="s">
        <v>135</v>
      </c>
      <c r="M14" s="192">
        <f t="shared" si="0"/>
        <v>1</v>
      </c>
    </row>
    <row r="15" spans="2:15" x14ac:dyDescent="0.2">
      <c r="K15" s="191">
        <f>DATE(L3,11,11)</f>
        <v>46337</v>
      </c>
      <c r="L15" s="7" t="s">
        <v>136</v>
      </c>
      <c r="M15" s="192">
        <f t="shared" si="0"/>
        <v>11</v>
      </c>
    </row>
    <row r="16" spans="2:15" x14ac:dyDescent="0.2">
      <c r="K16" s="191">
        <f>DATE(L3,12,25)</f>
        <v>46381</v>
      </c>
      <c r="L16" s="7" t="s">
        <v>137</v>
      </c>
      <c r="M16" s="192">
        <f t="shared" si="0"/>
        <v>25</v>
      </c>
    </row>
    <row r="28" spans="2:33" x14ac:dyDescent="0.2">
      <c r="B28" s="1" t="s">
        <v>122</v>
      </c>
      <c r="C28" s="189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7" t="str" cm="1">
        <f t="array" ref="B30:B41">_xlfn.MAKEARRAY(12,1,_xlfn.LAMBDA(_xlpm.r,_xlpm.c,PROPER(TEXT(DATE(2000,_xlpm.r,1),"mmmm"))))</f>
        <v>Janvier</v>
      </c>
      <c r="C30" s="188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8">
        <v>46024</v>
      </c>
      <c r="E30" s="188">
        <v>46025</v>
      </c>
      <c r="F30" s="188">
        <v>46026</v>
      </c>
      <c r="G30" s="188">
        <v>46027</v>
      </c>
      <c r="H30" s="188">
        <v>46028</v>
      </c>
      <c r="I30" s="188">
        <v>46029</v>
      </c>
      <c r="J30" s="188">
        <v>46030</v>
      </c>
      <c r="K30" s="188">
        <v>46031</v>
      </c>
      <c r="L30" s="188">
        <v>46032</v>
      </c>
      <c r="M30" s="188">
        <v>46033</v>
      </c>
      <c r="N30" s="188">
        <v>46034</v>
      </c>
      <c r="O30" s="188">
        <v>46035</v>
      </c>
      <c r="P30" s="188">
        <v>46036</v>
      </c>
      <c r="Q30" s="188">
        <v>46037</v>
      </c>
      <c r="R30" s="188">
        <v>46038</v>
      </c>
      <c r="S30" s="188">
        <v>46039</v>
      </c>
      <c r="T30" s="188">
        <v>46040</v>
      </c>
      <c r="U30" s="188">
        <v>46041</v>
      </c>
      <c r="V30" s="188">
        <v>46042</v>
      </c>
      <c r="W30" s="188">
        <v>46043</v>
      </c>
      <c r="X30" s="188">
        <v>46044</v>
      </c>
      <c r="Y30" s="188">
        <v>46045</v>
      </c>
      <c r="Z30" s="188">
        <v>46046</v>
      </c>
      <c r="AA30" s="188">
        <v>46047</v>
      </c>
      <c r="AB30" s="188">
        <v>46048</v>
      </c>
      <c r="AC30" s="188">
        <v>46049</v>
      </c>
      <c r="AD30" s="188">
        <v>46050</v>
      </c>
      <c r="AE30" s="188">
        <v>46051</v>
      </c>
      <c r="AF30" s="188">
        <v>46052</v>
      </c>
      <c r="AG30" s="188">
        <v>46053</v>
      </c>
    </row>
    <row r="31" spans="2:33" x14ac:dyDescent="0.2">
      <c r="B31" s="187" t="str">
        <v>Février</v>
      </c>
      <c r="C31" s="188">
        <v>46054</v>
      </c>
      <c r="D31" s="188">
        <v>46055</v>
      </c>
      <c r="E31" s="188">
        <v>46056</v>
      </c>
      <c r="F31" s="188">
        <v>46057</v>
      </c>
      <c r="G31" s="188">
        <v>46058</v>
      </c>
      <c r="H31" s="188">
        <v>46059</v>
      </c>
      <c r="I31" s="188">
        <v>46060</v>
      </c>
      <c r="J31" s="188">
        <v>46061</v>
      </c>
      <c r="K31" s="188">
        <v>46062</v>
      </c>
      <c r="L31" s="188">
        <v>46063</v>
      </c>
      <c r="M31" s="188">
        <v>46064</v>
      </c>
      <c r="N31" s="188">
        <v>46065</v>
      </c>
      <c r="O31" s="188">
        <v>46066</v>
      </c>
      <c r="P31" s="188">
        <v>46067</v>
      </c>
      <c r="Q31" s="188">
        <v>46068</v>
      </c>
      <c r="R31" s="188">
        <v>46069</v>
      </c>
      <c r="S31" s="188">
        <v>46070</v>
      </c>
      <c r="T31" s="188">
        <v>46071</v>
      </c>
      <c r="U31" s="188">
        <v>46072</v>
      </c>
      <c r="V31" s="188">
        <v>46073</v>
      </c>
      <c r="W31" s="188">
        <v>46074</v>
      </c>
      <c r="X31" s="188">
        <v>46075</v>
      </c>
      <c r="Y31" s="188">
        <v>46076</v>
      </c>
      <c r="Z31" s="188">
        <v>46077</v>
      </c>
      <c r="AA31" s="188">
        <v>46078</v>
      </c>
      <c r="AB31" s="188">
        <v>46079</v>
      </c>
      <c r="AC31" s="188">
        <v>46080</v>
      </c>
      <c r="AD31" s="188">
        <v>46081</v>
      </c>
      <c r="AE31" s="188" t="str">
        <v>-</v>
      </c>
      <c r="AF31" s="188" t="str">
        <v>-</v>
      </c>
      <c r="AG31" s="188" t="str">
        <v>-</v>
      </c>
    </row>
    <row r="32" spans="2:33" x14ac:dyDescent="0.2">
      <c r="B32" s="187" t="str">
        <v>Mars</v>
      </c>
      <c r="C32" s="188">
        <v>46082</v>
      </c>
      <c r="D32" s="188">
        <v>46083</v>
      </c>
      <c r="E32" s="188">
        <v>46084</v>
      </c>
      <c r="F32" s="188">
        <v>46085</v>
      </c>
      <c r="G32" s="188">
        <v>46086</v>
      </c>
      <c r="H32" s="188">
        <v>46087</v>
      </c>
      <c r="I32" s="188">
        <v>46088</v>
      </c>
      <c r="J32" s="188">
        <v>46089</v>
      </c>
      <c r="K32" s="188">
        <v>46090</v>
      </c>
      <c r="L32" s="188">
        <v>46091</v>
      </c>
      <c r="M32" s="188">
        <v>46092</v>
      </c>
      <c r="N32" s="188">
        <v>46093</v>
      </c>
      <c r="O32" s="188">
        <v>46094</v>
      </c>
      <c r="P32" s="188">
        <v>46095</v>
      </c>
      <c r="Q32" s="188">
        <v>46096</v>
      </c>
      <c r="R32" s="188">
        <v>46097</v>
      </c>
      <c r="S32" s="188">
        <v>46098</v>
      </c>
      <c r="T32" s="188">
        <v>46099</v>
      </c>
      <c r="U32" s="188">
        <v>46100</v>
      </c>
      <c r="V32" s="188">
        <v>46101</v>
      </c>
      <c r="W32" s="188">
        <v>46102</v>
      </c>
      <c r="X32" s="188">
        <v>46103</v>
      </c>
      <c r="Y32" s="188">
        <v>46104</v>
      </c>
      <c r="Z32" s="188">
        <v>46105</v>
      </c>
      <c r="AA32" s="188">
        <v>46106</v>
      </c>
      <c r="AB32" s="188">
        <v>46107</v>
      </c>
      <c r="AC32" s="188">
        <v>46108</v>
      </c>
      <c r="AD32" s="188">
        <v>46109</v>
      </c>
      <c r="AE32" s="188">
        <v>46110</v>
      </c>
      <c r="AF32" s="188">
        <v>46111</v>
      </c>
      <c r="AG32" s="188">
        <v>46112</v>
      </c>
    </row>
    <row r="33" spans="2:33" x14ac:dyDescent="0.2">
      <c r="B33" s="187" t="str">
        <v>Avril</v>
      </c>
      <c r="C33" s="188">
        <v>46113</v>
      </c>
      <c r="D33" s="188">
        <v>46114</v>
      </c>
      <c r="E33" s="188">
        <v>46115</v>
      </c>
      <c r="F33" s="188">
        <v>46116</v>
      </c>
      <c r="G33" s="188">
        <v>46117</v>
      </c>
      <c r="H33" s="188">
        <v>46118</v>
      </c>
      <c r="I33" s="188">
        <v>46119</v>
      </c>
      <c r="J33" s="188">
        <v>46120</v>
      </c>
      <c r="K33" s="188">
        <v>46121</v>
      </c>
      <c r="L33" s="188">
        <v>46122</v>
      </c>
      <c r="M33" s="188">
        <v>46123</v>
      </c>
      <c r="N33" s="188">
        <v>46124</v>
      </c>
      <c r="O33" s="188">
        <v>46125</v>
      </c>
      <c r="P33" s="188">
        <v>46126</v>
      </c>
      <c r="Q33" s="188">
        <v>46127</v>
      </c>
      <c r="R33" s="188">
        <v>46128</v>
      </c>
      <c r="S33" s="188">
        <v>46129</v>
      </c>
      <c r="T33" s="188">
        <v>46130</v>
      </c>
      <c r="U33" s="188">
        <v>46131</v>
      </c>
      <c r="V33" s="188">
        <v>46132</v>
      </c>
      <c r="W33" s="188">
        <v>46133</v>
      </c>
      <c r="X33" s="188">
        <v>46134</v>
      </c>
      <c r="Y33" s="188">
        <v>46135</v>
      </c>
      <c r="Z33" s="188">
        <v>46136</v>
      </c>
      <c r="AA33" s="188">
        <v>46137</v>
      </c>
      <c r="AB33" s="188">
        <v>46138</v>
      </c>
      <c r="AC33" s="188">
        <v>46139</v>
      </c>
      <c r="AD33" s="188">
        <v>46140</v>
      </c>
      <c r="AE33" s="188">
        <v>46141</v>
      </c>
      <c r="AF33" s="188">
        <v>46142</v>
      </c>
      <c r="AG33" s="188" t="str">
        <v>-</v>
      </c>
    </row>
    <row r="34" spans="2:33" x14ac:dyDescent="0.2">
      <c r="B34" s="187" t="str">
        <v>Mai</v>
      </c>
      <c r="C34" s="188">
        <v>46143</v>
      </c>
      <c r="D34" s="188">
        <v>46144</v>
      </c>
      <c r="E34" s="188">
        <v>46145</v>
      </c>
      <c r="F34" s="188">
        <v>46146</v>
      </c>
      <c r="G34" s="188">
        <v>46147</v>
      </c>
      <c r="H34" s="188">
        <v>46148</v>
      </c>
      <c r="I34" s="188">
        <v>46149</v>
      </c>
      <c r="J34" s="188">
        <v>46150</v>
      </c>
      <c r="K34" s="188">
        <v>46151</v>
      </c>
      <c r="L34" s="188">
        <v>46152</v>
      </c>
      <c r="M34" s="188">
        <v>46153</v>
      </c>
      <c r="N34" s="188">
        <v>46154</v>
      </c>
      <c r="O34" s="188">
        <v>46155</v>
      </c>
      <c r="P34" s="188">
        <v>46156</v>
      </c>
      <c r="Q34" s="188">
        <v>46157</v>
      </c>
      <c r="R34" s="188">
        <v>46158</v>
      </c>
      <c r="S34" s="188">
        <v>46159</v>
      </c>
      <c r="T34" s="188">
        <v>46160</v>
      </c>
      <c r="U34" s="188">
        <v>46161</v>
      </c>
      <c r="V34" s="188">
        <v>46162</v>
      </c>
      <c r="W34" s="188">
        <v>46163</v>
      </c>
      <c r="X34" s="188">
        <v>46164</v>
      </c>
      <c r="Y34" s="188">
        <v>46165</v>
      </c>
      <c r="Z34" s="188">
        <v>46166</v>
      </c>
      <c r="AA34" s="188">
        <v>46167</v>
      </c>
      <c r="AB34" s="188">
        <v>46168</v>
      </c>
      <c r="AC34" s="188">
        <v>46169</v>
      </c>
      <c r="AD34" s="188">
        <v>46170</v>
      </c>
      <c r="AE34" s="188">
        <v>46171</v>
      </c>
      <c r="AF34" s="188">
        <v>46172</v>
      </c>
      <c r="AG34" s="188">
        <v>46173</v>
      </c>
    </row>
    <row r="35" spans="2:33" x14ac:dyDescent="0.2">
      <c r="B35" s="187" t="str">
        <v>Juin</v>
      </c>
      <c r="C35" s="188">
        <v>46174</v>
      </c>
      <c r="D35" s="188">
        <v>46175</v>
      </c>
      <c r="E35" s="188">
        <v>46176</v>
      </c>
      <c r="F35" s="188">
        <v>46177</v>
      </c>
      <c r="G35" s="188">
        <v>46178</v>
      </c>
      <c r="H35" s="188">
        <v>46179</v>
      </c>
      <c r="I35" s="188">
        <v>46180</v>
      </c>
      <c r="J35" s="188">
        <v>46181</v>
      </c>
      <c r="K35" s="188">
        <v>46182</v>
      </c>
      <c r="L35" s="188">
        <v>46183</v>
      </c>
      <c r="M35" s="188">
        <v>46184</v>
      </c>
      <c r="N35" s="188">
        <v>46185</v>
      </c>
      <c r="O35" s="188">
        <v>46186</v>
      </c>
      <c r="P35" s="188">
        <v>46187</v>
      </c>
      <c r="Q35" s="188">
        <v>46188</v>
      </c>
      <c r="R35" s="188">
        <v>46189</v>
      </c>
      <c r="S35" s="188">
        <v>46190</v>
      </c>
      <c r="T35" s="188">
        <v>46191</v>
      </c>
      <c r="U35" s="188">
        <v>46192</v>
      </c>
      <c r="V35" s="188">
        <v>46193</v>
      </c>
      <c r="W35" s="188">
        <v>46194</v>
      </c>
      <c r="X35" s="188">
        <v>46195</v>
      </c>
      <c r="Y35" s="188">
        <v>46196</v>
      </c>
      <c r="Z35" s="188">
        <v>46197</v>
      </c>
      <c r="AA35" s="188">
        <v>46198</v>
      </c>
      <c r="AB35" s="188">
        <v>46199</v>
      </c>
      <c r="AC35" s="188">
        <v>46200</v>
      </c>
      <c r="AD35" s="188">
        <v>46201</v>
      </c>
      <c r="AE35" s="188">
        <v>46202</v>
      </c>
      <c r="AF35" s="188">
        <v>46203</v>
      </c>
      <c r="AG35" s="188" t="str">
        <v>-</v>
      </c>
    </row>
    <row r="36" spans="2:33" x14ac:dyDescent="0.2">
      <c r="B36" s="187" t="str">
        <v>Juillet</v>
      </c>
      <c r="C36" s="188">
        <v>46204</v>
      </c>
      <c r="D36" s="188">
        <v>46205</v>
      </c>
      <c r="E36" s="188">
        <v>46206</v>
      </c>
      <c r="F36" s="188">
        <v>46207</v>
      </c>
      <c r="G36" s="188">
        <v>46208</v>
      </c>
      <c r="H36" s="188">
        <v>46209</v>
      </c>
      <c r="I36" s="188">
        <v>46210</v>
      </c>
      <c r="J36" s="188">
        <v>46211</v>
      </c>
      <c r="K36" s="188">
        <v>46212</v>
      </c>
      <c r="L36" s="188">
        <v>46213</v>
      </c>
      <c r="M36" s="188">
        <v>46214</v>
      </c>
      <c r="N36" s="188">
        <v>46215</v>
      </c>
      <c r="O36" s="188">
        <v>46216</v>
      </c>
      <c r="P36" s="188">
        <v>46217</v>
      </c>
      <c r="Q36" s="188">
        <v>46218</v>
      </c>
      <c r="R36" s="188">
        <v>46219</v>
      </c>
      <c r="S36" s="188">
        <v>46220</v>
      </c>
      <c r="T36" s="188">
        <v>46221</v>
      </c>
      <c r="U36" s="188">
        <v>46222</v>
      </c>
      <c r="V36" s="188">
        <v>46223</v>
      </c>
      <c r="W36" s="188">
        <v>46224</v>
      </c>
      <c r="X36" s="188">
        <v>46225</v>
      </c>
      <c r="Y36" s="188">
        <v>46226</v>
      </c>
      <c r="Z36" s="188">
        <v>46227</v>
      </c>
      <c r="AA36" s="188">
        <v>46228</v>
      </c>
      <c r="AB36" s="188">
        <v>46229</v>
      </c>
      <c r="AC36" s="188">
        <v>46230</v>
      </c>
      <c r="AD36" s="188">
        <v>46231</v>
      </c>
      <c r="AE36" s="188">
        <v>46232</v>
      </c>
      <c r="AF36" s="188">
        <v>46233</v>
      </c>
      <c r="AG36" s="188">
        <v>46234</v>
      </c>
    </row>
    <row r="37" spans="2:33" x14ac:dyDescent="0.2">
      <c r="B37" s="187" t="str">
        <v>Août</v>
      </c>
      <c r="C37" s="188">
        <v>46235</v>
      </c>
      <c r="D37" s="188">
        <v>46236</v>
      </c>
      <c r="E37" s="188">
        <v>46237</v>
      </c>
      <c r="F37" s="188">
        <v>46238</v>
      </c>
      <c r="G37" s="188">
        <v>46239</v>
      </c>
      <c r="H37" s="188">
        <v>46240</v>
      </c>
      <c r="I37" s="188">
        <v>46241</v>
      </c>
      <c r="J37" s="188">
        <v>46242</v>
      </c>
      <c r="K37" s="188">
        <v>46243</v>
      </c>
      <c r="L37" s="188">
        <v>46244</v>
      </c>
      <c r="M37" s="188">
        <v>46245</v>
      </c>
      <c r="N37" s="188">
        <v>46246</v>
      </c>
      <c r="O37" s="188">
        <v>46247</v>
      </c>
      <c r="P37" s="188">
        <v>46248</v>
      </c>
      <c r="Q37" s="188">
        <v>46249</v>
      </c>
      <c r="R37" s="188">
        <v>46250</v>
      </c>
      <c r="S37" s="188">
        <v>46251</v>
      </c>
      <c r="T37" s="188">
        <v>46252</v>
      </c>
      <c r="U37" s="188">
        <v>46253</v>
      </c>
      <c r="V37" s="188">
        <v>46254</v>
      </c>
      <c r="W37" s="188">
        <v>46255</v>
      </c>
      <c r="X37" s="188">
        <v>46256</v>
      </c>
      <c r="Y37" s="188">
        <v>46257</v>
      </c>
      <c r="Z37" s="188">
        <v>46258</v>
      </c>
      <c r="AA37" s="188">
        <v>46259</v>
      </c>
      <c r="AB37" s="188">
        <v>46260</v>
      </c>
      <c r="AC37" s="188">
        <v>46261</v>
      </c>
      <c r="AD37" s="188">
        <v>46262</v>
      </c>
      <c r="AE37" s="188">
        <v>46263</v>
      </c>
      <c r="AF37" s="188">
        <v>46264</v>
      </c>
      <c r="AG37" s="188">
        <v>46265</v>
      </c>
    </row>
    <row r="38" spans="2:33" x14ac:dyDescent="0.2">
      <c r="B38" s="187" t="str">
        <v>Septembre</v>
      </c>
      <c r="C38" s="188">
        <v>46266</v>
      </c>
      <c r="D38" s="188">
        <v>46267</v>
      </c>
      <c r="E38" s="188">
        <v>46268</v>
      </c>
      <c r="F38" s="188">
        <v>46269</v>
      </c>
      <c r="G38" s="188">
        <v>46270</v>
      </c>
      <c r="H38" s="188">
        <v>46271</v>
      </c>
      <c r="I38" s="188">
        <v>46272</v>
      </c>
      <c r="J38" s="188">
        <v>46273</v>
      </c>
      <c r="K38" s="188">
        <v>46274</v>
      </c>
      <c r="L38" s="188">
        <v>46275</v>
      </c>
      <c r="M38" s="188">
        <v>46276</v>
      </c>
      <c r="N38" s="188">
        <v>46277</v>
      </c>
      <c r="O38" s="188">
        <v>46278</v>
      </c>
      <c r="P38" s="188">
        <v>46279</v>
      </c>
      <c r="Q38" s="188">
        <v>46280</v>
      </c>
      <c r="R38" s="188">
        <v>46281</v>
      </c>
      <c r="S38" s="188">
        <v>46282</v>
      </c>
      <c r="T38" s="188">
        <v>46283</v>
      </c>
      <c r="U38" s="188">
        <v>46284</v>
      </c>
      <c r="V38" s="188">
        <v>46285</v>
      </c>
      <c r="W38" s="188">
        <v>46286</v>
      </c>
      <c r="X38" s="188">
        <v>46287</v>
      </c>
      <c r="Y38" s="188">
        <v>46288</v>
      </c>
      <c r="Z38" s="188">
        <v>46289</v>
      </c>
      <c r="AA38" s="188">
        <v>46290</v>
      </c>
      <c r="AB38" s="188">
        <v>46291</v>
      </c>
      <c r="AC38" s="188">
        <v>46292</v>
      </c>
      <c r="AD38" s="188">
        <v>46293</v>
      </c>
      <c r="AE38" s="188">
        <v>46294</v>
      </c>
      <c r="AF38" s="188">
        <v>46295</v>
      </c>
      <c r="AG38" s="188" t="str">
        <v>-</v>
      </c>
    </row>
    <row r="39" spans="2:33" x14ac:dyDescent="0.2">
      <c r="B39" s="187" t="str">
        <v>Octobre</v>
      </c>
      <c r="C39" s="188">
        <v>46296</v>
      </c>
      <c r="D39" s="188">
        <v>46297</v>
      </c>
      <c r="E39" s="188">
        <v>46298</v>
      </c>
      <c r="F39" s="188">
        <v>46299</v>
      </c>
      <c r="G39" s="188">
        <v>46300</v>
      </c>
      <c r="H39" s="188">
        <v>46301</v>
      </c>
      <c r="I39" s="188">
        <v>46302</v>
      </c>
      <c r="J39" s="188">
        <v>46303</v>
      </c>
      <c r="K39" s="188">
        <v>46304</v>
      </c>
      <c r="L39" s="188">
        <v>46305</v>
      </c>
      <c r="M39" s="188">
        <v>46306</v>
      </c>
      <c r="N39" s="188">
        <v>46307</v>
      </c>
      <c r="O39" s="188">
        <v>46308</v>
      </c>
      <c r="P39" s="188">
        <v>46309</v>
      </c>
      <c r="Q39" s="188">
        <v>46310</v>
      </c>
      <c r="R39" s="188">
        <v>46311</v>
      </c>
      <c r="S39" s="188">
        <v>46312</v>
      </c>
      <c r="T39" s="188">
        <v>46313</v>
      </c>
      <c r="U39" s="188">
        <v>46314</v>
      </c>
      <c r="V39" s="188">
        <v>46315</v>
      </c>
      <c r="W39" s="188">
        <v>46316</v>
      </c>
      <c r="X39" s="188">
        <v>46317</v>
      </c>
      <c r="Y39" s="188">
        <v>46318</v>
      </c>
      <c r="Z39" s="188">
        <v>46319</v>
      </c>
      <c r="AA39" s="188">
        <v>46320</v>
      </c>
      <c r="AB39" s="188">
        <v>46321</v>
      </c>
      <c r="AC39" s="188">
        <v>46322</v>
      </c>
      <c r="AD39" s="188">
        <v>46323</v>
      </c>
      <c r="AE39" s="188">
        <v>46324</v>
      </c>
      <c r="AF39" s="188">
        <v>46325</v>
      </c>
      <c r="AG39" s="188">
        <v>46326</v>
      </c>
    </row>
    <row r="40" spans="2:33" x14ac:dyDescent="0.2">
      <c r="B40" s="187" t="str">
        <v>Novembre</v>
      </c>
      <c r="C40" s="188">
        <v>46327</v>
      </c>
      <c r="D40" s="188">
        <v>46328</v>
      </c>
      <c r="E40" s="188">
        <v>46329</v>
      </c>
      <c r="F40" s="188">
        <v>46330</v>
      </c>
      <c r="G40" s="188">
        <v>46331</v>
      </c>
      <c r="H40" s="188">
        <v>46332</v>
      </c>
      <c r="I40" s="188">
        <v>46333</v>
      </c>
      <c r="J40" s="188">
        <v>46334</v>
      </c>
      <c r="K40" s="188">
        <v>46335</v>
      </c>
      <c r="L40" s="188">
        <v>46336</v>
      </c>
      <c r="M40" s="188">
        <v>46337</v>
      </c>
      <c r="N40" s="188">
        <v>46338</v>
      </c>
      <c r="O40" s="188">
        <v>46339</v>
      </c>
      <c r="P40" s="188">
        <v>46340</v>
      </c>
      <c r="Q40" s="188">
        <v>46341</v>
      </c>
      <c r="R40" s="188">
        <v>46342</v>
      </c>
      <c r="S40" s="188">
        <v>46343</v>
      </c>
      <c r="T40" s="188">
        <v>46344</v>
      </c>
      <c r="U40" s="188">
        <v>46345</v>
      </c>
      <c r="V40" s="188">
        <v>46346</v>
      </c>
      <c r="W40" s="188">
        <v>46347</v>
      </c>
      <c r="X40" s="188">
        <v>46348</v>
      </c>
      <c r="Y40" s="188">
        <v>46349</v>
      </c>
      <c r="Z40" s="188">
        <v>46350</v>
      </c>
      <c r="AA40" s="188">
        <v>46351</v>
      </c>
      <c r="AB40" s="188">
        <v>46352</v>
      </c>
      <c r="AC40" s="188">
        <v>46353</v>
      </c>
      <c r="AD40" s="188">
        <v>46354</v>
      </c>
      <c r="AE40" s="188">
        <v>46355</v>
      </c>
      <c r="AF40" s="188">
        <v>46356</v>
      </c>
      <c r="AG40" s="188" t="str">
        <v>-</v>
      </c>
    </row>
    <row r="41" spans="2:33" x14ac:dyDescent="0.2">
      <c r="B41" s="187" t="str">
        <v>Décembre</v>
      </c>
      <c r="C41" s="188">
        <v>46357</v>
      </c>
      <c r="D41" s="188">
        <v>46358</v>
      </c>
      <c r="E41" s="188">
        <v>46359</v>
      </c>
      <c r="F41" s="188">
        <v>46360</v>
      </c>
      <c r="G41" s="188">
        <v>46361</v>
      </c>
      <c r="H41" s="188">
        <v>46362</v>
      </c>
      <c r="I41" s="188">
        <v>46363</v>
      </c>
      <c r="J41" s="188">
        <v>46364</v>
      </c>
      <c r="K41" s="188">
        <v>46365</v>
      </c>
      <c r="L41" s="188">
        <v>46366</v>
      </c>
      <c r="M41" s="188">
        <v>46367</v>
      </c>
      <c r="N41" s="188">
        <v>46368</v>
      </c>
      <c r="O41" s="188">
        <v>46369</v>
      </c>
      <c r="P41" s="188">
        <v>46370</v>
      </c>
      <c r="Q41" s="188">
        <v>46371</v>
      </c>
      <c r="R41" s="188">
        <v>46372</v>
      </c>
      <c r="S41" s="188">
        <v>46373</v>
      </c>
      <c r="T41" s="188">
        <v>46374</v>
      </c>
      <c r="U41" s="188">
        <v>46375</v>
      </c>
      <c r="V41" s="188">
        <v>46376</v>
      </c>
      <c r="W41" s="188">
        <v>46377</v>
      </c>
      <c r="X41" s="188">
        <v>46378</v>
      </c>
      <c r="Y41" s="188">
        <v>46379</v>
      </c>
      <c r="Z41" s="188">
        <v>46380</v>
      </c>
      <c r="AA41" s="188">
        <v>46381</v>
      </c>
      <c r="AB41" s="188">
        <v>46382</v>
      </c>
      <c r="AC41" s="188">
        <v>46383</v>
      </c>
      <c r="AD41" s="188">
        <v>46384</v>
      </c>
      <c r="AE41" s="188">
        <v>46385</v>
      </c>
      <c r="AF41" s="188">
        <v>46386</v>
      </c>
      <c r="AG41" s="188">
        <v>46387</v>
      </c>
    </row>
    <row r="42" spans="2:33" x14ac:dyDescent="0.2"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</row>
    <row r="43" spans="2:33" x14ac:dyDescent="0.2"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7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7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7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7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7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7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7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7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7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7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7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7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3">
        <f>DATE($B$74,ROW()-74,C$74)</f>
        <v>46023</v>
      </c>
      <c r="D75" s="193">
        <f t="shared" ref="D75:AG83" si="1">DATE($B$74,ROW()-74,D$74)</f>
        <v>46024</v>
      </c>
      <c r="E75" s="193">
        <f t="shared" si="1"/>
        <v>46025</v>
      </c>
      <c r="F75" s="193">
        <f t="shared" si="1"/>
        <v>46026</v>
      </c>
      <c r="G75" s="193">
        <f t="shared" si="1"/>
        <v>46027</v>
      </c>
      <c r="H75" s="193">
        <f t="shared" si="1"/>
        <v>46028</v>
      </c>
      <c r="I75" s="193">
        <f t="shared" si="1"/>
        <v>46029</v>
      </c>
      <c r="J75" s="193">
        <f t="shared" si="1"/>
        <v>46030</v>
      </c>
      <c r="K75" s="193">
        <f t="shared" si="1"/>
        <v>46031</v>
      </c>
      <c r="L75" s="193">
        <f t="shared" si="1"/>
        <v>46032</v>
      </c>
      <c r="M75" s="193">
        <f t="shared" si="1"/>
        <v>46033</v>
      </c>
      <c r="N75" s="193">
        <f t="shared" si="1"/>
        <v>46034</v>
      </c>
      <c r="O75" s="193">
        <f t="shared" si="1"/>
        <v>46035</v>
      </c>
      <c r="P75" s="193">
        <f t="shared" si="1"/>
        <v>46036</v>
      </c>
      <c r="Q75" s="193">
        <f t="shared" si="1"/>
        <v>46037</v>
      </c>
      <c r="R75" s="193">
        <f t="shared" si="1"/>
        <v>46038</v>
      </c>
      <c r="S75" s="193">
        <f t="shared" si="1"/>
        <v>46039</v>
      </c>
      <c r="T75" s="193">
        <f t="shared" si="1"/>
        <v>46040</v>
      </c>
      <c r="U75" s="193">
        <f t="shared" si="1"/>
        <v>46041</v>
      </c>
      <c r="V75" s="193">
        <f t="shared" si="1"/>
        <v>46042</v>
      </c>
      <c r="W75" s="193">
        <f t="shared" si="1"/>
        <v>46043</v>
      </c>
      <c r="X75" s="193">
        <f t="shared" si="1"/>
        <v>46044</v>
      </c>
      <c r="Y75" s="193">
        <f t="shared" si="1"/>
        <v>46045</v>
      </c>
      <c r="Z75" s="193">
        <f t="shared" si="1"/>
        <v>46046</v>
      </c>
      <c r="AA75" s="193">
        <f t="shared" si="1"/>
        <v>46047</v>
      </c>
      <c r="AB75" s="193">
        <f t="shared" si="1"/>
        <v>46048</v>
      </c>
      <c r="AC75" s="193">
        <f t="shared" si="1"/>
        <v>46049</v>
      </c>
      <c r="AD75" s="193">
        <f t="shared" si="1"/>
        <v>46050</v>
      </c>
      <c r="AE75" s="193">
        <f t="shared" si="1"/>
        <v>46051</v>
      </c>
      <c r="AF75" s="193">
        <f t="shared" si="1"/>
        <v>46052</v>
      </c>
      <c r="AG75" s="193">
        <f t="shared" si="1"/>
        <v>46053</v>
      </c>
    </row>
    <row r="76" spans="2:33" x14ac:dyDescent="0.2">
      <c r="B76" s="1" t="str">
        <v>Février</v>
      </c>
      <c r="C76" s="193">
        <f t="shared" ref="C76:R86" si="2">DATE($B$74,ROW()-74,C$74)</f>
        <v>46054</v>
      </c>
      <c r="D76" s="193">
        <f t="shared" si="1"/>
        <v>46055</v>
      </c>
      <c r="E76" s="193">
        <f t="shared" si="1"/>
        <v>46056</v>
      </c>
      <c r="F76" s="193">
        <f t="shared" si="1"/>
        <v>46057</v>
      </c>
      <c r="G76" s="193">
        <f t="shared" si="1"/>
        <v>46058</v>
      </c>
      <c r="H76" s="193">
        <f t="shared" si="1"/>
        <v>46059</v>
      </c>
      <c r="I76" s="193">
        <f t="shared" si="1"/>
        <v>46060</v>
      </c>
      <c r="J76" s="193">
        <f t="shared" si="1"/>
        <v>46061</v>
      </c>
      <c r="K76" s="193">
        <f t="shared" si="1"/>
        <v>46062</v>
      </c>
      <c r="L76" s="193">
        <f t="shared" si="1"/>
        <v>46063</v>
      </c>
      <c r="M76" s="193">
        <f t="shared" si="1"/>
        <v>46064</v>
      </c>
      <c r="N76" s="193">
        <f t="shared" si="1"/>
        <v>46065</v>
      </c>
      <c r="O76" s="193">
        <f t="shared" si="1"/>
        <v>46066</v>
      </c>
      <c r="P76" s="193">
        <f t="shared" si="1"/>
        <v>46067</v>
      </c>
      <c r="Q76" s="193">
        <f t="shared" si="1"/>
        <v>46068</v>
      </c>
      <c r="R76" s="193">
        <f t="shared" si="1"/>
        <v>46069</v>
      </c>
      <c r="S76" s="193">
        <f t="shared" si="1"/>
        <v>46070</v>
      </c>
      <c r="T76" s="193">
        <f t="shared" si="1"/>
        <v>46071</v>
      </c>
      <c r="U76" s="193">
        <f t="shared" si="1"/>
        <v>46072</v>
      </c>
      <c r="V76" s="193">
        <f t="shared" si="1"/>
        <v>46073</v>
      </c>
      <c r="W76" s="193">
        <f t="shared" si="1"/>
        <v>46074</v>
      </c>
      <c r="X76" s="193">
        <f t="shared" si="1"/>
        <v>46075</v>
      </c>
      <c r="Y76" s="193">
        <f t="shared" si="1"/>
        <v>46076</v>
      </c>
      <c r="Z76" s="193">
        <f t="shared" si="1"/>
        <v>46077</v>
      </c>
      <c r="AA76" s="193">
        <f t="shared" si="1"/>
        <v>46078</v>
      </c>
      <c r="AB76" s="193">
        <f t="shared" si="1"/>
        <v>46079</v>
      </c>
      <c r="AC76" s="193">
        <f t="shared" si="1"/>
        <v>46080</v>
      </c>
      <c r="AD76" s="193">
        <f t="shared" si="1"/>
        <v>46081</v>
      </c>
      <c r="AE76" s="193">
        <f t="shared" si="1"/>
        <v>46082</v>
      </c>
      <c r="AF76" s="193">
        <f t="shared" si="1"/>
        <v>46083</v>
      </c>
      <c r="AG76" s="193">
        <f t="shared" si="1"/>
        <v>46084</v>
      </c>
    </row>
    <row r="77" spans="2:33" x14ac:dyDescent="0.2">
      <c r="B77" s="1" t="str">
        <v>Mars</v>
      </c>
      <c r="C77" s="193">
        <f t="shared" si="2"/>
        <v>46082</v>
      </c>
      <c r="D77" s="193">
        <f t="shared" si="1"/>
        <v>46083</v>
      </c>
      <c r="E77" s="193">
        <f t="shared" si="1"/>
        <v>46084</v>
      </c>
      <c r="F77" s="193">
        <f t="shared" si="1"/>
        <v>46085</v>
      </c>
      <c r="G77" s="193">
        <f t="shared" si="1"/>
        <v>46086</v>
      </c>
      <c r="H77" s="193">
        <f t="shared" si="1"/>
        <v>46087</v>
      </c>
      <c r="I77" s="193">
        <f t="shared" si="1"/>
        <v>46088</v>
      </c>
      <c r="J77" s="193">
        <f t="shared" si="1"/>
        <v>46089</v>
      </c>
      <c r="K77" s="193">
        <f t="shared" si="1"/>
        <v>46090</v>
      </c>
      <c r="L77" s="193">
        <f t="shared" si="1"/>
        <v>46091</v>
      </c>
      <c r="M77" s="193">
        <f t="shared" si="1"/>
        <v>46092</v>
      </c>
      <c r="N77" s="193">
        <f t="shared" si="1"/>
        <v>46093</v>
      </c>
      <c r="O77" s="193">
        <f t="shared" si="1"/>
        <v>46094</v>
      </c>
      <c r="P77" s="193">
        <f t="shared" si="1"/>
        <v>46095</v>
      </c>
      <c r="Q77" s="193">
        <f t="shared" si="1"/>
        <v>46096</v>
      </c>
      <c r="R77" s="193">
        <f t="shared" si="1"/>
        <v>46097</v>
      </c>
      <c r="S77" s="193">
        <f t="shared" si="1"/>
        <v>46098</v>
      </c>
      <c r="T77" s="193">
        <f t="shared" si="1"/>
        <v>46099</v>
      </c>
      <c r="U77" s="193">
        <f t="shared" si="1"/>
        <v>46100</v>
      </c>
      <c r="V77" s="193">
        <f t="shared" si="1"/>
        <v>46101</v>
      </c>
      <c r="W77" s="193">
        <f t="shared" si="1"/>
        <v>46102</v>
      </c>
      <c r="X77" s="193">
        <f t="shared" si="1"/>
        <v>46103</v>
      </c>
      <c r="Y77" s="193">
        <f t="shared" si="1"/>
        <v>46104</v>
      </c>
      <c r="Z77" s="193">
        <f t="shared" si="1"/>
        <v>46105</v>
      </c>
      <c r="AA77" s="193">
        <f t="shared" si="1"/>
        <v>46106</v>
      </c>
      <c r="AB77" s="193">
        <f t="shared" si="1"/>
        <v>46107</v>
      </c>
      <c r="AC77" s="193">
        <f t="shared" si="1"/>
        <v>46108</v>
      </c>
      <c r="AD77" s="193">
        <f t="shared" si="1"/>
        <v>46109</v>
      </c>
      <c r="AE77" s="193">
        <f t="shared" si="1"/>
        <v>46110</v>
      </c>
      <c r="AF77" s="193">
        <f t="shared" si="1"/>
        <v>46111</v>
      </c>
      <c r="AG77" s="193">
        <f t="shared" si="1"/>
        <v>46112</v>
      </c>
    </row>
    <row r="78" spans="2:33" x14ac:dyDescent="0.2">
      <c r="B78" s="1" t="str">
        <v>Avril</v>
      </c>
      <c r="C78" s="193">
        <f t="shared" si="2"/>
        <v>46113</v>
      </c>
      <c r="D78" s="193">
        <f t="shared" si="1"/>
        <v>46114</v>
      </c>
      <c r="E78" s="193">
        <f t="shared" si="1"/>
        <v>46115</v>
      </c>
      <c r="F78" s="193">
        <f t="shared" si="1"/>
        <v>46116</v>
      </c>
      <c r="G78" s="193">
        <f t="shared" si="1"/>
        <v>46117</v>
      </c>
      <c r="H78" s="193">
        <f t="shared" si="1"/>
        <v>46118</v>
      </c>
      <c r="I78" s="193">
        <f t="shared" si="1"/>
        <v>46119</v>
      </c>
      <c r="J78" s="193">
        <f t="shared" si="1"/>
        <v>46120</v>
      </c>
      <c r="K78" s="193">
        <f t="shared" si="1"/>
        <v>46121</v>
      </c>
      <c r="L78" s="193">
        <f t="shared" si="1"/>
        <v>46122</v>
      </c>
      <c r="M78" s="193">
        <f t="shared" si="1"/>
        <v>46123</v>
      </c>
      <c r="N78" s="193">
        <f t="shared" si="1"/>
        <v>46124</v>
      </c>
      <c r="O78" s="193">
        <f t="shared" si="1"/>
        <v>46125</v>
      </c>
      <c r="P78" s="193">
        <f t="shared" si="1"/>
        <v>46126</v>
      </c>
      <c r="Q78" s="193">
        <f t="shared" si="1"/>
        <v>46127</v>
      </c>
      <c r="R78" s="193">
        <f t="shared" si="1"/>
        <v>46128</v>
      </c>
      <c r="S78" s="193">
        <f t="shared" si="1"/>
        <v>46129</v>
      </c>
      <c r="T78" s="193">
        <f t="shared" si="1"/>
        <v>46130</v>
      </c>
      <c r="U78" s="193">
        <f t="shared" si="1"/>
        <v>46131</v>
      </c>
      <c r="V78" s="193">
        <f t="shared" si="1"/>
        <v>46132</v>
      </c>
      <c r="W78" s="193">
        <f t="shared" si="1"/>
        <v>46133</v>
      </c>
      <c r="X78" s="193">
        <f t="shared" si="1"/>
        <v>46134</v>
      </c>
      <c r="Y78" s="193">
        <f t="shared" si="1"/>
        <v>46135</v>
      </c>
      <c r="Z78" s="193">
        <f t="shared" si="1"/>
        <v>46136</v>
      </c>
      <c r="AA78" s="193">
        <f t="shared" si="1"/>
        <v>46137</v>
      </c>
      <c r="AB78" s="193">
        <f t="shared" si="1"/>
        <v>46138</v>
      </c>
      <c r="AC78" s="193">
        <f t="shared" si="1"/>
        <v>46139</v>
      </c>
      <c r="AD78" s="193">
        <f t="shared" si="1"/>
        <v>46140</v>
      </c>
      <c r="AE78" s="193">
        <f t="shared" si="1"/>
        <v>46141</v>
      </c>
      <c r="AF78" s="193">
        <f t="shared" si="1"/>
        <v>46142</v>
      </c>
      <c r="AG78" s="193">
        <f t="shared" si="1"/>
        <v>46143</v>
      </c>
    </row>
    <row r="79" spans="2:33" x14ac:dyDescent="0.2">
      <c r="B79" s="1" t="str">
        <v>Mai</v>
      </c>
      <c r="C79" s="193">
        <f t="shared" si="2"/>
        <v>46143</v>
      </c>
      <c r="D79" s="193">
        <f t="shared" si="1"/>
        <v>46144</v>
      </c>
      <c r="E79" s="193">
        <f t="shared" si="1"/>
        <v>46145</v>
      </c>
      <c r="F79" s="193">
        <f t="shared" si="1"/>
        <v>46146</v>
      </c>
      <c r="G79" s="193">
        <f t="shared" si="1"/>
        <v>46147</v>
      </c>
      <c r="H79" s="193">
        <f t="shared" si="1"/>
        <v>46148</v>
      </c>
      <c r="I79" s="193">
        <f t="shared" si="1"/>
        <v>46149</v>
      </c>
      <c r="J79" s="193">
        <f t="shared" si="1"/>
        <v>46150</v>
      </c>
      <c r="K79" s="193">
        <f t="shared" si="1"/>
        <v>46151</v>
      </c>
      <c r="L79" s="193">
        <f t="shared" si="1"/>
        <v>46152</v>
      </c>
      <c r="M79" s="193">
        <f t="shared" si="1"/>
        <v>46153</v>
      </c>
      <c r="N79" s="193">
        <f t="shared" si="1"/>
        <v>46154</v>
      </c>
      <c r="O79" s="193">
        <f t="shared" si="1"/>
        <v>46155</v>
      </c>
      <c r="P79" s="193">
        <f t="shared" si="1"/>
        <v>46156</v>
      </c>
      <c r="Q79" s="193">
        <f t="shared" si="1"/>
        <v>46157</v>
      </c>
      <c r="R79" s="193">
        <f t="shared" si="1"/>
        <v>46158</v>
      </c>
      <c r="S79" s="193">
        <f t="shared" si="1"/>
        <v>46159</v>
      </c>
      <c r="T79" s="193">
        <f t="shared" si="1"/>
        <v>46160</v>
      </c>
      <c r="U79" s="193">
        <f t="shared" si="1"/>
        <v>46161</v>
      </c>
      <c r="V79" s="193">
        <f t="shared" si="1"/>
        <v>46162</v>
      </c>
      <c r="W79" s="193">
        <f t="shared" si="1"/>
        <v>46163</v>
      </c>
      <c r="X79" s="193">
        <f t="shared" si="1"/>
        <v>46164</v>
      </c>
      <c r="Y79" s="193">
        <f t="shared" si="1"/>
        <v>46165</v>
      </c>
      <c r="Z79" s="193">
        <f t="shared" si="1"/>
        <v>46166</v>
      </c>
      <c r="AA79" s="193">
        <f t="shared" si="1"/>
        <v>46167</v>
      </c>
      <c r="AB79" s="193">
        <f t="shared" si="1"/>
        <v>46168</v>
      </c>
      <c r="AC79" s="193">
        <f t="shared" si="1"/>
        <v>46169</v>
      </c>
      <c r="AD79" s="193">
        <f t="shared" si="1"/>
        <v>46170</v>
      </c>
      <c r="AE79" s="193">
        <f t="shared" si="1"/>
        <v>46171</v>
      </c>
      <c r="AF79" s="193">
        <f t="shared" si="1"/>
        <v>46172</v>
      </c>
      <c r="AG79" s="193">
        <f t="shared" si="1"/>
        <v>46173</v>
      </c>
    </row>
    <row r="80" spans="2:33" x14ac:dyDescent="0.2">
      <c r="B80" s="1" t="str">
        <v>Juin</v>
      </c>
      <c r="C80" s="193">
        <f t="shared" si="2"/>
        <v>46174</v>
      </c>
      <c r="D80" s="193">
        <f t="shared" si="1"/>
        <v>46175</v>
      </c>
      <c r="E80" s="193">
        <f t="shared" si="1"/>
        <v>46176</v>
      </c>
      <c r="F80" s="193">
        <f t="shared" si="1"/>
        <v>46177</v>
      </c>
      <c r="G80" s="193">
        <f t="shared" si="1"/>
        <v>46178</v>
      </c>
      <c r="H80" s="193">
        <f t="shared" si="1"/>
        <v>46179</v>
      </c>
      <c r="I80" s="193">
        <f t="shared" si="1"/>
        <v>46180</v>
      </c>
      <c r="J80" s="193">
        <f t="shared" si="1"/>
        <v>46181</v>
      </c>
      <c r="K80" s="193">
        <f t="shared" si="1"/>
        <v>46182</v>
      </c>
      <c r="L80" s="193">
        <f t="shared" si="1"/>
        <v>46183</v>
      </c>
      <c r="M80" s="193">
        <f t="shared" si="1"/>
        <v>46184</v>
      </c>
      <c r="N80" s="193">
        <f t="shared" si="1"/>
        <v>46185</v>
      </c>
      <c r="O80" s="193">
        <f t="shared" si="1"/>
        <v>46186</v>
      </c>
      <c r="P80" s="193">
        <f t="shared" si="1"/>
        <v>46187</v>
      </c>
      <c r="Q80" s="193">
        <f t="shared" si="1"/>
        <v>46188</v>
      </c>
      <c r="R80" s="193">
        <f t="shared" si="1"/>
        <v>46189</v>
      </c>
      <c r="S80" s="193">
        <f t="shared" si="1"/>
        <v>46190</v>
      </c>
      <c r="T80" s="193">
        <f t="shared" si="1"/>
        <v>46191</v>
      </c>
      <c r="U80" s="193">
        <f t="shared" si="1"/>
        <v>46192</v>
      </c>
      <c r="V80" s="193">
        <f t="shared" si="1"/>
        <v>46193</v>
      </c>
      <c r="W80" s="193">
        <f t="shared" si="1"/>
        <v>46194</v>
      </c>
      <c r="X80" s="193">
        <f t="shared" si="1"/>
        <v>46195</v>
      </c>
      <c r="Y80" s="193">
        <f t="shared" si="1"/>
        <v>46196</v>
      </c>
      <c r="Z80" s="193">
        <f t="shared" si="1"/>
        <v>46197</v>
      </c>
      <c r="AA80" s="193">
        <f t="shared" si="1"/>
        <v>46198</v>
      </c>
      <c r="AB80" s="193">
        <f t="shared" si="1"/>
        <v>46199</v>
      </c>
      <c r="AC80" s="193">
        <f t="shared" si="1"/>
        <v>46200</v>
      </c>
      <c r="AD80" s="193">
        <f t="shared" si="1"/>
        <v>46201</v>
      </c>
      <c r="AE80" s="193">
        <f t="shared" si="1"/>
        <v>46202</v>
      </c>
      <c r="AF80" s="193">
        <f t="shared" si="1"/>
        <v>46203</v>
      </c>
      <c r="AG80" s="193">
        <f t="shared" si="1"/>
        <v>46204</v>
      </c>
    </row>
    <row r="81" spans="2:33" x14ac:dyDescent="0.2">
      <c r="B81" s="1" t="str">
        <v>Juillet</v>
      </c>
      <c r="C81" s="193">
        <f t="shared" si="2"/>
        <v>46204</v>
      </c>
      <c r="D81" s="193">
        <f t="shared" si="1"/>
        <v>46205</v>
      </c>
      <c r="E81" s="193">
        <f t="shared" si="1"/>
        <v>46206</v>
      </c>
      <c r="F81" s="193">
        <f t="shared" si="1"/>
        <v>46207</v>
      </c>
      <c r="G81" s="193">
        <f t="shared" si="1"/>
        <v>46208</v>
      </c>
      <c r="H81" s="193">
        <f t="shared" si="1"/>
        <v>46209</v>
      </c>
      <c r="I81" s="193">
        <f t="shared" si="1"/>
        <v>46210</v>
      </c>
      <c r="J81" s="193">
        <f t="shared" si="1"/>
        <v>46211</v>
      </c>
      <c r="K81" s="193">
        <f t="shared" si="1"/>
        <v>46212</v>
      </c>
      <c r="L81" s="193">
        <f t="shared" si="1"/>
        <v>46213</v>
      </c>
      <c r="M81" s="193">
        <f t="shared" si="1"/>
        <v>46214</v>
      </c>
      <c r="N81" s="193">
        <f t="shared" si="1"/>
        <v>46215</v>
      </c>
      <c r="O81" s="193">
        <f t="shared" si="1"/>
        <v>46216</v>
      </c>
      <c r="P81" s="193">
        <f t="shared" si="1"/>
        <v>46217</v>
      </c>
      <c r="Q81" s="193">
        <f t="shared" si="1"/>
        <v>46218</v>
      </c>
      <c r="R81" s="193">
        <f t="shared" si="1"/>
        <v>46219</v>
      </c>
      <c r="S81" s="193">
        <f t="shared" si="1"/>
        <v>46220</v>
      </c>
      <c r="T81" s="193">
        <f t="shared" si="1"/>
        <v>46221</v>
      </c>
      <c r="U81" s="193">
        <f t="shared" si="1"/>
        <v>46222</v>
      </c>
      <c r="V81" s="193">
        <f t="shared" si="1"/>
        <v>46223</v>
      </c>
      <c r="W81" s="193">
        <f t="shared" si="1"/>
        <v>46224</v>
      </c>
      <c r="X81" s="193">
        <f t="shared" si="1"/>
        <v>46225</v>
      </c>
      <c r="Y81" s="193">
        <f t="shared" si="1"/>
        <v>46226</v>
      </c>
      <c r="Z81" s="193">
        <f t="shared" si="1"/>
        <v>46227</v>
      </c>
      <c r="AA81" s="193">
        <f t="shared" si="1"/>
        <v>46228</v>
      </c>
      <c r="AB81" s="193">
        <f t="shared" si="1"/>
        <v>46229</v>
      </c>
      <c r="AC81" s="193">
        <f t="shared" si="1"/>
        <v>46230</v>
      </c>
      <c r="AD81" s="193">
        <f t="shared" si="1"/>
        <v>46231</v>
      </c>
      <c r="AE81" s="193">
        <f t="shared" si="1"/>
        <v>46232</v>
      </c>
      <c r="AF81" s="193">
        <f t="shared" si="1"/>
        <v>46233</v>
      </c>
      <c r="AG81" s="193">
        <f t="shared" si="1"/>
        <v>46234</v>
      </c>
    </row>
    <row r="82" spans="2:33" x14ac:dyDescent="0.2">
      <c r="B82" s="1" t="str">
        <v>Août</v>
      </c>
      <c r="C82" s="193">
        <f t="shared" si="2"/>
        <v>46235</v>
      </c>
      <c r="D82" s="193">
        <f t="shared" si="1"/>
        <v>46236</v>
      </c>
      <c r="E82" s="193">
        <f t="shared" si="1"/>
        <v>46237</v>
      </c>
      <c r="F82" s="193">
        <f t="shared" si="1"/>
        <v>46238</v>
      </c>
      <c r="G82" s="193">
        <f t="shared" si="1"/>
        <v>46239</v>
      </c>
      <c r="H82" s="193">
        <f t="shared" si="1"/>
        <v>46240</v>
      </c>
      <c r="I82" s="193">
        <f t="shared" si="1"/>
        <v>46241</v>
      </c>
      <c r="J82" s="193">
        <f t="shared" si="1"/>
        <v>46242</v>
      </c>
      <c r="K82" s="193">
        <f t="shared" si="1"/>
        <v>46243</v>
      </c>
      <c r="L82" s="193">
        <f t="shared" si="1"/>
        <v>46244</v>
      </c>
      <c r="M82" s="193">
        <f t="shared" si="1"/>
        <v>46245</v>
      </c>
      <c r="N82" s="193">
        <f t="shared" si="1"/>
        <v>46246</v>
      </c>
      <c r="O82" s="193">
        <f t="shared" si="1"/>
        <v>46247</v>
      </c>
      <c r="P82" s="193">
        <f t="shared" si="1"/>
        <v>46248</v>
      </c>
      <c r="Q82" s="193">
        <f t="shared" si="1"/>
        <v>46249</v>
      </c>
      <c r="R82" s="193">
        <f t="shared" si="1"/>
        <v>46250</v>
      </c>
      <c r="S82" s="193">
        <f t="shared" si="1"/>
        <v>46251</v>
      </c>
      <c r="T82" s="193">
        <f t="shared" si="1"/>
        <v>46252</v>
      </c>
      <c r="U82" s="193">
        <f t="shared" si="1"/>
        <v>46253</v>
      </c>
      <c r="V82" s="193">
        <f t="shared" si="1"/>
        <v>46254</v>
      </c>
      <c r="W82" s="193">
        <f t="shared" si="1"/>
        <v>46255</v>
      </c>
      <c r="X82" s="193">
        <f t="shared" si="1"/>
        <v>46256</v>
      </c>
      <c r="Y82" s="193">
        <f t="shared" si="1"/>
        <v>46257</v>
      </c>
      <c r="Z82" s="193">
        <f t="shared" si="1"/>
        <v>46258</v>
      </c>
      <c r="AA82" s="193">
        <f t="shared" si="1"/>
        <v>46259</v>
      </c>
      <c r="AB82" s="193">
        <f t="shared" si="1"/>
        <v>46260</v>
      </c>
      <c r="AC82" s="193">
        <f t="shared" si="1"/>
        <v>46261</v>
      </c>
      <c r="AD82" s="193">
        <f t="shared" si="1"/>
        <v>46262</v>
      </c>
      <c r="AE82" s="193">
        <f t="shared" si="1"/>
        <v>46263</v>
      </c>
      <c r="AF82" s="193">
        <f t="shared" si="1"/>
        <v>46264</v>
      </c>
      <c r="AG82" s="193">
        <f t="shared" si="1"/>
        <v>46265</v>
      </c>
    </row>
    <row r="83" spans="2:33" x14ac:dyDescent="0.2">
      <c r="B83" s="1" t="str">
        <v>Septembre</v>
      </c>
      <c r="C83" s="193">
        <f t="shared" si="2"/>
        <v>46266</v>
      </c>
      <c r="D83" s="193">
        <f t="shared" si="1"/>
        <v>46267</v>
      </c>
      <c r="E83" s="193">
        <f t="shared" si="1"/>
        <v>46268</v>
      </c>
      <c r="F83" s="193">
        <f t="shared" si="1"/>
        <v>46269</v>
      </c>
      <c r="G83" s="193">
        <f t="shared" si="1"/>
        <v>46270</v>
      </c>
      <c r="H83" s="193">
        <f t="shared" si="1"/>
        <v>46271</v>
      </c>
      <c r="I83" s="193">
        <f t="shared" si="1"/>
        <v>46272</v>
      </c>
      <c r="J83" s="193">
        <f t="shared" si="1"/>
        <v>46273</v>
      </c>
      <c r="K83" s="193">
        <f t="shared" si="1"/>
        <v>46274</v>
      </c>
      <c r="L83" s="193">
        <f t="shared" si="1"/>
        <v>46275</v>
      </c>
      <c r="M83" s="193">
        <f t="shared" si="1"/>
        <v>46276</v>
      </c>
      <c r="N83" s="193">
        <f t="shared" si="1"/>
        <v>46277</v>
      </c>
      <c r="O83" s="193">
        <f t="shared" si="1"/>
        <v>46278</v>
      </c>
      <c r="P83" s="193">
        <f t="shared" si="1"/>
        <v>46279</v>
      </c>
      <c r="Q83" s="193">
        <f t="shared" si="1"/>
        <v>46280</v>
      </c>
      <c r="R83" s="193">
        <f t="shared" si="1"/>
        <v>46281</v>
      </c>
      <c r="S83" s="193">
        <f t="shared" ref="S83:AG86" si="3">DATE($B$74,ROW()-74,S$74)</f>
        <v>46282</v>
      </c>
      <c r="T83" s="193">
        <f t="shared" si="3"/>
        <v>46283</v>
      </c>
      <c r="U83" s="193">
        <f t="shared" si="3"/>
        <v>46284</v>
      </c>
      <c r="V83" s="193">
        <f t="shared" si="3"/>
        <v>46285</v>
      </c>
      <c r="W83" s="193">
        <f t="shared" si="3"/>
        <v>46286</v>
      </c>
      <c r="X83" s="193">
        <f t="shared" si="3"/>
        <v>46287</v>
      </c>
      <c r="Y83" s="193">
        <f t="shared" si="3"/>
        <v>46288</v>
      </c>
      <c r="Z83" s="193">
        <f t="shared" si="3"/>
        <v>46289</v>
      </c>
      <c r="AA83" s="193">
        <f t="shared" si="3"/>
        <v>46290</v>
      </c>
      <c r="AB83" s="193">
        <f t="shared" si="3"/>
        <v>46291</v>
      </c>
      <c r="AC83" s="193">
        <f t="shared" si="3"/>
        <v>46292</v>
      </c>
      <c r="AD83" s="193">
        <f t="shared" si="3"/>
        <v>46293</v>
      </c>
      <c r="AE83" s="193">
        <f t="shared" si="3"/>
        <v>46294</v>
      </c>
      <c r="AF83" s="193">
        <f t="shared" si="3"/>
        <v>46295</v>
      </c>
      <c r="AG83" s="193">
        <f t="shared" si="3"/>
        <v>46296</v>
      </c>
    </row>
    <row r="84" spans="2:33" x14ac:dyDescent="0.2">
      <c r="B84" s="1" t="str">
        <v>Octobre</v>
      </c>
      <c r="C84" s="193">
        <f t="shared" si="2"/>
        <v>46296</v>
      </c>
      <c r="D84" s="193">
        <f t="shared" si="2"/>
        <v>46297</v>
      </c>
      <c r="E84" s="193">
        <f t="shared" si="2"/>
        <v>46298</v>
      </c>
      <c r="F84" s="193">
        <f t="shared" si="2"/>
        <v>46299</v>
      </c>
      <c r="G84" s="193">
        <f t="shared" si="2"/>
        <v>46300</v>
      </c>
      <c r="H84" s="193">
        <f t="shared" si="2"/>
        <v>46301</v>
      </c>
      <c r="I84" s="193">
        <f t="shared" si="2"/>
        <v>46302</v>
      </c>
      <c r="J84" s="193">
        <f t="shared" si="2"/>
        <v>46303</v>
      </c>
      <c r="K84" s="193">
        <f t="shared" si="2"/>
        <v>46304</v>
      </c>
      <c r="L84" s="193">
        <f t="shared" si="2"/>
        <v>46305</v>
      </c>
      <c r="M84" s="193">
        <f t="shared" si="2"/>
        <v>46306</v>
      </c>
      <c r="N84" s="193">
        <f t="shared" si="2"/>
        <v>46307</v>
      </c>
      <c r="O84" s="193">
        <f t="shared" si="2"/>
        <v>46308</v>
      </c>
      <c r="P84" s="193">
        <f t="shared" si="2"/>
        <v>46309</v>
      </c>
      <c r="Q84" s="193">
        <f t="shared" si="2"/>
        <v>46310</v>
      </c>
      <c r="R84" s="193">
        <f t="shared" si="2"/>
        <v>46311</v>
      </c>
      <c r="S84" s="193">
        <f t="shared" si="3"/>
        <v>46312</v>
      </c>
      <c r="T84" s="193">
        <f t="shared" si="3"/>
        <v>46313</v>
      </c>
      <c r="U84" s="193">
        <f t="shared" si="3"/>
        <v>46314</v>
      </c>
      <c r="V84" s="193">
        <f t="shared" si="3"/>
        <v>46315</v>
      </c>
      <c r="W84" s="193">
        <f t="shared" si="3"/>
        <v>46316</v>
      </c>
      <c r="X84" s="193">
        <f t="shared" si="3"/>
        <v>46317</v>
      </c>
      <c r="Y84" s="193">
        <f t="shared" si="3"/>
        <v>46318</v>
      </c>
      <c r="Z84" s="193">
        <f t="shared" si="3"/>
        <v>46319</v>
      </c>
      <c r="AA84" s="193">
        <f t="shared" si="3"/>
        <v>46320</v>
      </c>
      <c r="AB84" s="193">
        <f t="shared" si="3"/>
        <v>46321</v>
      </c>
      <c r="AC84" s="193">
        <f t="shared" si="3"/>
        <v>46322</v>
      </c>
      <c r="AD84" s="193">
        <f t="shared" si="3"/>
        <v>46323</v>
      </c>
      <c r="AE84" s="193">
        <f t="shared" si="3"/>
        <v>46324</v>
      </c>
      <c r="AF84" s="193">
        <f t="shared" si="3"/>
        <v>46325</v>
      </c>
      <c r="AG84" s="193">
        <f t="shared" si="3"/>
        <v>46326</v>
      </c>
    </row>
    <row r="85" spans="2:33" x14ac:dyDescent="0.2">
      <c r="B85" s="1" t="str">
        <v>Novembre</v>
      </c>
      <c r="C85" s="193">
        <f t="shared" si="2"/>
        <v>46327</v>
      </c>
      <c r="D85" s="193">
        <f t="shared" si="2"/>
        <v>46328</v>
      </c>
      <c r="E85" s="193">
        <f t="shared" si="2"/>
        <v>46329</v>
      </c>
      <c r="F85" s="193">
        <f t="shared" si="2"/>
        <v>46330</v>
      </c>
      <c r="G85" s="193">
        <f t="shared" si="2"/>
        <v>46331</v>
      </c>
      <c r="H85" s="193">
        <f t="shared" si="2"/>
        <v>46332</v>
      </c>
      <c r="I85" s="193">
        <f t="shared" si="2"/>
        <v>46333</v>
      </c>
      <c r="J85" s="193">
        <f t="shared" si="2"/>
        <v>46334</v>
      </c>
      <c r="K85" s="193">
        <f t="shared" si="2"/>
        <v>46335</v>
      </c>
      <c r="L85" s="193">
        <f t="shared" si="2"/>
        <v>46336</v>
      </c>
      <c r="M85" s="193">
        <f t="shared" si="2"/>
        <v>46337</v>
      </c>
      <c r="N85" s="193">
        <f t="shared" si="2"/>
        <v>46338</v>
      </c>
      <c r="O85" s="193">
        <f t="shared" si="2"/>
        <v>46339</v>
      </c>
      <c r="P85" s="193">
        <f t="shared" si="2"/>
        <v>46340</v>
      </c>
      <c r="Q85" s="193">
        <f t="shared" si="2"/>
        <v>46341</v>
      </c>
      <c r="R85" s="193">
        <f t="shared" si="2"/>
        <v>46342</v>
      </c>
      <c r="S85" s="193">
        <f t="shared" si="3"/>
        <v>46343</v>
      </c>
      <c r="T85" s="193">
        <f t="shared" si="3"/>
        <v>46344</v>
      </c>
      <c r="U85" s="193">
        <f t="shared" si="3"/>
        <v>46345</v>
      </c>
      <c r="V85" s="193">
        <f t="shared" si="3"/>
        <v>46346</v>
      </c>
      <c r="W85" s="193">
        <f t="shared" si="3"/>
        <v>46347</v>
      </c>
      <c r="X85" s="193">
        <f t="shared" si="3"/>
        <v>46348</v>
      </c>
      <c r="Y85" s="193">
        <f t="shared" si="3"/>
        <v>46349</v>
      </c>
      <c r="Z85" s="193">
        <f t="shared" si="3"/>
        <v>46350</v>
      </c>
      <c r="AA85" s="193">
        <f t="shared" si="3"/>
        <v>46351</v>
      </c>
      <c r="AB85" s="193">
        <f t="shared" si="3"/>
        <v>46352</v>
      </c>
      <c r="AC85" s="193">
        <f t="shared" si="3"/>
        <v>46353</v>
      </c>
      <c r="AD85" s="193">
        <f t="shared" si="3"/>
        <v>46354</v>
      </c>
      <c r="AE85" s="193">
        <f t="shared" si="3"/>
        <v>46355</v>
      </c>
      <c r="AF85" s="193">
        <f t="shared" si="3"/>
        <v>46356</v>
      </c>
      <c r="AG85" s="193">
        <f t="shared" si="3"/>
        <v>46357</v>
      </c>
    </row>
    <row r="86" spans="2:33" x14ac:dyDescent="0.2">
      <c r="B86" s="1" t="str">
        <v>Décembre</v>
      </c>
      <c r="C86" s="193">
        <f t="shared" si="2"/>
        <v>46357</v>
      </c>
      <c r="D86" s="193">
        <f t="shared" si="2"/>
        <v>46358</v>
      </c>
      <c r="E86" s="193">
        <f t="shared" si="2"/>
        <v>46359</v>
      </c>
      <c r="F86" s="193">
        <f t="shared" si="2"/>
        <v>46360</v>
      </c>
      <c r="G86" s="193">
        <f t="shared" si="2"/>
        <v>46361</v>
      </c>
      <c r="H86" s="193">
        <f t="shared" si="2"/>
        <v>46362</v>
      </c>
      <c r="I86" s="193">
        <f t="shared" si="2"/>
        <v>46363</v>
      </c>
      <c r="J86" s="193">
        <f t="shared" si="2"/>
        <v>46364</v>
      </c>
      <c r="K86" s="193">
        <f t="shared" si="2"/>
        <v>46365</v>
      </c>
      <c r="L86" s="193">
        <f t="shared" si="2"/>
        <v>46366</v>
      </c>
      <c r="M86" s="193">
        <f t="shared" si="2"/>
        <v>46367</v>
      </c>
      <c r="N86" s="193">
        <f t="shared" si="2"/>
        <v>46368</v>
      </c>
      <c r="O86" s="193">
        <f t="shared" si="2"/>
        <v>46369</v>
      </c>
      <c r="P86" s="193">
        <f t="shared" si="2"/>
        <v>46370</v>
      </c>
      <c r="Q86" s="193">
        <f t="shared" si="2"/>
        <v>46371</v>
      </c>
      <c r="R86" s="193">
        <f t="shared" si="2"/>
        <v>46372</v>
      </c>
      <c r="S86" s="193">
        <f t="shared" si="3"/>
        <v>46373</v>
      </c>
      <c r="T86" s="193">
        <f t="shared" si="3"/>
        <v>46374</v>
      </c>
      <c r="U86" s="193">
        <f t="shared" si="3"/>
        <v>46375</v>
      </c>
      <c r="V86" s="193">
        <f t="shared" si="3"/>
        <v>46376</v>
      </c>
      <c r="W86" s="193">
        <f t="shared" si="3"/>
        <v>46377</v>
      </c>
      <c r="X86" s="193">
        <f t="shared" si="3"/>
        <v>46378</v>
      </c>
      <c r="Y86" s="193">
        <f t="shared" si="3"/>
        <v>46379</v>
      </c>
      <c r="Z86" s="193">
        <f t="shared" si="3"/>
        <v>46380</v>
      </c>
      <c r="AA86" s="193">
        <f t="shared" si="3"/>
        <v>46381</v>
      </c>
      <c r="AB86" s="193">
        <f t="shared" si="3"/>
        <v>46382</v>
      </c>
      <c r="AC86" s="193">
        <f t="shared" si="3"/>
        <v>46383</v>
      </c>
      <c r="AD86" s="193">
        <f t="shared" si="3"/>
        <v>46384</v>
      </c>
      <c r="AE86" s="193">
        <f t="shared" si="3"/>
        <v>46385</v>
      </c>
      <c r="AF86" s="193">
        <f t="shared" si="3"/>
        <v>46386</v>
      </c>
      <c r="AG86" s="193">
        <f t="shared" si="3"/>
        <v>46387</v>
      </c>
    </row>
    <row r="87" spans="2:33" x14ac:dyDescent="0.2"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</row>
    <row r="88" spans="2:33" x14ac:dyDescent="0.2"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8" t="s">
        <v>233</v>
      </c>
      <c r="D1" s="248" t="s">
        <v>234</v>
      </c>
      <c r="F1" s="248" t="s">
        <v>235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Bufonobi,Water,Attack,260,5,5,0,1,1,1,1,1,30,20,20,Max,10,1,0,110040000,,5260,1,1,https://encrypted-tbn0.gstatic.com/images?q=tbn:ANd9GcRXczs_Bjhslhr7Mf2HENU6MTyGpz0RJEMjNA&amp;s,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Vulpyrean,Fire,Attack,260,5,5,0,1,1,1,1,1,20,20,20,Max,10,1,0,110040000,,5260,2,1,https://encrypted-tbn0.gstatic.com/images?q=tbn:ANd9GcSDZWuq2tiKYc0zKRxpHXrLSMZ1GsY_6wEIYw&amp;s,https://encrypted-tbn0.gstatic.com/images?q=tbn:ANd9GcRGF27Z8fOuiwM1qjDFQVY262gS_QKIJamMNg&amp;s,,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260,4,4,11,1,1,1,1,0,15,15,15,Max,,0.487179487179487,489,110040000,,4260,8,2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Ghillant,Wood,Defend,250,4,4.1,0,1,1,1,1,0.199999999999999,5,5,5,Max,,0.589743589743589,400,997540000,1,4350,7,1,https://encrypted-tbn0.gstatic.com/images?q=tbn:ANd9GcQOwDXppnwkCtCXXAqUiiNMhf6T-lane54jPg&amp;s,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260,4,4.1,17,1,1,1,1,0.199999999999999,15,15,15,Max,,0.589743589743589,383,110040000,,4360,6,1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Magmolin,Fire,Defend,240,3,3.1,61,1,1,1,0.2,0,10,5,15,,,0.241025641025641,679,1705940000,1,3340,11,2,https://encrypted-tbn0.gstatic.com/images?q=tbn:ANd9GcRebc6KbOAxblleg_L3rr2K13bt-Yyzq1bAaw&amp;s,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0.117948717948718,856,2265140000,1,2430,20,3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0.179487179487179,800,997540000,1,3250,12,2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230,2,2.3,14,1,1,0.6,0,0,1,1,1,,,0.138461538461538,826,2265140000,1,2530,16,3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Escarffier,Fire,Defend,230,2,2.3,8,1,1,0.6,0,0,5,5,5,,,0.138461538461538,832,2265140000,1,2530,17,3,https://encrypted-tbn0.gstatic.com/images?q=tbn:ANd9GcST2CrUIPAlFNBLPgZn0Tu93KelabHVVAbNLQ&amp;s,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Lucidina,Water,Attack,260,4,4,0,1,1,1,1,0,5,5,15,Max,,0.487179487179487,500,110040000,,4260,9,2,https://encrypted-tbn0.gstatic.com/images?q=tbn:ANd9GcR9A_xtftnwTH1zCnLIOcgmJKNZtFnB-e8QOw&amp;s,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Fleurizard,Wood,Attack,260,5,5,0,1,1,1,1,1,1,1,1,Max,10,1,0,110040000,,5260,3,1,https://encrypted-tbn0.gstatic.com/images?q=tbn:ANd9GcQCf63iS9oq-SMn3DO74UTS2j_zSrzNVTRMOQ&amp;s,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Statchew,Wood,Defend,230,2,2.2,10,1,1,0.4,0,0,15,5,9,,,0.117948717948718,850,2265140000,1,2430,21,,https://encrypted-tbn0.gstatic.com/images?q=tbn:ANd9GcSC1rp-0lIuUyVvSi8kN_vJnr_Ln4mF4lh4zg&amp;s,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210,2,2,13,1,1,0,0,0,1,1,1,,,0.0769230769230769,887,3035940000,1,2210,27,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210,2,2.2,8,1,1,0.4,0,0,5,5,10,,,0.117948717948718,852,3035940000,1,2410,22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0.179487179487179,790,997540000,1,3250,13,2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Pipistrigoi,Fire,Attack,260,4,4,13,1,1,1,1,0,15,15,15,Max,,0.487179487179487,487,110040000,,4260,10,2,https://encrypted-tbn0.gstatic.com/images?q=tbn:ANd9GcSSdARGNHB_mPJlsb0v4ULv5HaXw2movjzNTNSrkzsi&amp;s,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0.0769230769230769,887,3290240000,1,2200,28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0.117948717948718,859,3035940000,1,2410,23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0.138461538461538,830,3793740000,1,2460,18,3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0.0769230769230769,900,2700740000,1,2220,26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Salamantis,Wood,Attack,200,2,2,0,1,1,0,0,0,1,1,1,,,0.0769230769230769,900,3290240000,1,2200,29,,https://encrypted-tbn0.gstatic.com/images?q=tbn:ANd9GcSPFSxpzP3XhhfdRhxvv_Oi86DkexX6yjZrRA&amp;s,,Silvaurus,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0.0769230769230769,900,3290240000,1,2200,30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Mantleray,Electricity,Attack,210,2,2.2,37,1,1,0.4,0,0,4,1,1,,,0.117948717948718,823,3035940000,1,2410,24,,https://encrypted-tbn0.gstatic.com/images?q=tbn:ANd9GcSWhzppoZXwh-zBnWIY3GFkIp0x0kc0hAzG0A&amp;s,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Oleana,Wood,Attack,260,4,4.3,11,1,1,1,1,0.6,1,1,1,Max,,0.794871794871795,189,110040000,,4560,5,1,https://encrypted-tbn0.gstatic.com/images?q=tbn:ANd9GcQ02wmDjsAMofj1ObwwNW6Vhl_QQ-LUodGIKA&amp;s,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Spookaboo,Fire,Attack,210,3,3,10,1,1,1,0,0,1,1,1,,,0.179487179487179,790,3035940000,1,3210,14,2,https://encrypted-tbn0.gstatic.com/images?q=tbn:ANd9GcT29K673YTBvt_EofrppvnWB4sgt43DEq1pTw&amp;s,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Kungpaw,Water,Defend,170,3,3,90,1,1,1,0,0,1,1,1,,,0.179487179487179,710,3722240000,1,3170,15,3,https://encrypted-tbn0.gstatic.com/images?q=tbn:ANd9GcRV1HdRcNPUS4HjDBZ2YOXgaMW_I8FgZEP5xg&amp;s,,,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0.0974358974358975,870,3035940000,1,2310,25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Pyregeist,Fire,Defend,,0,,,0,0,0,0,0,,,,,,0,975,3918613700,,0,32,,https://encrypted-tbn0.gstatic.com/images?q=tbn:ANd9GcQxjczIZhaTQV2VukHWlKoJMQ30DrUIwatAEw&amp;s,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,0,,94,0,0,0,0,0,,,,,,0,881,3918613700,,0,33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Mammolith,Wood,Defend,,0,,,0,0,0,0,0,,,,,,0,975,3918613700,,0,34,,https://encrypted-tbn0.gstatic.com/images?q=tbn:ANd9GcRR4T5jdtF_LaheoRmg2FLSWS4DS4QhqCFaAg&amp;s,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260,5,5,0,1,1,1,1,1,30,30,30,Max,10,1,0,110040000,,5260,4,1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Shadowkaeru,Water,Attack,,0,,,0,0,0,0,0,,,,,,0,975,3918613700,,0,35,,,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Palmon!B37 &amp; "," &amp; Palmon!C37 &amp; "," &amp; Palmon!D37 &amp; "," &amp; Palmon!E37 &amp; "," &amp; Palmon!G37 &amp; "," &amp; SUBSTITUTE(Palmon!H37,",",".") &amp; "," &amp; Palmon!I37 &amp; "," &amp; SUBSTITUTE(Palmon!P37,",",".") &amp; "," &amp; SUBSTITUTE(Palmon!Q37,",",".") &amp; "," &amp; SUBSTITUTE(Palmon!R37,",",".") &amp; "," &amp; SUBSTITUTE(Palmon!S37,",",".") &amp; "," &amp; SUBSTITUTE(Palmon!T37,",",".") &amp; "," &amp; Palmon!J37 &amp; "," &amp; Palmon!K37 &amp; "," &amp; Palmon!L37 &amp; "," &amp; Palmon!M37 &amp; "," &amp; Palmon!N37 &amp; "," &amp; SUBSTITUTE(Palmon!U37,",",".") &amp; "," &amp; Palmon!V37 &amp; "," &amp; Palmon!X37 &amp; "," &amp; Palmon!Y37 &amp; "," &amp; Palmon!AA37 &amp; "," &amp; Palmon!AB37 &amp; "," &amp; Palmon!AC37 &amp; "," &amp; Palmon!AE37 &amp; "," &amp; Palmon!AF37 &amp; "," &amp; Palmon!AI37 &amp; "," &amp; Palmon!AJ37</f>
        <v>Mystiray,Electricity,Attack,,0,,,0,0,0,0,0,,,,,,0,975,3918613700,,0,36,,,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Palmon!B38 &amp; "," &amp; Palmon!C38 &amp; "," &amp; Palmon!D38 &amp; "," &amp; Palmon!E38 &amp; "," &amp; Palmon!G38 &amp; "," &amp; SUBSTITUTE(Palmon!H38,",",".") &amp; "," &amp; Palmon!I38 &amp; "," &amp; SUBSTITUTE(Palmon!P38,",",".") &amp; "," &amp; SUBSTITUTE(Palmon!Q38,",",".") &amp; "," &amp; SUBSTITUTE(Palmon!R38,",",".") &amp; "," &amp; SUBSTITUTE(Palmon!S38,",",".") &amp; "," &amp; SUBSTITUTE(Palmon!T38,",",".") &amp; "," &amp; Palmon!J38 &amp; "," &amp; Palmon!K38 &amp; "," &amp; Palmon!L38 &amp; "," &amp; Palmon!M38 &amp; "," &amp; Palmon!N38 &amp; "," &amp; SUBSTITUTE(Palmon!U38,",",".") &amp; "," &amp; Palmon!V38 &amp; "," &amp; Palmon!X38 &amp; "," &amp; Palmon!Y38 &amp; "," &amp; Palmon!AA38 &amp; "," &amp; Palmon!AB38 &amp; "," &amp; Palmon!AC38 &amp; "," &amp; Palmon!AE38 &amp; "," &amp; Palmon!AF38 &amp; "," &amp; Palmon!AI38 &amp; "," &amp; Palmon!AJ38</f>
        <v>Predalynx,Wood,Attack,,0,,,0,0,0,0,0,,,,,,0,975,3918613700,,0,37,,,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Solhorn,Fire,Attack,,0,,,0,0,0,0,0,,,,,,0,975,3918613700,,0,38,,,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Leviadolph,Water,Attack,,0,,,0,0,0,0,0,,,,,,0,975,3918613700,,0,39,,,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Voltfang,Electricity,Attack,,0,,,0,0,0,0,0,,,,,,0,975,3918613700,,0,40,,,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Leafgarde,Wood,Attack,,0,,,0,0,0,0,0,,,,,,0,975,3918613700,,0,41,,,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Inferdrake,Fire,Attack,,0,,,0,0,0,0,0,,,,,,0,975,3918613700,,0,42,,,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Revontulet,Fire,Attack,160,2,2.3,0,1,1,0.6,0,0,1,1,1,,,0.138461538461538,840,3793740000,1,2460,19,3,, ,Vulpyrean,Camouflynx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260,261,110040000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261,262,110040000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262,263,110040000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263,264,110040000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264,265,110040000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265,266,110040000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266,267,110040000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267,268,110040000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268,269,110040000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269,270,110040000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A7" sqref="A7"/>
    </sheetView>
  </sheetViews>
  <sheetFormatPr baseColWidth="10" defaultRowHeight="15" x14ac:dyDescent="0.25"/>
  <sheetData>
    <row r="1" spans="1:35" x14ac:dyDescent="0.25">
      <c r="A1" t="s">
        <v>238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Bufonobi,Water,Attack,260,,5,5,0,30,20,20,Max,10,,1,1,1,1,1,1,0,,110040000,,,5260,1,1,,https://encrypted-tbn0.gstatic.com/images?q=tbn:ANd9GcRXczs_Bjhslhr7Mf2HENU6MTyGpz0RJEMjNA&amp;s,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2026-03-06T09:50:39Z</dcterms:modified>
</cp:coreProperties>
</file>