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F9D278E3-5386-4859-A505-38CFE5B68AE4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2" l="1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G34" i="11"/>
  <c r="AH34" i="11"/>
  <c r="AI34" i="11"/>
  <c r="AJ34" i="11"/>
  <c r="A35" i="11"/>
  <c r="B35" i="11"/>
  <c r="C35" i="11"/>
  <c r="D35" i="11"/>
  <c r="G35" i="11"/>
  <c r="H35" i="11"/>
  <c r="N35" i="11"/>
  <c r="V35" i="11"/>
  <c r="Y35" i="11"/>
  <c r="AC35" i="11"/>
  <c r="AD35" i="11"/>
  <c r="AG35" i="11"/>
  <c r="AH35" i="11"/>
  <c r="AI35" i="11"/>
  <c r="AJ35" i="11"/>
  <c r="A36" i="11"/>
  <c r="B36" i="11"/>
  <c r="C36" i="11"/>
  <c r="D36" i="11"/>
  <c r="G36" i="11"/>
  <c r="H36" i="11"/>
  <c r="J36" i="11"/>
  <c r="K36" i="11"/>
  <c r="N36" i="11"/>
  <c r="V36" i="11"/>
  <c r="Y36" i="11"/>
  <c r="AC36" i="11"/>
  <c r="AD36" i="11"/>
  <c r="AG36" i="11"/>
  <c r="AH36" i="11"/>
  <c r="AI36" i="11"/>
  <c r="AJ36" i="11"/>
  <c r="A37" i="11"/>
  <c r="B37" i="11"/>
  <c r="C37" i="11"/>
  <c r="D37" i="11"/>
  <c r="G37" i="11"/>
  <c r="H37" i="11"/>
  <c r="J37" i="11"/>
  <c r="K37" i="11"/>
  <c r="N37" i="11"/>
  <c r="V37" i="11"/>
  <c r="Y37" i="11"/>
  <c r="AC37" i="11"/>
  <c r="AD37" i="11"/>
  <c r="AG37" i="11"/>
  <c r="AH37" i="11"/>
  <c r="AI37" i="11"/>
  <c r="AJ37" i="11"/>
  <c r="A38" i="11"/>
  <c r="B38" i="11"/>
  <c r="C38" i="11"/>
  <c r="D38" i="11"/>
  <c r="G38" i="11"/>
  <c r="H38" i="11"/>
  <c r="J38" i="11"/>
  <c r="K38" i="11"/>
  <c r="N38" i="11"/>
  <c r="V38" i="11"/>
  <c r="Y38" i="11"/>
  <c r="AC38" i="11"/>
  <c r="AD38" i="11"/>
  <c r="AG38" i="11"/>
  <c r="AH38" i="11"/>
  <c r="AI38" i="11"/>
  <c r="AJ38" i="11"/>
  <c r="A39" i="11"/>
  <c r="B39" i="11"/>
  <c r="C39" i="11"/>
  <c r="D39" i="11"/>
  <c r="G39" i="11"/>
  <c r="H39" i="11"/>
  <c r="J39" i="11"/>
  <c r="K39" i="11"/>
  <c r="N39" i="11"/>
  <c r="V39" i="11"/>
  <c r="Y39" i="11"/>
  <c r="AC39" i="11"/>
  <c r="AD39" i="11"/>
  <c r="AG39" i="11"/>
  <c r="AH39" i="11"/>
  <c r="AI39" i="11"/>
  <c r="AJ39" i="11"/>
  <c r="A40" i="11"/>
  <c r="B40" i="11"/>
  <c r="C40" i="11"/>
  <c r="D40" i="11"/>
  <c r="G40" i="11"/>
  <c r="H40" i="11"/>
  <c r="J40" i="11"/>
  <c r="K40" i="11"/>
  <c r="N40" i="11"/>
  <c r="V40" i="11"/>
  <c r="Y40" i="11"/>
  <c r="AC40" i="11"/>
  <c r="AD40" i="11"/>
  <c r="AG40" i="11"/>
  <c r="AH40" i="11"/>
  <c r="AI40" i="11"/>
  <c r="AJ40" i="11"/>
  <c r="A41" i="11"/>
  <c r="B41" i="11"/>
  <c r="C41" i="11"/>
  <c r="D41" i="11"/>
  <c r="G41" i="11"/>
  <c r="H41" i="11"/>
  <c r="J41" i="11"/>
  <c r="K41" i="11"/>
  <c r="N41" i="11"/>
  <c r="V41" i="11"/>
  <c r="Y41" i="11"/>
  <c r="AC41" i="11"/>
  <c r="AD41" i="11"/>
  <c r="AG41" i="11"/>
  <c r="AH41" i="11"/>
  <c r="AI41" i="11"/>
  <c r="AJ41" i="11"/>
  <c r="A42" i="11"/>
  <c r="B42" i="11"/>
  <c r="C42" i="11"/>
  <c r="D42" i="11"/>
  <c r="G42" i="11"/>
  <c r="H42" i="11"/>
  <c r="J42" i="11"/>
  <c r="K42" i="11"/>
  <c r="N42" i="11"/>
  <c r="V42" i="11"/>
  <c r="Y42" i="11"/>
  <c r="AC42" i="11"/>
  <c r="AD42" i="11"/>
  <c r="AG42" i="11"/>
  <c r="AH42" i="11"/>
  <c r="AI42" i="11"/>
  <c r="AJ42" i="11"/>
  <c r="A43" i="11"/>
  <c r="B43" i="11"/>
  <c r="C43" i="11"/>
  <c r="D43" i="11"/>
  <c r="G43" i="11"/>
  <c r="H43" i="11"/>
  <c r="N43" i="11"/>
  <c r="V43" i="11"/>
  <c r="Y43" i="11"/>
  <c r="AC43" i="11"/>
  <c r="AD43" i="11"/>
  <c r="AG43" i="11"/>
  <c r="AH43" i="11"/>
  <c r="AI43" i="11"/>
  <c r="AJ43" i="11"/>
  <c r="AG38" i="2" l="1"/>
  <c r="AF35" i="11" s="1"/>
  <c r="AF38" i="2"/>
  <c r="AE35" i="11" s="1"/>
  <c r="AA38" i="2"/>
  <c r="Z35" i="11" s="1"/>
  <c r="T38" i="2"/>
  <c r="S35" i="11" s="1"/>
  <c r="S38" i="2"/>
  <c r="R35" i="11" s="1"/>
  <c r="R38" i="2"/>
  <c r="Q35" i="11" s="1"/>
  <c r="Q38" i="2"/>
  <c r="P35" i="11" s="1"/>
  <c r="P38" i="2"/>
  <c r="N38" i="2"/>
  <c r="M35" i="11" s="1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I35" i="11" s="1"/>
  <c r="J35" i="11"/>
  <c r="K35" i="11"/>
  <c r="U38" i="2" a="1"/>
  <c r="U38" i="2" s="1"/>
  <c r="T35" i="11" s="1"/>
  <c r="O35" i="11"/>
  <c r="M38" i="2"/>
  <c r="L35" i="11" s="1"/>
  <c r="F35" i="11"/>
  <c r="Y38" i="2"/>
  <c r="X35" i="11" s="1"/>
  <c r="E35" i="11"/>
  <c r="V38" i="2" a="1"/>
  <c r="V38" i="2" s="1"/>
  <c r="U35" i="11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I42" i="11" s="1"/>
  <c r="J44" i="2" a="1"/>
  <c r="J44" i="2" s="1"/>
  <c r="I41" i="11" s="1"/>
  <c r="J43" i="2" a="1"/>
  <c r="J43" i="2" s="1"/>
  <c r="I40" i="11" s="1"/>
  <c r="J42" i="2" a="1"/>
  <c r="J42" i="2" s="1"/>
  <c r="I39" i="11" s="1"/>
  <c r="J41" i="2" a="1"/>
  <c r="J41" i="2" s="1"/>
  <c r="I38" i="11" s="1"/>
  <c r="J40" i="2" a="1"/>
  <c r="J40" i="2" s="1"/>
  <c r="I37" i="11" s="1"/>
  <c r="J39" i="2" a="1"/>
  <c r="J39" i="2" s="1"/>
  <c r="I36" i="11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D2" i="11" s="1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E43" i="11" s="1"/>
  <c r="AF45" i="2"/>
  <c r="AE42" i="11" s="1"/>
  <c r="AF44" i="2"/>
  <c r="AE41" i="11" s="1"/>
  <c r="AF43" i="2"/>
  <c r="AE40" i="11" s="1"/>
  <c r="AF42" i="2"/>
  <c r="AE39" i="11" s="1"/>
  <c r="AF41" i="2"/>
  <c r="AE38" i="11" s="1"/>
  <c r="AF40" i="2"/>
  <c r="AE37" i="11" s="1"/>
  <c r="AF39" i="2"/>
  <c r="AE36" i="11" s="1"/>
  <c r="AF35" i="2"/>
  <c r="AE34" i="11" s="1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6" i="2"/>
  <c r="AF43" i="11" s="1"/>
  <c r="AG45" i="2"/>
  <c r="AF42" i="11" s="1"/>
  <c r="AG44" i="2"/>
  <c r="AF41" i="11" s="1"/>
  <c r="AG43" i="2"/>
  <c r="AF40" i="11" s="1"/>
  <c r="AG42" i="2"/>
  <c r="AF39" i="11" s="1"/>
  <c r="AG41" i="2"/>
  <c r="AF38" i="11" s="1"/>
  <c r="AG40" i="2"/>
  <c r="AF37" i="11" s="1"/>
  <c r="AG39" i="2"/>
  <c r="AF36" i="11" s="1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Z43" i="11" s="1"/>
  <c r="AA45" i="2"/>
  <c r="Z42" i="11" s="1"/>
  <c r="AA44" i="2"/>
  <c r="Z41" i="11" s="1"/>
  <c r="AA43" i="2"/>
  <c r="Z40" i="11" s="1"/>
  <c r="AA42" i="2"/>
  <c r="Z39" i="11" s="1"/>
  <c r="AA41" i="2"/>
  <c r="Z38" i="11" s="1"/>
  <c r="AA40" i="2"/>
  <c r="Z37" i="11" s="1"/>
  <c r="AA39" i="2"/>
  <c r="Z36" i="11" s="1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P36" i="11" s="1"/>
  <c r="Q40" i="2"/>
  <c r="P37" i="11" s="1"/>
  <c r="Q41" i="2"/>
  <c r="P38" i="11" s="1"/>
  <c r="Q42" i="2"/>
  <c r="P39" i="11" s="1"/>
  <c r="Q43" i="2"/>
  <c r="P40" i="11" s="1"/>
  <c r="Q44" i="2"/>
  <c r="P41" i="11" s="1"/>
  <c r="Q45" i="2"/>
  <c r="P42" i="11" s="1"/>
  <c r="Q46" i="2"/>
  <c r="P43" i="11" s="1"/>
  <c r="AA3" i="2"/>
  <c r="Z34" i="11" l="1"/>
  <c r="AB37" i="2"/>
  <c r="AC37" i="2" s="1" a="1"/>
  <c r="AC37" i="2" s="1"/>
  <c r="Z2" i="11"/>
  <c r="AB36" i="2"/>
  <c r="AC36" i="2" s="1" a="1"/>
  <c r="AC36" i="2" s="1"/>
  <c r="J32" i="2"/>
  <c r="I31" i="11" s="1"/>
  <c r="J31" i="11"/>
  <c r="K31" i="11"/>
  <c r="J43" i="11"/>
  <c r="K43" i="11"/>
  <c r="Z13" i="11"/>
  <c r="AB38" i="2"/>
  <c r="J46" i="2"/>
  <c r="I43" i="11" s="1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1" i="11" s="1"/>
  <c r="AB45" i="2"/>
  <c r="AA42" i="11" s="1"/>
  <c r="AB46" i="2"/>
  <c r="AA43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39" i="11" s="1"/>
  <c r="AB16" i="2"/>
  <c r="AA15" i="11" s="1"/>
  <c r="AB43" i="2"/>
  <c r="AA40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6" i="11" s="1"/>
  <c r="AB12" i="2"/>
  <c r="AA11" i="11" s="1"/>
  <c r="AB24" i="2"/>
  <c r="AA23" i="11" s="1"/>
  <c r="AB40" i="2"/>
  <c r="AA37" i="11" s="1"/>
  <c r="AB13" i="2"/>
  <c r="AA12" i="11" s="1"/>
  <c r="AB25" i="2"/>
  <c r="AA24" i="11" s="1"/>
  <c r="AB41" i="2"/>
  <c r="AA38" i="11" s="1"/>
  <c r="L2" i="4"/>
  <c r="K2" i="4"/>
  <c r="J2" i="4"/>
  <c r="I2" i="4"/>
  <c r="AC38" i="2" l="1" a="1"/>
  <c r="AC38" i="2" s="1"/>
  <c r="AB35" i="11" s="1"/>
  <c r="AA35" i="1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6" i="11" s="1"/>
  <c r="AC40" i="2" a="1"/>
  <c r="AC40" i="2" s="1"/>
  <c r="AB37" i="11" s="1"/>
  <c r="AC41" i="2" a="1"/>
  <c r="AC41" i="2" s="1"/>
  <c r="AB38" i="11" s="1"/>
  <c r="AC42" i="2" a="1"/>
  <c r="AC42" i="2" s="1"/>
  <c r="AB39" i="11" s="1"/>
  <c r="AC43" i="2" a="1"/>
  <c r="AC43" i="2" s="1"/>
  <c r="AB40" i="11" s="1"/>
  <c r="AC44" i="2" a="1"/>
  <c r="AC44" i="2" s="1"/>
  <c r="AB41" i="11" s="1"/>
  <c r="AC45" i="2" a="1"/>
  <c r="AC45" i="2" s="1"/>
  <c r="AB42" i="11" s="1"/>
  <c r="N34" i="2"/>
  <c r="M33" i="11" s="1"/>
  <c r="N35" i="2"/>
  <c r="M34" i="11" s="1"/>
  <c r="N39" i="2"/>
  <c r="M36" i="11" s="1"/>
  <c r="N40" i="2"/>
  <c r="M37" i="11" s="1"/>
  <c r="N41" i="2"/>
  <c r="M38" i="11" s="1"/>
  <c r="N42" i="2"/>
  <c r="M39" i="11" s="1"/>
  <c r="N43" i="2"/>
  <c r="M40" i="11" s="1"/>
  <c r="N44" i="2"/>
  <c r="M41" i="11" s="1"/>
  <c r="N45" i="2"/>
  <c r="M42" i="11" s="1"/>
  <c r="G35" i="2"/>
  <c r="F34" i="11" s="1"/>
  <c r="G39" i="2"/>
  <c r="F36" i="11" s="1"/>
  <c r="G40" i="2"/>
  <c r="F37" i="11" s="1"/>
  <c r="G41" i="2"/>
  <c r="F38" i="11" s="1"/>
  <c r="G42" i="2"/>
  <c r="F39" i="11" s="1"/>
  <c r="G43" i="2"/>
  <c r="F40" i="11" s="1"/>
  <c r="G44" i="2"/>
  <c r="F41" i="11" s="1"/>
  <c r="F35" i="2" a="1"/>
  <c r="F35" i="2" s="1"/>
  <c r="E34" i="11" s="1"/>
  <c r="F39" i="2" a="1"/>
  <c r="F39" i="2" s="1"/>
  <c r="E36" i="11" s="1"/>
  <c r="F40" i="2" a="1"/>
  <c r="F40" i="2" s="1"/>
  <c r="E37" i="11" s="1"/>
  <c r="F41" i="2" a="1"/>
  <c r="F41" i="2" s="1"/>
  <c r="E38" i="11" s="1"/>
  <c r="F42" i="2" a="1"/>
  <c r="F42" i="2" s="1"/>
  <c r="E39" i="11" s="1"/>
  <c r="F43" i="2" a="1"/>
  <c r="F43" i="2" s="1"/>
  <c r="E40" i="11" s="1"/>
  <c r="F44" i="2" a="1"/>
  <c r="F44" i="2" s="1"/>
  <c r="E41" i="11" s="1"/>
  <c r="F45" i="2" a="1"/>
  <c r="F45" i="2" s="1"/>
  <c r="E42" i="11" s="1"/>
  <c r="AC34" i="2" a="1"/>
  <c r="AC34" i="2" s="1"/>
  <c r="AB33" i="11" s="1"/>
  <c r="G45" i="2"/>
  <c r="F42" i="11" s="1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X36" i="11" s="1"/>
  <c r="Y40" i="2"/>
  <c r="X37" i="11" s="1"/>
  <c r="Y32" i="2"/>
  <c r="X31" i="11" s="1"/>
  <c r="E31" i="11"/>
  <c r="M44" i="2"/>
  <c r="L41" i="11" s="1"/>
  <c r="Y42" i="2"/>
  <c r="X39" i="11" s="1"/>
  <c r="Y35" i="2"/>
  <c r="X34" i="11" s="1"/>
  <c r="M43" i="2"/>
  <c r="L40" i="11" s="1"/>
  <c r="M45" i="2"/>
  <c r="L42" i="11" s="1"/>
  <c r="M42" i="2"/>
  <c r="L39" i="11" s="1"/>
  <c r="Y34" i="2"/>
  <c r="X33" i="11" s="1"/>
  <c r="E33" i="11"/>
  <c r="Y31" i="2"/>
  <c r="X30" i="11" s="1"/>
  <c r="E30" i="11"/>
  <c r="M41" i="2"/>
  <c r="L38" i="11" s="1"/>
  <c r="M40" i="2"/>
  <c r="L37" i="11" s="1"/>
  <c r="M34" i="2"/>
  <c r="L33" i="11" s="1"/>
  <c r="F33" i="11"/>
  <c r="Y41" i="2"/>
  <c r="X38" i="11" s="1"/>
  <c r="Y33" i="2"/>
  <c r="X32" i="11" s="1"/>
  <c r="E32" i="11"/>
  <c r="Y45" i="2"/>
  <c r="X42" i="11" s="1"/>
  <c r="Y44" i="2"/>
  <c r="X41" i="11" s="1"/>
  <c r="M39" i="2"/>
  <c r="L36" i="11" s="1"/>
  <c r="Y43" i="2"/>
  <c r="X40" i="11" s="1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W35" i="11" s="1"/>
  <c r="X29" i="2" a="1"/>
  <c r="X29" i="2" s="1"/>
  <c r="X40" i="2" a="1"/>
  <c r="X40" i="2" s="1"/>
  <c r="W37" i="11" s="1"/>
  <c r="O5" i="4"/>
  <c r="O6" i="4" s="1"/>
  <c r="F46" i="2" a="1"/>
  <c r="F46" i="2" s="1"/>
  <c r="E43" i="11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W43" i="11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W38" i="11" s="1"/>
  <c r="X43" i="2" a="1"/>
  <c r="X43" i="2" s="1"/>
  <c r="W40" i="11" s="1"/>
  <c r="X42" i="2" a="1"/>
  <c r="X42" i="2" s="1"/>
  <c r="W39" i="11" s="1"/>
  <c r="X12" i="2" a="1"/>
  <c r="X12" i="2" s="1"/>
  <c r="W11" i="11" s="1"/>
  <c r="X31" i="2" a="1"/>
  <c r="X31" i="2" s="1"/>
  <c r="W30" i="11" s="1"/>
  <c r="X45" i="2" a="1"/>
  <c r="X45" i="2" s="1"/>
  <c r="W42" i="11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W41" i="11" s="1"/>
  <c r="X39" i="2" a="1"/>
  <c r="X39" i="2" s="1"/>
  <c r="W36" i="11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X43" i="11" s="1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M43" i="11" s="1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F43" i="11" s="1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L43" i="11" s="1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O42" i="11" s="1"/>
  <c r="P44" i="2"/>
  <c r="O41" i="11" s="1"/>
  <c r="P35" i="2"/>
  <c r="O34" i="11" s="1"/>
  <c r="P39" i="2"/>
  <c r="O36" i="11" s="1"/>
  <c r="P40" i="2"/>
  <c r="O37" i="11" s="1"/>
  <c r="P41" i="2"/>
  <c r="O38" i="11" s="1"/>
  <c r="P42" i="2"/>
  <c r="O39" i="11" s="1"/>
  <c r="P43" i="2"/>
  <c r="O40" i="11" s="1"/>
  <c r="T34" i="2"/>
  <c r="S33" i="11" s="1"/>
  <c r="T45" i="2"/>
  <c r="S42" i="11" s="1"/>
  <c r="T44" i="2"/>
  <c r="S41" i="11" s="1"/>
  <c r="T35" i="2"/>
  <c r="S34" i="11" s="1"/>
  <c r="T39" i="2"/>
  <c r="S36" i="11" s="1"/>
  <c r="T40" i="2"/>
  <c r="S37" i="11" s="1"/>
  <c r="T41" i="2"/>
  <c r="S38" i="11" s="1"/>
  <c r="T42" i="2"/>
  <c r="S39" i="11" s="1"/>
  <c r="T43" i="2"/>
  <c r="S40" i="11" s="1"/>
  <c r="R34" i="2"/>
  <c r="Q33" i="11" s="1"/>
  <c r="R44" i="2"/>
  <c r="Q41" i="11" s="1"/>
  <c r="R35" i="2"/>
  <c r="Q34" i="11" s="1"/>
  <c r="R39" i="2"/>
  <c r="Q36" i="11" s="1"/>
  <c r="R40" i="2"/>
  <c r="Q37" i="11" s="1"/>
  <c r="R41" i="2"/>
  <c r="Q38" i="11" s="1"/>
  <c r="R42" i="2"/>
  <c r="Q39" i="11" s="1"/>
  <c r="R43" i="2"/>
  <c r="Q40" i="11" s="1"/>
  <c r="R45" i="2"/>
  <c r="Q42" i="11" s="1"/>
  <c r="S34" i="2"/>
  <c r="R33" i="11" s="1"/>
  <c r="S45" i="2"/>
  <c r="R42" i="11" s="1"/>
  <c r="S44" i="2"/>
  <c r="R41" i="11" s="1"/>
  <c r="S35" i="2"/>
  <c r="R34" i="11" s="1"/>
  <c r="S39" i="2"/>
  <c r="R36" i="11" s="1"/>
  <c r="S40" i="2"/>
  <c r="R37" i="11" s="1"/>
  <c r="S41" i="2"/>
  <c r="R38" i="11" s="1"/>
  <c r="S42" i="2"/>
  <c r="R39" i="11" s="1"/>
  <c r="S43" i="2"/>
  <c r="R40" i="11" s="1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S43" i="11" s="1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O43" i="11" s="1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R43" i="11" s="1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Q43" i="11" s="1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T37" i="11" s="1"/>
  <c r="U43" i="2" a="1"/>
  <c r="U43" i="2" s="1"/>
  <c r="T40" i="11" s="1"/>
  <c r="U42" i="2" a="1"/>
  <c r="U42" i="2" s="1"/>
  <c r="T39" i="11" s="1"/>
  <c r="U41" i="2" a="1"/>
  <c r="U41" i="2" s="1"/>
  <c r="T38" i="11" s="1"/>
  <c r="U39" i="2" a="1"/>
  <c r="U39" i="2" s="1"/>
  <c r="T36" i="11" s="1"/>
  <c r="U35" i="2" a="1"/>
  <c r="U35" i="2" s="1"/>
  <c r="T34" i="11" s="1"/>
  <c r="U44" i="2" a="1"/>
  <c r="U44" i="2" s="1"/>
  <c r="T41" i="11" s="1"/>
  <c r="U45" i="2" a="1"/>
  <c r="U45" i="2" s="1"/>
  <c r="T42" i="11" s="1"/>
  <c r="V34" i="2" a="1"/>
  <c r="V34" i="2" s="1"/>
  <c r="U33" i="11" s="1"/>
  <c r="V35" i="2" a="1"/>
  <c r="V35" i="2" s="1"/>
  <c r="U34" i="11" s="1"/>
  <c r="V40" i="2" a="1"/>
  <c r="V40" i="2" s="1"/>
  <c r="U37" i="11" s="1"/>
  <c r="V42" i="2" a="1"/>
  <c r="V42" i="2" s="1"/>
  <c r="U39" i="11" s="1"/>
  <c r="V45" i="2" a="1"/>
  <c r="V45" i="2" s="1"/>
  <c r="U42" i="11" s="1"/>
  <c r="V43" i="2" a="1"/>
  <c r="V43" i="2" s="1"/>
  <c r="U40" i="11" s="1"/>
  <c r="V44" i="2" a="1"/>
  <c r="V44" i="2" s="1"/>
  <c r="U41" i="11" s="1"/>
  <c r="V39" i="2" a="1"/>
  <c r="V39" i="2" s="1"/>
  <c r="U36" i="11" s="1"/>
  <c r="V41" i="2" a="1"/>
  <c r="V41" i="2" s="1"/>
  <c r="U38" i="11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T43" i="11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U43" i="11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<sst xmlns="http://schemas.openxmlformats.org/spreadsheetml/2006/main" count="405" uniqueCount="267">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</sst>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4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tabSelected="1" topLeftCell="A19" workbookViewId="0">
      <selection activeCell="AE38" sqref="AE38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2" t="s">
        <v>107</v>
      </c>
      <c r="C1" s="263"/>
      <c r="D1" s="263"/>
      <c r="E1" s="263"/>
      <c r="F1" s="263"/>
      <c r="G1" s="263"/>
      <c r="H1" s="263"/>
      <c r="I1" s="264"/>
      <c r="J1" s="259" t="s">
        <v>89</v>
      </c>
      <c r="K1" s="260"/>
      <c r="L1" s="260"/>
      <c r="M1" s="260"/>
      <c r="N1" s="261"/>
      <c r="P1" s="267" t="s">
        <v>17</v>
      </c>
      <c r="Q1" s="268"/>
      <c r="R1" s="268"/>
      <c r="S1" s="268"/>
      <c r="T1" s="268"/>
      <c r="U1" s="268"/>
      <c r="V1" s="269"/>
      <c r="X1" s="265" t="s">
        <v>79</v>
      </c>
      <c r="Y1" s="266"/>
      <c r="AA1" s="257" t="s">
        <v>93</v>
      </c>
      <c r="AB1" s="257"/>
      <c r="AC1" s="258"/>
      <c r="AE1" s="250" t="s">
        <v>143</v>
      </c>
      <c r="AF1" s="251"/>
      <c r="AG1" s="252"/>
      <c r="AI1" s="250" t="s">
        <v>103</v>
      </c>
      <c r="AJ1" s="251"/>
      <c r="AK1" s="252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 t="s">
        <v>195</v>
      </c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cm="1">
        <f t="array" ref="F5">IsUpgradable(E5)</f>
        <v>1</v>
      </c>
      <c r="G5" s="127">
        <f t="shared" si="0"/>
        <v>5</v>
      </c>
      <c r="H5" s="198">
        <v>5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>
        <f t="shared" si="2"/>
        <v>10</v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1</v>
      </c>
      <c r="U5" s="9" cm="1">
        <f t="array" ref="U5">SUMPRODUCT(TRANSPOSE(Details!$D$4:$D$8),$P5:$T5)/Details!$D$9</f>
        <v>1</v>
      </c>
      <c r="V5" s="13" cm="1">
        <f t="array" ref="V5">Details!$D$9-SUMPRODUCT(TRANSPOSE(Details!$D$4:$D$8),$P5:$T5)-$I5</f>
        <v>-11</v>
      </c>
      <c r="X5" s="13" cm="1">
        <f t="array" ref="X5">LevelUpgradeCost($E5)</f>
        <v>1235520000</v>
      </c>
      <c r="Y5" s="61">
        <f t="shared" si="4"/>
        <v>1</v>
      </c>
      <c r="AA5" s="110">
        <f t="shared" si="5"/>
        <v>5260</v>
      </c>
      <c r="AB5" s="63">
        <f>RANK($AA5,$AA$3:$AA$46)+COUNTIF($AA$3:$AA5,AA5)-1</f>
        <v>5</v>
      </c>
      <c r="AC5" s="61" cm="1">
        <f t="array" ref="AC5">IFERROR(_xlfn.IFS($AB5&lt;8,1,$AB5&lt;15,2,$AB5&lt;21,3),"")</f>
        <v>1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8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12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14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198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2530</v>
      </c>
      <c r="AB11" s="63">
        <f>RANK($AA11,$AA$3:$AA$46)+COUNTIF($AA$3:$AA11,AA11)-1</f>
        <v>17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cm="1">
        <f t="array" ref="F13">IsUpgradable(E13)</f>
        <v>1</v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1235520000</v>
      </c>
      <c r="Y13" s="61">
        <f t="shared" si="4"/>
        <v>1</v>
      </c>
      <c r="AA13" s="110">
        <f t="shared" si="5"/>
        <v>4260</v>
      </c>
      <c r="AB13" s="63">
        <f>RANK($AA13,$AA$3:$AA$46)+COUNTIF($AA$3:$AA13,AA13)-1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6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198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RANK($AA16,$AA$3:$AA$46)+COUNTIF($AA$3:$AA16,AA16)-1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15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cm="1">
        <f t="array" ref="F19">IsUpgradable(E19)</f>
        <v>1</v>
      </c>
      <c r="G19" s="127">
        <f t="shared" si="0"/>
        <v>4</v>
      </c>
      <c r="H19" s="198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1235520000</v>
      </c>
      <c r="Y19" s="61">
        <f t="shared" si="4"/>
        <v>1</v>
      </c>
      <c r="AA19" s="110">
        <f t="shared" si="5"/>
        <v>4260</v>
      </c>
      <c r="AB19" s="63">
        <f>RANK($AA19,$AA$3:$AA$46)+COUNTIF($AA$3:$AA19,AA19)-1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207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RANK($AA25,$AA$3:$AA$46)+COUNTIF($AA$3:$AA25,AA25)-1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16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4</v>
      </c>
      <c r="H27" s="199">
        <v>4.3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72.000000000000227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4560</v>
      </c>
      <c r="AB27" s="63">
        <f>RANK($AA27,$AA$3:$AA$46)+COUNTIF($AA$3:$AA27,AA27)-1</f>
        <v>7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13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186</v>
      </c>
      <c r="F29" s="125" cm="1">
        <f t="array" ref="F29">IsUpgradable(E29)</f>
        <v>1</v>
      </c>
      <c r="G29" s="127">
        <f t="shared" ref="G29" si="9">INT(H29)</f>
        <v>3</v>
      </c>
      <c r="H29" s="198">
        <v>3.2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634.99999999999989</v>
      </c>
      <c r="X29" s="13" cm="1">
        <f t="array" ref="X29">LevelUpgradeCost($E29)</f>
        <v>4667020000</v>
      </c>
      <c r="Y29" s="61">
        <f t="shared" ref="Y29" si="10">F29</f>
        <v>1</v>
      </c>
      <c r="AA29" s="110">
        <f t="shared" si="5"/>
        <v>3386</v>
      </c>
      <c r="AB29" s="63">
        <f>RANK($AA29,$AA$3:$AA$46)+COUNTIF($AA$3:$AA29,AA29)-1</f>
        <v>11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224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10</v>
      </c>
      <c r="F32" s="125" cm="1">
        <f t="array" ref="F32">IsUpgradable(E32)</f>
        <v>1</v>
      </c>
      <c r="G32" s="127">
        <f t="shared" si="11"/>
        <v>0</v>
      </c>
      <c r="H32" s="198">
        <v>0</v>
      </c>
      <c r="I32" s="123">
        <v>250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725</v>
      </c>
      <c r="X32" s="13" cm="1">
        <f t="array" ref="X32">LevelUpgradeCost($E32)</f>
        <v>5044089200</v>
      </c>
      <c r="Y32" s="61">
        <f t="shared" si="4"/>
        <v>1</v>
      </c>
      <c r="AA32" s="110">
        <f t="shared" si="5"/>
        <v>10</v>
      </c>
      <c r="AB32" s="63">
        <f>RANK($AA32,$AA$3:$AA$46)+COUNTIF($AA$3:$AA32,AA32)-1</f>
        <v>31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265</v>
      </c>
      <c r="C36" s="162" t="s">
        <v>53</v>
      </c>
      <c r="D36" s="163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266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63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266</v>
      </c>
      <c r="AF37" s="166"/>
      <c r="AG37" s="167"/>
      <c r="AI37" s="170" t="s">
        <v>264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215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20</v>
      </c>
      <c r="AC46" s="62" cm="1">
        <f t="array" ref="AC46">IFERROR(_xlfn.IFS($AB46&lt;8,1,$AB46&lt;15,2,$AB46&lt;21,3),"")</f>
        <v>3</v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196</v>
      </c>
      <c r="AJ46" s="70" t="s">
        <v>187</v>
      </c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28</v>
      </c>
      <c r="F48" s="142"/>
      <c r="G48" s="142"/>
      <c r="I48" s="5"/>
      <c r="X48" s="5">
        <f>SUMPRODUCT(X3:X46,Y3:Y46)</f>
        <v>95576102900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5" t="s">
        <v>48</v>
      </c>
      <c r="C52" s="256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205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3" t="s">
        <v>204</v>
      </c>
      <c r="C58" s="254"/>
      <c r="D58" s="142"/>
      <c r="I58" s="5"/>
      <c r="P58" s="1" t="s">
        <v>53</v>
      </c>
      <c r="Q58" s="1">
        <f t="shared" ref="Q58:Q60" si="22">SUMIF($C$3:$C$46,"=" &amp; $P58,$E$3:$E$46)</f>
        <v>2026</v>
      </c>
      <c r="R58" s="1">
        <f t="shared" ref="R58:R60" si="23">COUNTIFS($C$3:$C$46,"=" &amp; $P58,$E$3:$E$46,"&gt;0")</f>
        <v>9</v>
      </c>
      <c r="S58" s="1">
        <f t="shared" ref="S58:S60" si="24">Q58/R58</f>
        <v>225.11111111111111</v>
      </c>
      <c r="X58"/>
    </row>
    <row r="59" spans="2:24" ht="12" customHeight="1" x14ac:dyDescent="0.25">
      <c r="B59" s="240" t="s">
        <v>197</v>
      </c>
      <c r="C59" s="60">
        <v>400000</v>
      </c>
      <c r="D59" s="142"/>
      <c r="I59" s="5"/>
      <c r="P59" s="1" t="s">
        <v>50</v>
      </c>
      <c r="Q59" s="1">
        <f t="shared" si="22"/>
        <v>1880</v>
      </c>
      <c r="R59" s="1">
        <f t="shared" si="23"/>
        <v>8</v>
      </c>
      <c r="S59" s="1">
        <f t="shared" si="24"/>
        <v>235</v>
      </c>
      <c r="X59"/>
    </row>
    <row r="60" spans="2:24" ht="12" customHeight="1" x14ac:dyDescent="0.25">
      <c r="B60" s="204" t="s">
        <v>198</v>
      </c>
      <c r="C60" s="13">
        <v>300</v>
      </c>
      <c r="D60" s="142"/>
      <c r="I60" s="5"/>
      <c r="P60" s="1" t="s">
        <v>61</v>
      </c>
      <c r="Q60" s="1">
        <f t="shared" si="22"/>
        <v>1350</v>
      </c>
      <c r="R60" s="1">
        <f t="shared" si="23"/>
        <v>7</v>
      </c>
      <c r="S60" s="1">
        <f t="shared" si="24"/>
        <v>192.85714285714286</v>
      </c>
      <c r="X60"/>
    </row>
    <row r="61" spans="2:24" ht="12" customHeight="1" thickBot="1" x14ac:dyDescent="0.3">
      <c r="B61" s="241" t="s">
        <v>199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51:C51 B57:C57 C59:C61 B62:C81 B3:C48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57:D81 D3:D53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6">
    <cfRule type="expression" dxfId="63" priority="181">
      <formula>$G3&lt;4</formula>
    </cfRule>
  </conditionalFormatting>
  <conditionalFormatting sqref="N3:N46">
    <cfRule type="expression" dxfId="62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59" priority="242">
      <formula>VLOOKUP($B81,PalmonList,3,FALSE)="Attack"</formula>
    </cfRule>
    <cfRule type="expression" dxfId="58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conditionalFormatting sqref="AB8:AB29">
    <cfRule type="expression" dxfId="3" priority="251">
      <formula>VLOOKUP($B57,PalmonList,3,FALSE)="Attack"</formula>
    </cfRule>
    <cfRule type="expression" dxfId="2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1" priority="254">
      <formula>VLOOKUP($B76,PalmonList,3,FALSE)="Attack"</formula>
    </cfRule>
    <cfRule type="expression" dxfId="0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3"/>
  <sheetViews>
    <sheetView workbookViewId="0">
      <selection activeCell="E15" sqref="E1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>
        <f>Palmon!F5</f>
        <v>1</v>
      </c>
      <c r="F4">
        <f>Palmon!G5</f>
        <v>5</v>
      </c>
      <c r="G4">
        <f>Palmon!H5</f>
        <v>5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>
        <f>Palmon!N5</f>
        <v>10</v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1</v>
      </c>
      <c r="T4">
        <f>Palmon!U5</f>
        <v>1</v>
      </c>
      <c r="U4">
        <f>Palmon!V5</f>
        <v>-11</v>
      </c>
      <c r="V4">
        <f>Palmon!W5</f>
        <v>0</v>
      </c>
      <c r="W4">
        <f>Palmon!X5</f>
        <v>1235520000</v>
      </c>
      <c r="X4">
        <f>Palmon!Y5</f>
        <v>1</v>
      </c>
      <c r="Y4">
        <f>Palmon!Z5</f>
        <v>0</v>
      </c>
      <c r="Z4">
        <f>Palmon!AA5</f>
        <v>5260</v>
      </c>
      <c r="AA4">
        <f>Palmon!AB5</f>
        <v>5</v>
      </c>
      <c r="AB4">
        <f>Palmon!AC5</f>
        <v>1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8</v>
      </c>
      <c r="AB5">
        <f>Palmon!AC6</f>
        <v>2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12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14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17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>
        <f>Palmon!F13</f>
        <v>1</v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1235520000</v>
      </c>
      <c r="X12">
        <f>Palmon!Y13</f>
        <v>1</v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6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15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>
        <f>Palmon!F19</f>
        <v>1</v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1235520000</v>
      </c>
      <c r="X18">
        <f>Palmon!Y19</f>
        <v>1</v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16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4</v>
      </c>
      <c r="G26">
        <f>Palmon!H27</f>
        <v>4.3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72.000000000000227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4560</v>
      </c>
      <c r="AA26">
        <f>Palmon!AB27</f>
        <v>7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13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186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634.99999999999989</v>
      </c>
      <c r="V28">
        <f>Palmon!W29</f>
        <v>0</v>
      </c>
      <c r="W28">
        <f>Palmon!X29</f>
        <v>4667020000</v>
      </c>
      <c r="X28">
        <f>Palmon!Y29</f>
        <v>1</v>
      </c>
      <c r="Y28">
        <f>Palmon!Z29</f>
        <v>0</v>
      </c>
      <c r="Z28">
        <f>Palmon!AA29</f>
        <v>3386</v>
      </c>
      <c r="AA28">
        <f>Palmon!AB29</f>
        <v>11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10</v>
      </c>
      <c r="E31">
        <f>Palmon!F32</f>
        <v>1</v>
      </c>
      <c r="F31">
        <f>Palmon!G32</f>
        <v>0</v>
      </c>
      <c r="G31">
        <f>Palmon!H32</f>
        <v>0</v>
      </c>
      <c r="H31">
        <f>Palmon!I32</f>
        <v>250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725</v>
      </c>
      <c r="V31">
        <f>Palmon!W32</f>
        <v>0</v>
      </c>
      <c r="W31">
        <f>Palmon!X32</f>
        <v>5044089200</v>
      </c>
      <c r="X31">
        <f>Palmon!Y32</f>
        <v>1</v>
      </c>
      <c r="Y31">
        <f>Palmon!Z32</f>
        <v>0</v>
      </c>
      <c r="Z31">
        <f>Palmon!AA32</f>
        <v>10</v>
      </c>
      <c r="AA31">
        <f>Palmon!AB32</f>
        <v>31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Palmon!B38</f>
        <v>Woozard</v>
      </c>
      <c r="B35" t="str">
        <f>Palmon!C38</f>
        <v>Wood</v>
      </c>
      <c r="C35" t="str">
        <f>Palmon!D38</f>
        <v>Attack</v>
      </c>
      <c r="D35">
        <f>Palmon!E38</f>
        <v>1</v>
      </c>
      <c r="E35">
        <f>Palmon!F38</f>
        <v>1</v>
      </c>
      <c r="F35">
        <f>Palmon!G38</f>
        <v>0</v>
      </c>
      <c r="G35">
        <f>Palmon!H38</f>
        <v>0</v>
      </c>
      <c r="H35">
        <f>Palmon!I38</f>
        <v>0</v>
      </c>
      <c r="I35">
        <f>Palmon!J38</f>
        <v>1</v>
      </c>
      <c r="J35">
        <f>Palmon!K38</f>
        <v>1</v>
      </c>
      <c r="K35">
        <f>Palmon!L38</f>
        <v>1</v>
      </c>
      <c r="L35" t="str">
        <f>Palmon!M38</f>
        <v/>
      </c>
      <c r="M35" t="str">
        <f>Palmon!N38</f>
        <v/>
      </c>
      <c r="N35">
        <f>Palmon!O38</f>
        <v>0</v>
      </c>
      <c r="O35">
        <f>Palmon!P38</f>
        <v>0</v>
      </c>
      <c r="P35">
        <f>Palmon!Q38</f>
        <v>0</v>
      </c>
      <c r="Q35">
        <f>Palmon!R38</f>
        <v>0</v>
      </c>
      <c r="R35">
        <f>Palmon!S38</f>
        <v>0</v>
      </c>
      <c r="S35">
        <f>Palmon!T38</f>
        <v>0</v>
      </c>
      <c r="T35">
        <f>Palmon!U38</f>
        <v>0</v>
      </c>
      <c r="U35">
        <f>Palmon!V38</f>
        <v>975</v>
      </c>
      <c r="V35">
        <f>Palmon!W38</f>
        <v>0</v>
      </c>
      <c r="W35">
        <f>Palmon!X38</f>
        <v>5044093700</v>
      </c>
      <c r="X35">
        <f>Palmon!Y38</f>
        <v>1</v>
      </c>
      <c r="Y35">
        <f>Palmon!Z38</f>
        <v>0</v>
      </c>
      <c r="Z35">
        <f>Palmon!AA38</f>
        <v>1</v>
      </c>
      <c r="AA35">
        <f>Palmon!AB38</f>
        <v>32</v>
      </c>
      <c r="AB35" t="str">
        <f>Palmon!AC38</f>
        <v/>
      </c>
      <c r="AC35">
        <f>Palmon!AD38</f>
        <v>0</v>
      </c>
      <c r="AD35" t="str">
        <f>Palmon!AE38</f>
        <v>https://encrypted-tbn0.gstatic.com/images?q=tbn:ANd9GcQCf63iS9oq-SMn3DO74UTS2j_zSrzNVTRMOQ&amp;s</v>
      </c>
      <c r="AE35" t="str">
        <f>Palmon!AF38</f>
        <v xml:space="preserve"> </v>
      </c>
      <c r="AF35" t="str">
        <f>Palmon!AG38</f>
        <v xml:space="preserve"> </v>
      </c>
      <c r="AG35">
        <f>Palmon!AH38</f>
        <v>0</v>
      </c>
      <c r="AH35" t="str">
        <f>Palmon!AI38</f>
        <v>Fleurizard</v>
      </c>
      <c r="AI35">
        <f>Palmon!AJ38</f>
        <v>0</v>
      </c>
      <c r="AJ35">
        <f>Palmon!AK38</f>
        <v>0</v>
      </c>
    </row>
    <row r="36" spans="1:36" x14ac:dyDescent="0.25">
      <c r="A36" t="str">
        <f>Palmon!B39</f>
        <v>Mystiray</v>
      </c>
      <c r="B36" t="str">
        <f>Palmon!C39</f>
        <v>Electricity</v>
      </c>
      <c r="C36" t="str">
        <f>Palmon!D39</f>
        <v>Attack</v>
      </c>
      <c r="D36">
        <f>Palmon!E39</f>
        <v>0</v>
      </c>
      <c r="E36" t="str">
        <f>Palmon!F39</f>
        <v/>
      </c>
      <c r="F36">
        <f>Palmon!G39</f>
        <v>0</v>
      </c>
      <c r="G36">
        <f>Palmon!H39</f>
        <v>0</v>
      </c>
      <c r="H36">
        <f>Palmon!I39</f>
        <v>0</v>
      </c>
      <c r="I36" t="str">
        <f>Palmon!J39</f>
        <v/>
      </c>
      <c r="J36">
        <f>Palmon!K39</f>
        <v>0</v>
      </c>
      <c r="K36">
        <f>Palmon!L39</f>
        <v>0</v>
      </c>
      <c r="L36" t="str">
        <f>Palmon!M39</f>
        <v/>
      </c>
      <c r="M36" t="str">
        <f>Palmon!N39</f>
        <v/>
      </c>
      <c r="N36">
        <f>Palmon!O39</f>
        <v>0</v>
      </c>
      <c r="O36">
        <f>Palmon!P39</f>
        <v>0</v>
      </c>
      <c r="P36">
        <f>Palmon!Q39</f>
        <v>0</v>
      </c>
      <c r="Q36">
        <f>Palmon!R39</f>
        <v>0</v>
      </c>
      <c r="R36">
        <f>Palmon!S39</f>
        <v>0</v>
      </c>
      <c r="S36">
        <f>Palmon!T39</f>
        <v>0</v>
      </c>
      <c r="T36">
        <f>Palmon!U39</f>
        <v>0</v>
      </c>
      <c r="U36">
        <f>Palmon!V39</f>
        <v>975</v>
      </c>
      <c r="V36">
        <f>Palmon!W39</f>
        <v>0</v>
      </c>
      <c r="W36">
        <f>Palmon!X39</f>
        <v>5044093700</v>
      </c>
      <c r="X36" t="str">
        <f>Palmon!Y39</f>
        <v/>
      </c>
      <c r="Y36">
        <f>Palmon!Z39</f>
        <v>0</v>
      </c>
      <c r="Z36">
        <f>Palmon!AA39</f>
        <v>0</v>
      </c>
      <c r="AA36">
        <f>Palmon!AB39</f>
        <v>38</v>
      </c>
      <c r="AB36" t="str">
        <f>Palmon!AC39</f>
        <v/>
      </c>
      <c r="AC36">
        <f>Palmon!AD39</f>
        <v>0</v>
      </c>
      <c r="AD36">
        <f>Palmon!AE39</f>
        <v>0</v>
      </c>
      <c r="AE36" t="str">
        <f>Palmon!AF39</f>
        <v xml:space="preserve"> </v>
      </c>
      <c r="AF36" t="str">
        <f>Palmon!AG39</f>
        <v xml:space="preserve"> </v>
      </c>
      <c r="AG36">
        <f>Palmon!AH39</f>
        <v>0</v>
      </c>
      <c r="AH36">
        <f>Palmon!AI39</f>
        <v>0</v>
      </c>
      <c r="AI36">
        <f>Palmon!AJ39</f>
        <v>0</v>
      </c>
      <c r="AJ36">
        <f>Palmon!AK39</f>
        <v>0</v>
      </c>
    </row>
    <row r="37" spans="1:36" x14ac:dyDescent="0.25">
      <c r="A37" t="str">
        <f>Palmon!B40</f>
        <v>Predalynx</v>
      </c>
      <c r="B37" t="str">
        <f>Palmon!C40</f>
        <v>Wood</v>
      </c>
      <c r="C37" t="str">
        <f>Palmon!D40</f>
        <v>Attack</v>
      </c>
      <c r="D37">
        <f>Palmon!E40</f>
        <v>0</v>
      </c>
      <c r="E37" t="str">
        <f>Palmon!F40</f>
        <v/>
      </c>
      <c r="F37">
        <f>Palmon!G40</f>
        <v>0</v>
      </c>
      <c r="G37">
        <f>Palmon!H40</f>
        <v>0</v>
      </c>
      <c r="H37">
        <f>Palmon!I40</f>
        <v>0</v>
      </c>
      <c r="I37" t="str">
        <f>Palmon!J40</f>
        <v/>
      </c>
      <c r="J37">
        <f>Palmon!K40</f>
        <v>0</v>
      </c>
      <c r="K37">
        <f>Palmon!L40</f>
        <v>0</v>
      </c>
      <c r="L37" t="str">
        <f>Palmon!M40</f>
        <v/>
      </c>
      <c r="M37" t="str">
        <f>Palmon!N40</f>
        <v/>
      </c>
      <c r="N37">
        <f>Palmon!O40</f>
        <v>0</v>
      </c>
      <c r="O37">
        <f>Palmon!P40</f>
        <v>0</v>
      </c>
      <c r="P37">
        <f>Palmon!Q40</f>
        <v>0</v>
      </c>
      <c r="Q37">
        <f>Palmon!R40</f>
        <v>0</v>
      </c>
      <c r="R37">
        <f>Palmon!S40</f>
        <v>0</v>
      </c>
      <c r="S37">
        <f>Palmon!T40</f>
        <v>0</v>
      </c>
      <c r="T37">
        <f>Palmon!U40</f>
        <v>0</v>
      </c>
      <c r="U37">
        <f>Palmon!V40</f>
        <v>975</v>
      </c>
      <c r="V37">
        <f>Palmon!W40</f>
        <v>0</v>
      </c>
      <c r="W37">
        <f>Palmon!X40</f>
        <v>5044093700</v>
      </c>
      <c r="X37" t="str">
        <f>Palmon!Y40</f>
        <v/>
      </c>
      <c r="Y37">
        <f>Palmon!Z40</f>
        <v>0</v>
      </c>
      <c r="Z37">
        <f>Palmon!AA40</f>
        <v>0</v>
      </c>
      <c r="AA37">
        <f>Palmon!AB40</f>
        <v>39</v>
      </c>
      <c r="AB37" t="str">
        <f>Palmon!AC40</f>
        <v/>
      </c>
      <c r="AC37">
        <f>Palmon!AD40</f>
        <v>0</v>
      </c>
      <c r="AD37">
        <f>Palmon!AE40</f>
        <v>0</v>
      </c>
      <c r="AE37" t="str">
        <f>Palmon!AF40</f>
        <v xml:space="preserve"> </v>
      </c>
      <c r="AF37" t="str">
        <f>Palmon!AG40</f>
        <v xml:space="preserve"> </v>
      </c>
      <c r="AG37">
        <f>Palmon!AH40</f>
        <v>0</v>
      </c>
      <c r="AH37">
        <f>Palmon!AI40</f>
        <v>0</v>
      </c>
      <c r="AI37">
        <f>Palmon!AJ40</f>
        <v>0</v>
      </c>
      <c r="AJ37">
        <f>Palmon!AK40</f>
        <v>0</v>
      </c>
    </row>
    <row r="38" spans="1:36" x14ac:dyDescent="0.25">
      <c r="A38" t="str">
        <f>Palmon!B41</f>
        <v>Solhorn</v>
      </c>
      <c r="B38" t="str">
        <f>Palmon!C41</f>
        <v>Fire</v>
      </c>
      <c r="C38" t="str">
        <f>Palmon!D41</f>
        <v>Attack</v>
      </c>
      <c r="D38">
        <f>Palmon!E41</f>
        <v>0</v>
      </c>
      <c r="E38" t="str">
        <f>Palmon!F41</f>
        <v/>
      </c>
      <c r="F38">
        <f>Palmon!G41</f>
        <v>0</v>
      </c>
      <c r="G38">
        <f>Palmon!H41</f>
        <v>0</v>
      </c>
      <c r="H38">
        <f>Palmon!I41</f>
        <v>0</v>
      </c>
      <c r="I38" t="str">
        <f>Palmon!J41</f>
        <v/>
      </c>
      <c r="J38">
        <f>Palmon!K41</f>
        <v>0</v>
      </c>
      <c r="K38">
        <f>Palmon!L41</f>
        <v>0</v>
      </c>
      <c r="L38" t="str">
        <f>Palmon!M41</f>
        <v/>
      </c>
      <c r="M38" t="str">
        <f>Palmon!N41</f>
        <v/>
      </c>
      <c r="N38">
        <f>Palmon!O41</f>
        <v>0</v>
      </c>
      <c r="O38">
        <f>Palmon!P41</f>
        <v>0</v>
      </c>
      <c r="P38">
        <f>Palmon!Q41</f>
        <v>0</v>
      </c>
      <c r="Q38">
        <f>Palmon!R41</f>
        <v>0</v>
      </c>
      <c r="R38">
        <f>Palmon!S41</f>
        <v>0</v>
      </c>
      <c r="S38">
        <f>Palmon!T41</f>
        <v>0</v>
      </c>
      <c r="T38">
        <f>Palmon!U41</f>
        <v>0</v>
      </c>
      <c r="U38">
        <f>Palmon!V41</f>
        <v>975</v>
      </c>
      <c r="V38">
        <f>Palmon!W41</f>
        <v>0</v>
      </c>
      <c r="W38">
        <f>Palmon!X41</f>
        <v>5044093700</v>
      </c>
      <c r="X38" t="str">
        <f>Palmon!Y41</f>
        <v/>
      </c>
      <c r="Y38">
        <f>Palmon!Z41</f>
        <v>0</v>
      </c>
      <c r="Z38">
        <f>Palmon!AA41</f>
        <v>0</v>
      </c>
      <c r="AA38">
        <f>Palmon!AB41</f>
        <v>40</v>
      </c>
      <c r="AB38" t="str">
        <f>Palmon!AC41</f>
        <v/>
      </c>
      <c r="AC38">
        <f>Palmon!AD41</f>
        <v>0</v>
      </c>
      <c r="AD38">
        <f>Palmon!AE41</f>
        <v>0</v>
      </c>
      <c r="AE38" t="str">
        <f>Palmon!AF41</f>
        <v xml:space="preserve"> </v>
      </c>
      <c r="AF38" t="str">
        <f>Palmon!AG41</f>
        <v xml:space="preserve"> </v>
      </c>
      <c r="AG38">
        <f>Palmon!AH41</f>
        <v>0</v>
      </c>
      <c r="AH38">
        <f>Palmon!AI41</f>
        <v>0</v>
      </c>
      <c r="AI38">
        <f>Palmon!AJ41</f>
        <v>0</v>
      </c>
      <c r="AJ38">
        <f>Palmon!AK41</f>
        <v>0</v>
      </c>
    </row>
    <row r="39" spans="1:36" x14ac:dyDescent="0.25">
      <c r="A39" t="str">
        <f>Palmon!B42</f>
        <v>Leviadolph</v>
      </c>
      <c r="B39" t="str">
        <f>Palmon!C42</f>
        <v>Water</v>
      </c>
      <c r="C39" t="str">
        <f>Palmon!D42</f>
        <v>Attack</v>
      </c>
      <c r="D39">
        <f>Palmon!E42</f>
        <v>0</v>
      </c>
      <c r="E39" t="str">
        <f>Palmon!F42</f>
        <v/>
      </c>
      <c r="F39">
        <f>Palmon!G42</f>
        <v>0</v>
      </c>
      <c r="G39">
        <f>Palmon!H42</f>
        <v>0</v>
      </c>
      <c r="H39">
        <f>Palmon!I42</f>
        <v>0</v>
      </c>
      <c r="I39" t="str">
        <f>Palmon!J42</f>
        <v/>
      </c>
      <c r="J39">
        <f>Palmon!K42</f>
        <v>0</v>
      </c>
      <c r="K39">
        <f>Palmon!L42</f>
        <v>0</v>
      </c>
      <c r="L39" t="str">
        <f>Palmon!M42</f>
        <v/>
      </c>
      <c r="M39" t="str">
        <f>Palmon!N42</f>
        <v/>
      </c>
      <c r="N39">
        <f>Palmon!O42</f>
        <v>0</v>
      </c>
      <c r="O39">
        <f>Palmon!P42</f>
        <v>0</v>
      </c>
      <c r="P39">
        <f>Palmon!Q42</f>
        <v>0</v>
      </c>
      <c r="Q39">
        <f>Palmon!R42</f>
        <v>0</v>
      </c>
      <c r="R39">
        <f>Palmon!S42</f>
        <v>0</v>
      </c>
      <c r="S39">
        <f>Palmon!T42</f>
        <v>0</v>
      </c>
      <c r="T39">
        <f>Palmon!U42</f>
        <v>0</v>
      </c>
      <c r="U39">
        <f>Palmon!V42</f>
        <v>975</v>
      </c>
      <c r="V39">
        <f>Palmon!W42</f>
        <v>0</v>
      </c>
      <c r="W39">
        <f>Palmon!X42</f>
        <v>5044093700</v>
      </c>
      <c r="X39" t="str">
        <f>Palmon!Y42</f>
        <v/>
      </c>
      <c r="Y39">
        <f>Palmon!Z42</f>
        <v>0</v>
      </c>
      <c r="Z39">
        <f>Palmon!AA42</f>
        <v>0</v>
      </c>
      <c r="AA39">
        <f>Palmon!AB42</f>
        <v>41</v>
      </c>
      <c r="AB39" t="str">
        <f>Palmon!AC42</f>
        <v/>
      </c>
      <c r="AC39">
        <f>Palmon!AD42</f>
        <v>0</v>
      </c>
      <c r="AD39">
        <f>Palmon!AE42</f>
        <v>0</v>
      </c>
      <c r="AE39" t="str">
        <f>Palmon!AF42</f>
        <v xml:space="preserve"> </v>
      </c>
      <c r="AF39" t="str">
        <f>Palmon!AG42</f>
        <v xml:space="preserve"> </v>
      </c>
      <c r="AG39">
        <f>Palmon!AH42</f>
        <v>0</v>
      </c>
      <c r="AH39">
        <f>Palmon!AI42</f>
        <v>0</v>
      </c>
      <c r="AI39">
        <f>Palmon!AJ42</f>
        <v>0</v>
      </c>
      <c r="AJ39">
        <f>Palmon!AK42</f>
        <v>0</v>
      </c>
    </row>
    <row r="40" spans="1:36" x14ac:dyDescent="0.25">
      <c r="A40" t="str">
        <f>Palmon!B43</f>
        <v>Voltfang</v>
      </c>
      <c r="B40" t="str">
        <f>Palmon!C43</f>
        <v>Electricity</v>
      </c>
      <c r="C40" t="str">
        <f>Palmon!D43</f>
        <v>Attack</v>
      </c>
      <c r="D40">
        <f>Palmon!E43</f>
        <v>0</v>
      </c>
      <c r="E40" t="str">
        <f>Palmon!F43</f>
        <v/>
      </c>
      <c r="F40">
        <f>Palmon!G43</f>
        <v>0</v>
      </c>
      <c r="G40">
        <f>Palmon!H43</f>
        <v>0</v>
      </c>
      <c r="H40">
        <f>Palmon!I43</f>
        <v>0</v>
      </c>
      <c r="I40" t="str">
        <f>Palmon!J43</f>
        <v/>
      </c>
      <c r="J40">
        <f>Palmon!K43</f>
        <v>0</v>
      </c>
      <c r="K40">
        <f>Palmon!L43</f>
        <v>0</v>
      </c>
      <c r="L40" t="str">
        <f>Palmon!M43</f>
        <v/>
      </c>
      <c r="M40" t="str">
        <f>Palmon!N43</f>
        <v/>
      </c>
      <c r="N40">
        <f>Palmon!O43</f>
        <v>0</v>
      </c>
      <c r="O40">
        <f>Palmon!P43</f>
        <v>0</v>
      </c>
      <c r="P40">
        <f>Palmon!Q43</f>
        <v>0</v>
      </c>
      <c r="Q40">
        <f>Palmon!R43</f>
        <v>0</v>
      </c>
      <c r="R40">
        <f>Palmon!S43</f>
        <v>0</v>
      </c>
      <c r="S40">
        <f>Palmon!T43</f>
        <v>0</v>
      </c>
      <c r="T40">
        <f>Palmon!U43</f>
        <v>0</v>
      </c>
      <c r="U40">
        <f>Palmon!V43</f>
        <v>975</v>
      </c>
      <c r="V40">
        <f>Palmon!W43</f>
        <v>0</v>
      </c>
      <c r="W40">
        <f>Palmon!X43</f>
        <v>5044093700</v>
      </c>
      <c r="X40" t="str">
        <f>Palmon!Y43</f>
        <v/>
      </c>
      <c r="Y40">
        <f>Palmon!Z43</f>
        <v>0</v>
      </c>
      <c r="Z40">
        <f>Palmon!AA43</f>
        <v>0</v>
      </c>
      <c r="AA40">
        <f>Palmon!AB43</f>
        <v>42</v>
      </c>
      <c r="AB40" t="str">
        <f>Palmon!AC43</f>
        <v/>
      </c>
      <c r="AC40">
        <f>Palmon!AD43</f>
        <v>0</v>
      </c>
      <c r="AD40">
        <f>Palmon!AE43</f>
        <v>0</v>
      </c>
      <c r="AE40" t="str">
        <f>Palmon!AF43</f>
        <v xml:space="preserve"> </v>
      </c>
      <c r="AF40" t="str">
        <f>Palmon!AG43</f>
        <v xml:space="preserve"> </v>
      </c>
      <c r="AG40">
        <f>Palmon!AH43</f>
        <v>0</v>
      </c>
      <c r="AH40">
        <f>Palmon!AI43</f>
        <v>0</v>
      </c>
      <c r="AI40">
        <f>Palmon!AJ43</f>
        <v>0</v>
      </c>
      <c r="AJ40">
        <f>Palmon!AK43</f>
        <v>0</v>
      </c>
    </row>
    <row r="41" spans="1:36" x14ac:dyDescent="0.25">
      <c r="A41" t="str">
        <f>Palmon!B44</f>
        <v>Leafgarde</v>
      </c>
      <c r="B41" t="str">
        <f>Palmon!C44</f>
        <v>Wood</v>
      </c>
      <c r="C41" t="str">
        <f>Palmon!D44</f>
        <v>Attack</v>
      </c>
      <c r="D41">
        <f>Palmon!E44</f>
        <v>0</v>
      </c>
      <c r="E41" t="str">
        <f>Palmon!F44</f>
        <v/>
      </c>
      <c r="F41">
        <f>Palmon!G44</f>
        <v>0</v>
      </c>
      <c r="G41">
        <f>Palmon!H44</f>
        <v>0</v>
      </c>
      <c r="H41">
        <f>Palmon!I44</f>
        <v>0</v>
      </c>
      <c r="I41" t="str">
        <f>Palmon!J44</f>
        <v/>
      </c>
      <c r="J41">
        <f>Palmon!K44</f>
        <v>0</v>
      </c>
      <c r="K41">
        <f>Palmon!L44</f>
        <v>0</v>
      </c>
      <c r="L41" t="str">
        <f>Palmon!M44</f>
        <v/>
      </c>
      <c r="M41" t="str">
        <f>Palmon!N44</f>
        <v/>
      </c>
      <c r="N41">
        <f>Palmon!O44</f>
        <v>0</v>
      </c>
      <c r="O41">
        <f>Palmon!P44</f>
        <v>0</v>
      </c>
      <c r="P41">
        <f>Palmon!Q44</f>
        <v>0</v>
      </c>
      <c r="Q41">
        <f>Palmon!R44</f>
        <v>0</v>
      </c>
      <c r="R41">
        <f>Palmon!S44</f>
        <v>0</v>
      </c>
      <c r="S41">
        <f>Palmon!T44</f>
        <v>0</v>
      </c>
      <c r="T41">
        <f>Palmon!U44</f>
        <v>0</v>
      </c>
      <c r="U41">
        <f>Palmon!V44</f>
        <v>975</v>
      </c>
      <c r="V41">
        <f>Palmon!W44</f>
        <v>0</v>
      </c>
      <c r="W41">
        <f>Palmon!X44</f>
        <v>5044093700</v>
      </c>
      <c r="X41" t="str">
        <f>Palmon!Y44</f>
        <v/>
      </c>
      <c r="Y41">
        <f>Palmon!Z44</f>
        <v>0</v>
      </c>
      <c r="Z41">
        <f>Palmon!AA44</f>
        <v>0</v>
      </c>
      <c r="AA41">
        <f>Palmon!AB44</f>
        <v>43</v>
      </c>
      <c r="AB41" t="str">
        <f>Palmon!AC44</f>
        <v/>
      </c>
      <c r="AC41">
        <f>Palmon!AD44</f>
        <v>0</v>
      </c>
      <c r="AD41">
        <f>Palmon!AE44</f>
        <v>0</v>
      </c>
      <c r="AE41" t="str">
        <f>Palmon!AF44</f>
        <v xml:space="preserve"> </v>
      </c>
      <c r="AF41" t="str">
        <f>Palmon!AG44</f>
        <v xml:space="preserve"> </v>
      </c>
      <c r="AG41">
        <f>Palmon!AH44</f>
        <v>0</v>
      </c>
      <c r="AH41">
        <f>Palmon!AI44</f>
        <v>0</v>
      </c>
      <c r="AI41">
        <f>Palmon!AJ44</f>
        <v>0</v>
      </c>
      <c r="AJ41">
        <f>Palmon!AK44</f>
        <v>0</v>
      </c>
    </row>
    <row r="42" spans="1:36" x14ac:dyDescent="0.25">
      <c r="A42" t="str">
        <f>Palmon!B45</f>
        <v>Inferdrake</v>
      </c>
      <c r="B42" t="str">
        <f>Palmon!C45</f>
        <v>Fire</v>
      </c>
      <c r="C42" t="str">
        <f>Palmon!D45</f>
        <v>Attack</v>
      </c>
      <c r="D42">
        <f>Palmon!E45</f>
        <v>0</v>
      </c>
      <c r="E42" t="str">
        <f>Palmon!F45</f>
        <v/>
      </c>
      <c r="F42">
        <f>Palmon!G45</f>
        <v>0</v>
      </c>
      <c r="G42">
        <f>Palmon!H45</f>
        <v>0</v>
      </c>
      <c r="H42">
        <f>Palmon!I45</f>
        <v>0</v>
      </c>
      <c r="I42" t="str">
        <f>Palmon!J45</f>
        <v/>
      </c>
      <c r="J42">
        <f>Palmon!K45</f>
        <v>0</v>
      </c>
      <c r="K42">
        <f>Palmon!L45</f>
        <v>0</v>
      </c>
      <c r="L42" t="str">
        <f>Palmon!M45</f>
        <v/>
      </c>
      <c r="M42" t="str">
        <f>Palmon!N45</f>
        <v/>
      </c>
      <c r="N42">
        <f>Palmon!O45</f>
        <v>0</v>
      </c>
      <c r="O42">
        <f>Palmon!P45</f>
        <v>0</v>
      </c>
      <c r="P42">
        <f>Palmon!Q45</f>
        <v>0</v>
      </c>
      <c r="Q42">
        <f>Palmon!R45</f>
        <v>0</v>
      </c>
      <c r="R42">
        <f>Palmon!S45</f>
        <v>0</v>
      </c>
      <c r="S42">
        <f>Palmon!T45</f>
        <v>0</v>
      </c>
      <c r="T42">
        <f>Palmon!U45</f>
        <v>0</v>
      </c>
      <c r="U42">
        <f>Palmon!V45</f>
        <v>975</v>
      </c>
      <c r="V42">
        <f>Palmon!W45</f>
        <v>0</v>
      </c>
      <c r="W42">
        <f>Palmon!X45</f>
        <v>5044093700</v>
      </c>
      <c r="X42" t="str">
        <f>Palmon!Y45</f>
        <v/>
      </c>
      <c r="Y42">
        <f>Palmon!Z45</f>
        <v>0</v>
      </c>
      <c r="Z42">
        <f>Palmon!AA45</f>
        <v>0</v>
      </c>
      <c r="AA42">
        <f>Palmon!AB45</f>
        <v>44</v>
      </c>
      <c r="AB42" t="str">
        <f>Palmon!AC45</f>
        <v/>
      </c>
      <c r="AC42">
        <f>Palmon!AD45</f>
        <v>0</v>
      </c>
      <c r="AD42">
        <f>Palmon!AE45</f>
        <v>0</v>
      </c>
      <c r="AE42" t="str">
        <f>Palmon!AF45</f>
        <v xml:space="preserve"> </v>
      </c>
      <c r="AF42" t="str">
        <f>Palmon!AG45</f>
        <v xml:space="preserve"> </v>
      </c>
      <c r="AG42">
        <f>Palmon!AH45</f>
        <v>0</v>
      </c>
      <c r="AH42">
        <f>Palmon!AI45</f>
        <v>0</v>
      </c>
      <c r="AI42">
        <f>Palmon!AJ45</f>
        <v>0</v>
      </c>
      <c r="AJ42">
        <f>Palmon!AK45</f>
        <v>0</v>
      </c>
    </row>
    <row r="43" spans="1:36" x14ac:dyDescent="0.25">
      <c r="A43" t="str">
        <f>Palmon!B46</f>
        <v>Revontulet</v>
      </c>
      <c r="B43" t="str">
        <f>Palmon!C46</f>
        <v>Fire</v>
      </c>
      <c r="C43" t="str">
        <f>Palmon!D46</f>
        <v>Attack</v>
      </c>
      <c r="D43">
        <f>Palmon!E46</f>
        <v>160</v>
      </c>
      <c r="E43">
        <f>Palmon!F46</f>
        <v>1</v>
      </c>
      <c r="F43">
        <f>Palmon!G46</f>
        <v>2</v>
      </c>
      <c r="G43">
        <f>Palmon!H46</f>
        <v>2.2999999999999998</v>
      </c>
      <c r="H43">
        <f>Palmon!I46</f>
        <v>0</v>
      </c>
      <c r="I43">
        <f>Palmon!J46</f>
        <v>1</v>
      </c>
      <c r="J43">
        <f>Palmon!K46</f>
        <v>1</v>
      </c>
      <c r="K43">
        <f>Palmon!L46</f>
        <v>1</v>
      </c>
      <c r="L43" t="str">
        <f>Palmon!M46</f>
        <v/>
      </c>
      <c r="M43" t="str">
        <f>Palmon!N46</f>
        <v/>
      </c>
      <c r="N43">
        <f>Palmon!O46</f>
        <v>0</v>
      </c>
      <c r="O43">
        <f>Palmon!P46</f>
        <v>1</v>
      </c>
      <c r="P43">
        <f>Palmon!Q46</f>
        <v>1</v>
      </c>
      <c r="Q43">
        <f>Palmon!R46</f>
        <v>0.59999999999999964</v>
      </c>
      <c r="R43">
        <f>Palmon!S46</f>
        <v>0</v>
      </c>
      <c r="S43">
        <f>Palmon!T46</f>
        <v>0</v>
      </c>
      <c r="T43">
        <f>Palmon!U46</f>
        <v>0.13846153846153844</v>
      </c>
      <c r="U43">
        <f>Palmon!V46</f>
        <v>840</v>
      </c>
      <c r="V43">
        <f>Palmon!W46</f>
        <v>0</v>
      </c>
      <c r="W43">
        <f>Palmon!X46</f>
        <v>4919220000</v>
      </c>
      <c r="X43">
        <f>Palmon!Y46</f>
        <v>1</v>
      </c>
      <c r="Y43">
        <f>Palmon!Z46</f>
        <v>0</v>
      </c>
      <c r="Z43">
        <f>Palmon!AA46</f>
        <v>2460</v>
      </c>
      <c r="AA43">
        <f>Palmon!AB46</f>
        <v>20</v>
      </c>
      <c r="AB43">
        <f>Palmon!AC46</f>
        <v>3</v>
      </c>
      <c r="AC43">
        <f>Palmon!AD46</f>
        <v>0</v>
      </c>
      <c r="AD43">
        <f>Palmon!AE46</f>
        <v>0</v>
      </c>
      <c r="AE43" t="str">
        <f>Palmon!AF46</f>
        <v xml:space="preserve"> </v>
      </c>
      <c r="AF43" t="str">
        <f>Palmon!AG46</f>
        <v xml:space="preserve"> </v>
      </c>
      <c r="AG43">
        <f>Palmon!AH46</f>
        <v>0</v>
      </c>
      <c r="AH43" t="str">
        <f>Palmon!AI46</f>
        <v>Vulpyrean</v>
      </c>
      <c r="AI43" t="str">
        <f>Palmon!AJ46</f>
        <v>Camouflynx</v>
      </c>
      <c r="AJ43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0" t="s">
        <v>91</v>
      </c>
      <c r="F2" s="271"/>
      <c r="G2" s="271"/>
      <c r="H2" s="271"/>
      <c r="I2" s="271"/>
      <c r="J2" s="272"/>
      <c r="L2" s="1"/>
      <c r="M2" s="270" t="s">
        <v>109</v>
      </c>
      <c r="N2" s="271"/>
      <c r="O2" s="271"/>
      <c r="P2" s="271"/>
      <c r="Q2" s="271"/>
      <c r="R2" s="271"/>
      <c r="S2" s="272"/>
    </row>
    <row r="3" spans="2:23" ht="15.75" thickBot="1" x14ac:dyDescent="0.3">
      <c r="B3" s="1" t="str" cm="1">
        <f t="array" ref="B3:H35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0" t="str">
        <f>TCD!E2 &amp; " per Type"</f>
        <v>Palmon upgrade costs per Type</v>
      </c>
      <c r="N12" s="271"/>
      <c r="O12" s="271"/>
      <c r="P12" s="271"/>
      <c r="Q12" s="272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487</v>
      </c>
      <c r="P17" s="47">
        <v>487</v>
      </c>
      <c r="Q17" s="40"/>
      <c r="R17" s="1"/>
      <c r="U17" s="46" t="str">
        <v>Fire</v>
      </c>
      <c r="V17" s="192">
        <v>245.71428571428572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134.99999999999989</v>
      </c>
      <c r="O18" s="33">
        <v>500</v>
      </c>
      <c r="P18" s="47">
        <v>500</v>
      </c>
      <c r="Q18" s="40"/>
      <c r="R18" s="1"/>
      <c r="U18" s="46" t="str">
        <v>Water</v>
      </c>
      <c r="V18" s="192">
        <v>240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 t="str">
        <v/>
      </c>
      <c r="H20" s="33">
        <v>0</v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235.47619047619048</v>
      </c>
      <c r="W20" s="196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134.99999999999989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0" t="s">
        <v>90</v>
      </c>
      <c r="N22" s="271"/>
      <c r="O22" s="271"/>
      <c r="P22" s="271"/>
      <c r="Q22" s="271"/>
      <c r="R22" s="271"/>
      <c r="S22" s="272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72.000000000000227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1</v>
      </c>
      <c r="P27" s="33">
        <v>2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1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4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0" t="s">
        <v>95</v>
      </c>
      <c r="N32" s="271"/>
      <c r="O32" s="272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2</v>
      </c>
      <c r="N35" s="33">
        <v>3</v>
      </c>
      <c r="O35" s="40">
        <v>2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0" t="s">
        <v>94</v>
      </c>
      <c r="M40" s="271"/>
      <c r="N40" s="272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Ghillant</v>
      </c>
      <c r="N42" s="75" t="str">
        <v>Blazeal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Ghillant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Mantleray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Pipistrigoi</v>
      </c>
      <c r="N44" s="78" t="str">
        <v>Abuzzinian</v>
      </c>
      <c r="O44" s="1"/>
      <c r="P44" s="1" t="str">
        <v>Gnashley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Kungpaw</v>
      </c>
      <c r="N45" s="78" t="str">
        <v>Escarffier</v>
      </c>
      <c r="O45" s="1"/>
      <c r="P45" s="1" t="str">
        <v>Glacewing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Hoofrit</v>
      </c>
      <c r="M46" s="77" t="str">
        <v>Magmolin</v>
      </c>
      <c r="N46" s="78" t="str">
        <v>Ninjump</v>
      </c>
      <c r="O46" s="1"/>
      <c r="P46" s="1" t="str">
        <v>Hoofrit</v>
      </c>
      <c r="Q46" s="1" t="str">
        <v>Magmolin</v>
      </c>
      <c r="R46" s="1"/>
      <c r="T46"/>
      <c r="U46"/>
      <c r="V46"/>
      <c r="W46"/>
    </row>
    <row r="47" spans="2:23" x14ac:dyDescent="0.25">
      <c r="L47" s="76" t="str">
        <v>Fleurizard</v>
      </c>
      <c r="M47" s="77" t="str">
        <v>Spookaboo</v>
      </c>
      <c r="N47" s="78" t="str">
        <v>Revontulet</v>
      </c>
      <c r="O47" s="1"/>
      <c r="P47" s="1" t="str">
        <v>Fleurizard</v>
      </c>
      <c r="Q47" s="1" t="str">
        <v>Spookaboo</v>
      </c>
      <c r="R47" s="1"/>
      <c r="T47"/>
      <c r="U47"/>
      <c r="V47"/>
      <c r="W47"/>
    </row>
    <row r="48" spans="2:23" ht="15.75" thickBot="1" x14ac:dyDescent="0.3">
      <c r="L48" s="81" t="str">
        <v>Oleana</v>
      </c>
      <c r="M48" s="82" t="str">
        <v>Barkplug</v>
      </c>
      <c r="N48" s="83" t="str">
        <v>Limudroid</v>
      </c>
      <c r="O48" s="1"/>
      <c r="P48" s="1" t="str">
        <v>Oleana</v>
      </c>
      <c r="Q48" s="1" t="str">
        <v>Barkplug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15</v>
      </c>
      <c r="L52" s="1" t="str">
        <v>Abuzzinian</v>
      </c>
      <c r="M52" s="1" t="str">
        <v/>
      </c>
      <c r="N52" s="1">
        <v>17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12</v>
      </c>
      <c r="L54" s="1" t="str">
        <v>Barkplug</v>
      </c>
      <c r="M54" s="1" t="str">
        <v/>
      </c>
      <c r="N54" s="1">
        <v>14</v>
      </c>
      <c r="P54" s="1" t="str">
        <v/>
      </c>
      <c r="Q54" s="1">
        <v>5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13</v>
      </c>
      <c r="H56" s="1" t="str">
        <v/>
      </c>
      <c r="L56" s="1" t="str">
        <v>Blazeal</v>
      </c>
      <c r="M56" s="1">
        <v>15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4</v>
      </c>
      <c r="H61" s="1" t="str">
        <v/>
      </c>
      <c r="L61" s="1" t="str">
        <v>Fleurizard</v>
      </c>
      <c r="M61" s="1">
        <v>6</v>
      </c>
      <c r="N61" s="1" t="str">
        <v/>
      </c>
      <c r="P61" s="1">
        <v>3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8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3</v>
      </c>
      <c r="H65" s="1" t="str">
        <v/>
      </c>
      <c r="L65" s="1" t="str">
        <v>Hoofrit</v>
      </c>
      <c r="M65" s="1">
        <v>5</v>
      </c>
      <c r="N65" s="1" t="str">
        <v/>
      </c>
      <c r="P65" s="1">
        <v>2</v>
      </c>
      <c r="Q65" s="1" t="str">
        <v/>
      </c>
    </row>
    <row r="66" spans="7:20" s="1" customFormat="1" ht="12" x14ac:dyDescent="0.2">
      <c r="G66" s="1" t="str">
        <v/>
      </c>
      <c r="H66" s="1">
        <v>9</v>
      </c>
      <c r="L66" s="1" t="str">
        <v>Kungpaw</v>
      </c>
      <c r="M66" s="1" t="str">
        <v/>
      </c>
      <c r="N66" s="1">
        <v>11</v>
      </c>
      <c r="P66" s="1" t="str">
        <v/>
      </c>
      <c r="Q66" s="1">
        <v>3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10</v>
      </c>
      <c r="L69" s="1" t="str">
        <v>Magmolin</v>
      </c>
      <c r="M69" s="1" t="str">
        <v/>
      </c>
      <c r="N69" s="1">
        <v>12</v>
      </c>
      <c r="P69" s="1" t="str">
        <v/>
      </c>
      <c r="Q69" s="1">
        <v>4</v>
      </c>
    </row>
    <row r="70" spans="7:20" s="1" customFormat="1" ht="12" x14ac:dyDescent="0.2">
      <c r="G70" s="1">
        <v>14</v>
      </c>
      <c r="H70" s="1" t="str">
        <v/>
      </c>
      <c r="L70" s="1" t="str">
        <v>Mantleray</v>
      </c>
      <c r="M70" s="1">
        <v>16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5</v>
      </c>
      <c r="H72" s="1" t="str">
        <v/>
      </c>
      <c r="L72" s="1" t="str">
        <v>Oleana</v>
      </c>
      <c r="M72" s="1">
        <v>7</v>
      </c>
      <c r="N72" s="1" t="str">
        <v/>
      </c>
      <c r="P72" s="1">
        <v>4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11</v>
      </c>
      <c r="H76" s="1" t="str">
        <v/>
      </c>
      <c r="L76" s="1" t="str">
        <v>Spookaboo</v>
      </c>
      <c r="M76" s="1">
        <v>13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7" priority="43">
      <formula>$C6="Fire"</formula>
    </cfRule>
    <cfRule type="expression" dxfId="56" priority="44">
      <formula>$C6="Water"</formula>
    </cfRule>
    <cfRule type="expression" dxfId="55" priority="45">
      <formula>$C6="Electricity"</formula>
    </cfRule>
    <cfRule type="expression" dxfId="54" priority="46">
      <formula>$C6="Wood"</formula>
    </cfRule>
  </conditionalFormatting>
  <conditionalFormatting sqref="L16:L19 U16:U19">
    <cfRule type="expression" dxfId="53" priority="39">
      <formula>$L16="Fire"</formula>
    </cfRule>
    <cfRule type="expression" dxfId="52" priority="40">
      <formula>$L16="Water"</formula>
    </cfRule>
    <cfRule type="expression" dxfId="51" priority="41">
      <formula>$L16="Electricity"</formula>
    </cfRule>
    <cfRule type="expression" dxfId="50" priority="42">
      <formula>$L16="Wood"</formula>
    </cfRule>
  </conditionalFormatting>
  <conditionalFormatting sqref="L26:L29">
    <cfRule type="expression" dxfId="49" priority="35">
      <formula>$L26="Fire"</formula>
    </cfRule>
    <cfRule type="expression" dxfId="48" priority="36">
      <formula>$L26="Water"</formula>
    </cfRule>
    <cfRule type="expression" dxfId="47" priority="37">
      <formula>$L26="Electricity"</formula>
    </cfRule>
    <cfRule type="expression" dxfId="46" priority="38">
      <formula>$L26="Wood"</formula>
    </cfRule>
  </conditionalFormatting>
  <conditionalFormatting sqref="L34:L37">
    <cfRule type="expression" dxfId="45" priority="31">
      <formula>$L34="Fire"</formula>
    </cfRule>
    <cfRule type="expression" dxfId="44" priority="32">
      <formula>$L34="Water"</formula>
    </cfRule>
    <cfRule type="expression" dxfId="43" priority="33">
      <formula>$L34="Electricity"</formula>
    </cfRule>
    <cfRule type="expression" dxfId="42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1" priority="17">
      <formula>VLOOKUP(L42,PalmonList,2,FALSE)="Wood"</formula>
    </cfRule>
    <cfRule type="expression" dxfId="40" priority="18">
      <formula>VLOOKUP(L42,PalmonList,2,FALSE)="Fire"</formula>
    </cfRule>
    <cfRule type="expression" dxfId="39" priority="19">
      <formula>VLOOKUP(L42,PalmonList,2,FALSE)="Electricity"</formula>
    </cfRule>
    <cfRule type="expression" dxfId="38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7" priority="5">
      <formula>$L34="Fire"</formula>
    </cfRule>
    <cfRule type="expression" dxfId="36" priority="6">
      <formula>$L34="Water"</formula>
    </cfRule>
    <cfRule type="expression" dxfId="35" priority="7">
      <formula>$L34="Electricity"</formula>
    </cfRule>
    <cfRule type="expression" dxfId="34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2" t="s">
        <v>34</v>
      </c>
      <c r="C2" s="283"/>
      <c r="D2" s="283"/>
      <c r="E2" s="283"/>
      <c r="F2" s="58" t="s">
        <v>19</v>
      </c>
      <c r="G2" s="60">
        <f>VLOOKUP($G$7,PalmonList,8,FALSE)</f>
        <v>0</v>
      </c>
      <c r="H2" s="273" t="e" vm="1">
        <f>IFERROR(_xlfn.IMAGE(VLOOKUP($G$7,PalmonList,30,FALSE),$G$7,0),"")</f>
        <v>#VALUE!</v>
      </c>
      <c r="I2" s="274"/>
      <c r="J2" s="275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6"/>
      <c r="I3" s="277"/>
      <c r="J3" s="278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6"/>
      <c r="I4" s="277"/>
      <c r="J4" s="278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6"/>
      <c r="I5" s="277"/>
      <c r="J5" s="278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6"/>
      <c r="I6" s="277"/>
      <c r="J6" s="278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6"/>
      <c r="I7" s="277"/>
      <c r="J7" s="278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6"/>
      <c r="I8" s="277"/>
      <c r="J8" s="278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79"/>
      <c r="I9" s="280"/>
      <c r="J9" s="28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Y3" sqref="Y3:AC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6" t="s">
        <v>88</v>
      </c>
      <c r="B1" s="287"/>
      <c r="C1" s="287"/>
      <c r="D1" s="287"/>
      <c r="E1" s="287"/>
      <c r="F1" s="288"/>
      <c r="H1" s="286" t="s">
        <v>89</v>
      </c>
      <c r="I1" s="287"/>
      <c r="J1" s="287"/>
      <c r="K1" s="287"/>
      <c r="L1" s="288"/>
      <c r="N1" s="286" t="s">
        <v>103</v>
      </c>
      <c r="O1" s="287"/>
      <c r="P1" s="287"/>
      <c r="Q1" s="287"/>
      <c r="R1" s="288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89" t="s">
        <v>30</v>
      </c>
      <c r="AA8" s="290"/>
      <c r="AB8" s="290"/>
      <c r="AC8" s="290"/>
      <c r="AD8" s="291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4" t="s">
        <v>32</v>
      </c>
      <c r="AF10" s="285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229</v>
      </c>
      <c r="AA18" s="238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227</v>
      </c>
      <c r="AC20" s="238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200</v>
      </c>
      <c r="Z30" s="236" t="s">
        <v>201</v>
      </c>
      <c r="AA30" s="236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200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3" priority="5">
      <formula>AND($U4="",$U3&lt;&gt;"")</formula>
    </cfRule>
    <cfRule type="cellIs" dxfId="32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J8" sqref="J8"/>
    </sheetView>
  </sheetViews>
  <sheetFormatPr baseColWidth="10" defaultRowHeight="15" x14ac:dyDescent="0.25"/>
  <sheetData>
    <row r="1" spans="1:30" ht="15.75" thickBot="1" x14ac:dyDescent="0.3">
      <c r="A1" s="253" t="s">
        <v>204</v>
      </c>
      <c r="B1" s="254"/>
      <c r="D1" s="292" t="s">
        <v>241</v>
      </c>
      <c r="E1" s="293"/>
      <c r="F1" s="293"/>
      <c r="H1" s="292" t="s">
        <v>241</v>
      </c>
      <c r="I1" s="293"/>
      <c r="J1" s="293"/>
      <c r="K1" s="293"/>
      <c r="L1" s="293"/>
      <c r="M1" s="293"/>
      <c r="N1" s="293"/>
      <c r="O1" s="293"/>
      <c r="P1" s="293"/>
      <c r="Q1" s="293"/>
      <c r="Z1" s="253" t="s">
        <v>258</v>
      </c>
      <c r="AA1" s="254"/>
      <c r="AC1" s="253" t="s">
        <v>263</v>
      </c>
      <c r="AD1" s="254"/>
    </row>
    <row r="2" spans="1:30" x14ac:dyDescent="0.25">
      <c r="A2" s="240" t="s">
        <v>197</v>
      </c>
      <c r="B2" s="60">
        <v>400000</v>
      </c>
      <c r="D2" s="223" t="s">
        <v>17</v>
      </c>
      <c r="E2" s="222" t="s">
        <v>20</v>
      </c>
      <c r="F2" s="222" t="s">
        <v>239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242</v>
      </c>
      <c r="M2" s="222" t="s">
        <v>243</v>
      </c>
      <c r="N2" s="222" t="s">
        <v>244</v>
      </c>
      <c r="O2" s="222" t="s">
        <v>245</v>
      </c>
      <c r="P2" s="222" t="s">
        <v>246</v>
      </c>
      <c r="Q2" s="222" t="s">
        <v>144</v>
      </c>
      <c r="S2" s="223" t="s">
        <v>257</v>
      </c>
      <c r="T2" s="222" t="s">
        <v>242</v>
      </c>
      <c r="U2" s="222" t="s">
        <v>243</v>
      </c>
      <c r="V2" s="222" t="s">
        <v>244</v>
      </c>
      <c r="W2" s="222" t="s">
        <v>245</v>
      </c>
      <c r="X2" s="222" t="s">
        <v>246</v>
      </c>
      <c r="Z2" s="223" t="s">
        <v>79</v>
      </c>
      <c r="AA2" s="222" t="s">
        <v>259</v>
      </c>
      <c r="AC2" s="223" t="s">
        <v>79</v>
      </c>
      <c r="AD2" s="222" t="s">
        <v>12</v>
      </c>
    </row>
    <row r="3" spans="1:30" x14ac:dyDescent="0.25">
      <c r="A3" s="204" t="s">
        <v>198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247</v>
      </c>
      <c r="I3" s="248" t="s">
        <v>249</v>
      </c>
      <c r="J3" s="237">
        <v>1</v>
      </c>
      <c r="K3" s="246">
        <v>0</v>
      </c>
      <c r="L3" s="237">
        <v>0</v>
      </c>
      <c r="M3" s="237">
        <v>0</v>
      </c>
      <c r="N3" s="237">
        <v>0</v>
      </c>
      <c r="O3" s="237">
        <v>0</v>
      </c>
      <c r="P3" s="237">
        <v>0</v>
      </c>
      <c r="Q3" s="237" t="s">
        <v>253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199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248</v>
      </c>
      <c r="I4" s="248" t="s">
        <v>50</v>
      </c>
      <c r="J4" s="237">
        <v>1</v>
      </c>
      <c r="K4" s="246">
        <v>0</v>
      </c>
      <c r="L4" s="237">
        <v>0</v>
      </c>
      <c r="M4" s="237">
        <v>0</v>
      </c>
      <c r="N4" s="237">
        <v>0</v>
      </c>
      <c r="O4" s="237">
        <v>0</v>
      </c>
      <c r="P4" s="237">
        <v>0</v>
      </c>
      <c r="Q4" s="237" t="s">
        <v>255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236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250</v>
      </c>
      <c r="I5" s="248" t="s">
        <v>61</v>
      </c>
      <c r="J5" s="237">
        <v>1</v>
      </c>
      <c r="K5" s="246">
        <v>0</v>
      </c>
      <c r="L5" s="237">
        <v>0</v>
      </c>
      <c r="M5" s="237">
        <v>0</v>
      </c>
      <c r="N5" s="237">
        <v>0</v>
      </c>
      <c r="O5" s="237">
        <v>0</v>
      </c>
      <c r="P5" s="237">
        <v>0</v>
      </c>
      <c r="Q5" s="237" t="s">
        <v>262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251</v>
      </c>
      <c r="I6" s="248" t="s">
        <v>53</v>
      </c>
      <c r="J6" s="237">
        <v>120</v>
      </c>
      <c r="K6" s="246">
        <v>2.2999999999999998</v>
      </c>
      <c r="L6" s="237">
        <v>5</v>
      </c>
      <c r="M6" s="237">
        <v>0</v>
      </c>
      <c r="N6" s="237">
        <v>0</v>
      </c>
      <c r="O6" s="237">
        <v>0</v>
      </c>
      <c r="P6" s="237">
        <v>0</v>
      </c>
      <c r="Q6" s="237" t="s">
        <v>254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252</v>
      </c>
      <c r="I7" s="248" t="s">
        <v>55</v>
      </c>
      <c r="J7" s="237">
        <v>1</v>
      </c>
      <c r="K7" s="246">
        <v>0</v>
      </c>
      <c r="L7" s="237">
        <v>0</v>
      </c>
      <c r="M7" s="237">
        <v>0</v>
      </c>
      <c r="N7" s="237">
        <v>0</v>
      </c>
      <c r="O7" s="237">
        <v>0</v>
      </c>
      <c r="P7" s="237">
        <v>0</v>
      </c>
      <c r="Q7" s="237" t="s">
        <v>256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1" priority="25">
      <formula>$C2="Fire"</formula>
    </cfRule>
    <cfRule type="expression" dxfId="30" priority="26">
      <formula>$C2="Water"</formula>
    </cfRule>
    <cfRule type="expression" dxfId="29" priority="27">
      <formula>$C2="Electricity"</formula>
    </cfRule>
    <cfRule type="expression" dxfId="28" priority="28">
      <formula>$C2="Wood"</formula>
    </cfRule>
  </conditionalFormatting>
  <conditionalFormatting sqref="E2:E4">
    <cfRule type="expression" dxfId="27" priority="21">
      <formula>$C2="Fire"</formula>
    </cfRule>
    <cfRule type="expression" dxfId="26" priority="22">
      <formula>$C2="Water"</formula>
    </cfRule>
    <cfRule type="expression" dxfId="25" priority="23">
      <formula>$C2="Electricity"</formula>
    </cfRule>
    <cfRule type="expression" dxfId="24" priority="24">
      <formula>$C2="Wood"</formula>
    </cfRule>
  </conditionalFormatting>
  <conditionalFormatting sqref="J2:J4">
    <cfRule type="expression" dxfId="23" priority="17">
      <formula>$C2="Fire"</formula>
    </cfRule>
    <cfRule type="expression" dxfId="22" priority="18">
      <formula>$C2="Water"</formula>
    </cfRule>
    <cfRule type="expression" dxfId="21" priority="19">
      <formula>$C2="Electricity"</formula>
    </cfRule>
    <cfRule type="expression" dxfId="20" priority="20">
      <formula>$C2="Wood"</formula>
    </cfRule>
  </conditionalFormatting>
  <conditionalFormatting sqref="K2:P3 Q2:Q7 K4 L4:P7">
    <cfRule type="expression" dxfId="19" priority="13">
      <formula>$C2="Fire"</formula>
    </cfRule>
    <cfRule type="expression" dxfId="18" priority="14">
      <formula>$C2="Water"</formula>
    </cfRule>
    <cfRule type="expression" dxfId="17" priority="15">
      <formula>$C2="Electricity"</formula>
    </cfRule>
    <cfRule type="expression" dxfId="16" priority="16">
      <formula>$C2="Wood"</formula>
    </cfRule>
  </conditionalFormatting>
  <conditionalFormatting sqref="T2:X2">
    <cfRule type="expression" dxfId="15" priority="9">
      <formula>$C2="Fire"</formula>
    </cfRule>
    <cfRule type="expression" dxfId="14" priority="10">
      <formula>$C2="Water"</formula>
    </cfRule>
    <cfRule type="expression" dxfId="13" priority="11">
      <formula>$C2="Electricity"</formula>
    </cfRule>
    <cfRule type="expression" dxfId="12" priority="12">
      <formula>$C2="Wood"</formula>
    </cfRule>
  </conditionalFormatting>
  <conditionalFormatting sqref="AA2">
    <cfRule type="expression" dxfId="11" priority="5">
      <formula>$C2="Fire"</formula>
    </cfRule>
    <cfRule type="expression" dxfId="10" priority="6">
      <formula>$C2="Water"</formula>
    </cfRule>
    <cfRule type="expression" dxfId="9" priority="7">
      <formula>$C2="Electricity"</formula>
    </cfRule>
    <cfRule type="expression" dxfId="8" priority="8">
      <formula>$C2="Wood"</formula>
    </cfRule>
  </conditionalFormatting>
  <conditionalFormatting sqref="AD2">
    <cfRule type="expression" dxfId="7" priority="1">
      <formula>$C2="Fire"</formula>
    </cfRule>
    <cfRule type="expression" dxfId="6" priority="2">
      <formula>$C2="Water"</formula>
    </cfRule>
    <cfRule type="expression" dxfId="5" priority="3">
      <formula>$C2="Electricity"</formula>
    </cfRule>
    <cfRule type="expression" dxfId="4" priority="4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239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239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233</v>
      </c>
      <c r="D1" s="244" t="s">
        <v>234</v>
      </c>
      <c r="F1" s="244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Bufonobi,Water,Attack,270,5,5,0,1,1,1,1,1,30,20,20,Max,10,1,0,135120000,,5270,1,1,https://encrypted-tbn0.gstatic.com/images?q=tbn:ANd9GcRXczs_Bjhslhr7Mf2HENU6MTyGpz0RJEMjNA&amp;s,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260,5,5,11,1,1,1,1,1,15,15,15,Max,10,1,-11,1235520000,1,5260,5,1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Ghillant,Wood,Defend,250,4,4.1,0,1,1,1,1,0.199999999999999,5,5,5,Max,,0.589743589743589,400,2123020000,1,4350,8,2,https://encrypted-tbn0.gstatic.com/images?q=tbn:ANd9GcQOwDXppnwkCtCXXAqUiiNMhf6T-lane54jPg&amp;s,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Magmolin,Fire,Defend,240,3,3.1,61,1,1,1,0.2,0,10,5,15,,,0.241025641025641,679,2831420000,1,3340,12,2,https://encrypted-tbn0.gstatic.com/images?q=tbn:ANd9GcRebc6KbOAxblleg_L3rr2K13bt-Yyzq1bAaw&amp;s,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0.179487179487179,800,2123020000,1,3250,14,2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0.138461538461538,826,3390620000,1,2530,17,3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Lucidina,Water,Attack,260,4,4,0,1,1,1,1,0,5,5,15,Max,,0.487179487179487,500,1235520000,1,4260,9,2,https://encrypted-tbn0.gstatic.com/images?q=tbn:ANd9GcR9A_xtftnwTH1zCnLIOcgmJKNZtFnB-e8QOw&amp;s,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Fleurizard,Wood,Attack,260,5,5,0,1,1,1,1,1,1,1,1,Max,10,1,0,1235520000,1,5260,6,1,https://encrypted-tbn0.gstatic.com/images?q=tbn:ANd9GcQCf63iS9oq-SMn3DO74UTS2j_zSrzNVTRMOQ&amp;s,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0.179487179487179,790,2123020000,1,3250,15,3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Pipistrigoi,Fire,Attack,260,4,4,13,1,1,1,1,0,15,15,15,Max,,0.487179487179487,487,1235520000,1,4260,10,2,https://encrypted-tbn0.gstatic.com/images?q=tbn:ANd9GcSSdARGNHB_mPJlsb0v4ULv5HaXw2movjzNTNSrkzsi&amp;s,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Oleana,Wood,Attack,260,4,4.3,128,1,1,1,1,0.6,1,1,1,Max,,0.794871794871795,72,0000000000002,1235520000,1,4560,7,1,https://encrypted-tbn0.gstatic.com/images?q=tbn:ANd9GcQ02wmDjsAMofj1ObwwNW6Vhl_QQ-LUodGIKA&amp;s,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Spookaboo,Fire,Attack,210,3,3.1,10,1,1,1,0.2,0,1,1,1,,,0.241025641025641,730,4161420000,1,3310,13,2,https://encrypted-tbn0.gstatic.com/images?q=tbn:ANd9GcT29K673YTBvt_EofrppvnWB4sgt43DEq1pTw&amp;s,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Kungpaw,Water,Defend,186,3,3.2,45,1,1,1,0.4,0,1,1,1,,,0.302564102564103,635,4667020000,1,3386,11,2,https://encrypted-tbn0.gstatic.com/images?q=tbn:ANd9GcRV1HdRcNPUS4HjDBZ2YOXgaMW_I8FgZEP5xg&amp;s,,,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10,0,0,250,0,0,0,0,0,1,1,1,,,0,725,5044089200,1,10,31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Bufonobi,Water,Attack,270,,5,5,0,30,20,20,Max,10,,1,1,1,1,1,1,0,,135120000,,,5270,1,1,,https://encrypted-tbn0.gstatic.com/images?q=tbn:ANd9GcRXczs_Bjhslhr7Mf2HENU6MTyGpz0RJEMjNA&amp;s,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2026-03-24T08:43:25Z</dcterms:modified>
</cp:coreProperties>
</file>