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BCEB0D13-115A-465C-9E7F-8550311C9454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1" l="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H45" i="11"/>
  <c r="AI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H34" i="11"/>
  <c r="AI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<sst xmlns="http://schemas.openxmlformats.org/spreadsheetml/2006/main" count="405" uniqueCount="267">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</sst>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workbookViewId="0">
      <selection activeCell="I16" sqref="I16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 t="s">
        <v>195</v>
      </c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9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13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22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15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11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19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10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23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17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24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16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7</v>
      </c>
      <c r="AC19" s="61" cm="1">
        <f t="array" ref="AC19">IFERROR(_xlfn.IFS($AB19&lt;8,1,$AB19&lt;15,2,$AB19&lt;21,3),"")</f>
        <v>1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207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25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20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27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18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14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3.3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0.59999999999999964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0.36410256410256397</v>
      </c>
      <c r="V29" s="13" cm="1">
        <f t="array" ref="V29">Details!$D$9-SUMPRODUCT(TRANSPOSE(Details!$D$4:$D$8),$P29:$T29)-$I29</f>
        <v>575.00000000000011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3486</v>
      </c>
      <c r="AB29" s="63">
        <f>RANK($AA29,$AA$3:$AA$46)+COUNTIF($AA$3:$AA29,AA29)-1</f>
        <v>12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26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224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140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265</v>
      </c>
      <c r="C36" s="162" t="s">
        <v>53</v>
      </c>
      <c r="D36" s="163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266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63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266</v>
      </c>
      <c r="AF37" s="166"/>
      <c r="AG37" s="167"/>
      <c r="AI37" s="170" t="s">
        <v>264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215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21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196</v>
      </c>
      <c r="AJ46" s="70" t="s">
        <v>187</v>
      </c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91824673700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205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204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2036</v>
      </c>
      <c r="R58" s="1">
        <f t="shared" ref="R58:R60" si="23">COUNTIFS($C$3:$C$46,"=" &amp; $P58,$E$3:$E$46,"&gt;0")</f>
        <v>9</v>
      </c>
      <c r="S58" s="1">
        <f t="shared" ref="S58:S60" si="24">Q58/R58</f>
        <v>226.22222222222223</v>
      </c>
      <c r="X58"/>
    </row>
    <row r="59" spans="2:24" ht="12" customHeight="1" x14ac:dyDescent="0.25">
      <c r="B59" s="240" t="s">
        <v>197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198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199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3 D57:D81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A45" sqref="A2:A4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9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13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22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15</v>
      </c>
      <c r="AB9">
        <f>Palmon!AC10</f>
        <v>3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11</v>
      </c>
      <c r="AB10">
        <f>Palmon!AC11</f>
        <v>2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19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10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23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17</v>
      </c>
      <c r="AB15">
        <f>Palmon!AC16</f>
        <v>3</v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24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16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7</v>
      </c>
      <c r="AB18">
        <f>Palmon!AC19</f>
        <v>1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25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20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27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18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14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3.3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0.59999999999999964</v>
      </c>
      <c r="S28">
        <f>Palmon!T29</f>
        <v>0</v>
      </c>
      <c r="T28">
        <f>Palmon!U29</f>
        <v>0.36410256410256397</v>
      </c>
      <c r="U28">
        <f>Palmon!V29</f>
        <v>575.00000000000011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3486</v>
      </c>
      <c r="AA28">
        <f>Palmon!AB29</f>
        <v>12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26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140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>
        <f>Palmon!AI36</f>
        <v>0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Palmon!AI37</f>
        <v>Dreadmaw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Palmon!AI38</f>
        <v>Fleurizard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>
        <f>Palmon!AI44</f>
        <v>0</v>
      </c>
      <c r="AI43">
        <f>Palmon!AJ44</f>
        <v>0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>
        <f>Palmon!AI45</f>
        <v>0</v>
      </c>
      <c r="AI44">
        <f>Palmon!AJ45</f>
        <v>0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21</v>
      </c>
      <c r="AB45" t="str">
        <f>Palmon!AC46</f>
        <v/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Palmon!AI46</f>
        <v>Vulpyrean</v>
      </c>
      <c r="AI45" t="str">
        <f>Palmon!AJ46</f>
        <v>Camouflynx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75.000000000000114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75.000000000000114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6</v>
      </c>
      <c r="O30" s="86">
        <v>5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Barkplug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Hoofrit</v>
      </c>
      <c r="N43" s="78" t="str">
        <v>Blazeal</v>
      </c>
      <c r="O43" s="1"/>
      <c r="P43" s="1" t="str">
        <v>Vulpyrean</v>
      </c>
      <c r="Q43" s="1" t="str">
        <v>Hoofrit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Lucidina</v>
      </c>
      <c r="N44" s="78" t="str">
        <v>Battereina</v>
      </c>
      <c r="O44" s="1"/>
      <c r="P44" s="1" t="str">
        <v>Gnashley</v>
      </c>
      <c r="Q44" s="1" t="str">
        <v>Lucidina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Abuzzinian</v>
      </c>
      <c r="N45" s="78" t="str">
        <v>Mantleray</v>
      </c>
      <c r="O45" s="1"/>
      <c r="P45" s="1" t="str">
        <v>Glacewing</v>
      </c>
      <c r="Q45" s="1" t="str">
        <v>Abuzzinian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Kungpaw</v>
      </c>
      <c r="N46" s="78" t="str">
        <v>Escarffier</v>
      </c>
      <c r="O46" s="1"/>
      <c r="P46" s="1" t="str">
        <v>Fleurizard</v>
      </c>
      <c r="Q46" s="1" t="str">
        <v>Kungpaw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Magmolin</v>
      </c>
      <c r="N47" s="78" t="str">
        <v>Ninjump</v>
      </c>
      <c r="O47" s="1"/>
      <c r="P47" s="1" t="str">
        <v>Oleana</v>
      </c>
      <c r="Q47" s="1" t="str">
        <v>Magmolin</v>
      </c>
      <c r="R47" s="1"/>
      <c r="T47"/>
      <c r="U47"/>
      <c r="V47"/>
      <c r="W47"/>
    </row>
    <row r="48" spans="2:23" ht="15.75" thickBot="1" x14ac:dyDescent="0.3">
      <c r="L48" s="81" t="str">
        <v>Pipistrigoi</v>
      </c>
      <c r="M48" s="82" t="str">
        <v>Spookaboo</v>
      </c>
      <c r="N48" s="83" t="str">
        <v>Revontulet</v>
      </c>
      <c r="O48" s="1"/>
      <c r="P48" s="1" t="str">
        <v>Pipistrigoi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11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26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15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17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16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25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19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24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9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12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22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10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13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18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20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7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14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23</v>
      </c>
      <c r="P77" s="1" t="str">
        <v/>
      </c>
      <c r="Q77" s="1">
        <v>8</v>
      </c>
    </row>
    <row r="78" spans="7:20" s="1" customFormat="1" ht="12" x14ac:dyDescent="0.2">
      <c r="G78" s="1">
        <v>24</v>
      </c>
      <c r="H78" s="1" t="str">
        <v/>
      </c>
      <c r="L78" s="1" t="str">
        <v>Surveilynx</v>
      </c>
      <c r="M78" s="1">
        <v>27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229</v>
      </c>
      <c r="AA18" s="238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227</v>
      </c>
      <c r="AC20" s="238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200</v>
      </c>
      <c r="Z30" s="236" t="s">
        <v>201</v>
      </c>
      <c r="AA30" s="236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200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M14" sqref="M14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204</v>
      </c>
      <c r="B1" s="254"/>
      <c r="D1" s="292" t="s">
        <v>241</v>
      </c>
      <c r="E1" s="293"/>
      <c r="F1" s="293"/>
      <c r="H1" s="292" t="s">
        <v>241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258</v>
      </c>
      <c r="AA1" s="254"/>
      <c r="AC1" s="253" t="s">
        <v>263</v>
      </c>
      <c r="AD1" s="254"/>
    </row>
    <row r="2" spans="1:30" x14ac:dyDescent="0.25">
      <c r="A2" s="240" t="s">
        <v>197</v>
      </c>
      <c r="B2" s="60">
        <v>400000</v>
      </c>
      <c r="D2" s="223" t="s">
        <v>17</v>
      </c>
      <c r="E2" s="222" t="s">
        <v>20</v>
      </c>
      <c r="F2" s="222" t="s">
        <v>239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242</v>
      </c>
      <c r="M2" s="222" t="s">
        <v>243</v>
      </c>
      <c r="N2" s="222" t="s">
        <v>244</v>
      </c>
      <c r="O2" s="222" t="s">
        <v>245</v>
      </c>
      <c r="P2" s="222" t="s">
        <v>246</v>
      </c>
      <c r="Q2" s="222" t="s">
        <v>144</v>
      </c>
      <c r="S2" s="223" t="s">
        <v>257</v>
      </c>
      <c r="T2" s="222" t="s">
        <v>242</v>
      </c>
      <c r="U2" s="222" t="s">
        <v>243</v>
      </c>
      <c r="V2" s="222" t="s">
        <v>244</v>
      </c>
      <c r="W2" s="222" t="s">
        <v>245</v>
      </c>
      <c r="X2" s="222" t="s">
        <v>246</v>
      </c>
      <c r="Z2" s="223" t="s">
        <v>79</v>
      </c>
      <c r="AA2" s="222" t="s">
        <v>259</v>
      </c>
      <c r="AC2" s="223" t="s">
        <v>79</v>
      </c>
      <c r="AD2" s="222" t="s">
        <v>12</v>
      </c>
    </row>
    <row r="3" spans="1:30" x14ac:dyDescent="0.25">
      <c r="A3" s="204" t="s">
        <v>198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247</v>
      </c>
      <c r="I3" s="248" t="s">
        <v>249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253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199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248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255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236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250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262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251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254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252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256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3">
      <formula>$C2="Fire"</formula>
    </cfRule>
    <cfRule type="expression" dxfId="26" priority="34">
      <formula>$C2="Water"</formula>
    </cfRule>
    <cfRule type="expression" dxfId="25" priority="35">
      <formula>$C2="Electricity"</formula>
    </cfRule>
    <cfRule type="expression" dxfId="24" priority="36">
      <formula>$C2="Wood"</formula>
    </cfRule>
  </conditionalFormatting>
  <conditionalFormatting sqref="E2:E4">
    <cfRule type="expression" dxfId="23" priority="29">
      <formula>$C2="Fire"</formula>
    </cfRule>
    <cfRule type="expression" dxfId="22" priority="30">
      <formula>$C2="Water"</formula>
    </cfRule>
    <cfRule type="expression" dxfId="21" priority="31">
      <formula>$C2="Electricity"</formula>
    </cfRule>
    <cfRule type="expression" dxfId="20" priority="32">
      <formula>$C2="Wood"</formula>
    </cfRule>
  </conditionalFormatting>
  <conditionalFormatting sqref="J2:P4">
    <cfRule type="expression" dxfId="19" priority="1">
      <formula>$C2="Fire"</formula>
    </cfRule>
    <cfRule type="expression" dxfId="18" priority="2">
      <formula>$C2="Water"</formula>
    </cfRule>
    <cfRule type="expression" dxfId="17" priority="3">
      <formula>$C2="Electricity"</formula>
    </cfRule>
    <cfRule type="expression" dxfId="16" priority="4">
      <formula>$C2="Wood"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17">
      <formula>$C2="Fire"</formula>
    </cfRule>
    <cfRule type="expression" dxfId="10" priority="18">
      <formula>$C2="Water"</formula>
    </cfRule>
    <cfRule type="expression" dxfId="9" priority="19">
      <formula>$C2="Electricity"</formula>
    </cfRule>
    <cfRule type="expression" dxfId="8" priority="20">
      <formula>$C2="Wood"</formula>
    </cfRule>
  </conditionalFormatting>
  <conditionalFormatting sqref="AA2">
    <cfRule type="expression" dxfId="7" priority="13">
      <formula>$C2="Fire"</formula>
    </cfRule>
    <cfRule type="expression" dxfId="6" priority="14">
      <formula>$C2="Water"</formula>
    </cfRule>
    <cfRule type="expression" dxfId="5" priority="15">
      <formula>$C2="Electricity"</formula>
    </cfRule>
    <cfRule type="expression" dxfId="4" priority="16">
      <formula>$C2="Wood"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239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239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233</v>
      </c>
      <c r="D1" s="244" t="s">
        <v>234</v>
      </c>
      <c r="F1" s="244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4270,9,2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Magmolin,Fire,Defend,240,3,3.1,61,1,1,1,0.2,0,10,5,15,,,0.241025641025641,679,2831420000,1,3340,13,2,https://encrypted-tbn0.gstatic.com/images?q=tbn:ANd9GcRebc6KbOAxblleg_L3rr2K13bt-Yyzq1bAaw&amp;s,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0.117948717948718,856,3390620000,1,2430,22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0.179487179487179,800,2123020000,1,3250,15,3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0.487179487179487,486,3390620000,1,4230,11,2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Escarffier,Fire,Defend,230,2,2.3,8,1,1,0.6,0,0,5,5,5,,,0.138461538461538,832,3390620000,1,2530,19,3,https://encrypted-tbn0.gstatic.com/images?q=tbn:ANd9GcST2CrUIPAlFNBLPgZn0Tu93KelabHVVAbNLQ&amp;s,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Lucidina,Water,Attack,270,4,4,0,1,1,1,1,0,5,5,15,Max,,0.487179487179487,500,135120000,,4270,10,2,https://encrypted-tbn0.gstatic.com/images?q=tbn:ANd9GcR9A_xtftnwTH1zCnLIOcgmJKNZtFnB-e8QOw&amp;s,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Statchew,Wood,Defend,230,2,2.2,10,1,1,0.4,0,0,15,5,9,,,0.117948717948718,850,3390620000,1,2430,23,,https://encrypted-tbn0.gstatic.com/images?q=tbn:ANd9GcSC1rp-0lIuUyVvSi8kN_vJnr_Ln4mF4lh4zg&amp;s,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0.179487179487179,800,4161420000,1,3210,17,3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0.117948717948718,860,4161420000,1,2410,24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0.179487179487179,790,2123020000,1,3250,16,3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Pipistrigoi,Fire,Attack,270,4,4.1,13,1,1,1,1,0.199999999999999,15,15,15,Max,,0.589743589743589,387,135120000,,4370,7,1,https://encrypted-tbn0.gstatic.com/images?q=tbn:ANd9GcSSdARGNHB_mPJlsb0v4ULv5HaXw2movjzNTNSrkzsi&amp;s,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0.117948717948718,859,4161420000,1,2410,25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0.138461538461538,830,4919220000,1,2460,20,3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0.0769230769230769,900,3826220000,1,2220,27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Mantleray,Electricity,Attack,210,2,2.4,3,1,1,0.8,0,0,4,1,1,,,0.158974358974359,817,4161420000,1,2610,18,3,https://encrypted-tbn0.gstatic.com/images?q=tbn:ANd9GcSWhzppoZXwh-zBnWIY3GFkIp0x0kc0hAzG0A&amp;s,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Kungpaw,Water,Defend,186,3,3.3,45,1,1,1,0.6,0,1,1,1,,,0.364102564102564,575,4667020000,1,3486,12,2,https://encrypted-tbn0.gstatic.com/images?q=tbn:ANd9GcRV1HdRcNPUS4HjDBZ2YOXgaMW_I8FgZEP5xg&amp;s,,,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0.0974358974358975,870,4161420000,1,2310,26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140,0,0,250,0,0,0,0,0,1,1,1,,,0,725,4999220000,1,140,31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Revontulet,Fire,Attack,160,2,2.3,0,1,1,0.6,0,0,1,1,1,,,0.138461538461538,840,4919220000,1,2460,21,,,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2026-03-27T12:55:00Z</dcterms:modified>
</cp:coreProperties>
</file>