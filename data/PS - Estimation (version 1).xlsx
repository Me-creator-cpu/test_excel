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90202AC0-F7FA-4303-A088-E70EC687C02C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1" l="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H45" i="11"/>
  <c r="AI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H34" i="11"/>
  <c r="AI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<sst xmlns="http://schemas.openxmlformats.org/spreadsheetml/2006/main" count="405" uniqueCount="267">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</sst>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CC66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CC66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C66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tabSelected="1" topLeftCell="A10" workbookViewId="0">
      <selection activeCell="E33" sqref="E33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 t="s">
        <v>195</v>
      </c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260</v>
      </c>
      <c r="F5" s="125" cm="1">
        <f t="array" ref="F5">IsUpgradable(E5)</f>
        <v>1</v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1235520000</v>
      </c>
      <c r="Y5" s="61">
        <f t="shared" si="4"/>
        <v>1</v>
      </c>
      <c r="AA5" s="110">
        <f t="shared" si="5"/>
        <v>4260</v>
      </c>
      <c r="AB5" s="63">
        <f>RANK($AA5,$AA$3:$AA$46)+COUNTIF($AA$3:$AA5,AA5)-1</f>
        <v>8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7</v>
      </c>
      <c r="AC6" s="61" cm="1">
        <f t="array" ref="AC6">IFERROR(_xlfn.IFS($AB6&lt;8,1,$AB6&lt;15,2,$AB6&lt;21,3),"")</f>
        <v>1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12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21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14</v>
      </c>
      <c r="AC10" s="61" cm="1">
        <f t="array" ref="AC10">IFERROR(_xlfn.IFS($AB10&lt;8,1,$AB10&lt;15,2,$AB10&lt;21,3),"")</f>
        <v>2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2</v>
      </c>
      <c r="H11" s="198">
        <v>2.2999999999999998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0.59999999999999964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0.13846153846153844</v>
      </c>
      <c r="V11" s="13" cm="1">
        <f t="array" ref="V11">Details!$D$9-SUMPRODUCT(TRANSPOSE(Details!$D$4:$D$8),$P11:$T11)-$I11</f>
        <v>826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2530</v>
      </c>
      <c r="AB11" s="63">
        <f>RANK($AA11,$AA$3:$AA$46)+COUNTIF($AA$3:$AA11,AA11)-1</f>
        <v>17</v>
      </c>
      <c r="AC11" s="61" cm="1">
        <f t="array" ref="AC11">IFERROR(_xlfn.IFS($AB11&lt;8,1,$AB11&lt;15,2,$AB11&lt;21,3),"")</f>
        <v>3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18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260</v>
      </c>
      <c r="F13" s="125" cm="1">
        <f t="array" ref="F13">IsUpgradable(E13)</f>
        <v>1</v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1235520000</v>
      </c>
      <c r="Y13" s="61">
        <f t="shared" si="4"/>
        <v>1</v>
      </c>
      <c r="AA13" s="110">
        <f t="shared" si="5"/>
        <v>4260</v>
      </c>
      <c r="AB13" s="63">
        <f>RANK($AA13,$AA$3:$AA$46)+COUNTIF($AA$3:$AA13,AA13)-1</f>
        <v>9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22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198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2210</v>
      </c>
      <c r="AB16" s="63">
        <f>RANK($AA16,$AA$3:$AA$46)+COUNTIF($AA$3:$AA16,AA16)-1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23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15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260</v>
      </c>
      <c r="F19" s="125" cm="1">
        <f t="array" ref="F19">IsUpgradable(E19)</f>
        <v>1</v>
      </c>
      <c r="G19" s="127">
        <f t="shared" si="0"/>
        <v>4</v>
      </c>
      <c r="H19" s="198">
        <v>4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0.48717948717948717</v>
      </c>
      <c r="V19" s="13" cm="1">
        <f t="array" ref="V19">Details!$D$9-SUMPRODUCT(TRANSPOSE(Details!$D$4:$D$8),$P19:$T19)-$I19</f>
        <v>487</v>
      </c>
      <c r="X19" s="13" cm="1">
        <f t="array" ref="X19">LevelUpgradeCost($E19)</f>
        <v>1235520000</v>
      </c>
      <c r="Y19" s="61">
        <f t="shared" si="4"/>
        <v>1</v>
      </c>
      <c r="AA19" s="110">
        <f t="shared" si="5"/>
        <v>4260</v>
      </c>
      <c r="AB19" s="63">
        <f>RANK($AA19,$AA$3:$AA$46)+COUNTIF($AA$3:$AA19,AA19)-1</f>
        <v>10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207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24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19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RANK($AA25,$AA$3:$AA$46)+COUNTIF($AA$3:$AA25,AA25)-1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16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4</v>
      </c>
      <c r="H27" s="199">
        <v>4.3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 t="str">
        <f t="shared" ref="N27:N33" si="8">IF(H27=5,10,"")</f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0.59999999999999964</v>
      </c>
      <c r="U27" s="9" cm="1">
        <f t="array" ref="U27">SUMPRODUCT(TRANSPOSE(Details!$D$4:$D$8),$P27:$T27)/Details!$D$9</f>
        <v>0.7948717948717946</v>
      </c>
      <c r="V27" s="13" cm="1">
        <f t="array" ref="V27">Details!$D$9-SUMPRODUCT(TRANSPOSE(Details!$D$4:$D$8),$P27:$T27)-$I27</f>
        <v>72.000000000000227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4560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13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198">
        <v>3.2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634.99999999999989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3386</v>
      </c>
      <c r="AB29" s="63">
        <f>RANK($AA29,$AA$3:$AA$46)+COUNTIF($AA$3:$AA29,AA29)-1</f>
        <v>11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224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0</v>
      </c>
      <c r="H32" s="198">
        <v>0</v>
      </c>
      <c r="I32" s="123">
        <v>250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725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140</v>
      </c>
      <c r="AB32" s="63">
        <f>RANK($AA32,$AA$3:$AA$46)+COUNTIF($AA$3:$AA32,AA32)-1</f>
        <v>31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265</v>
      </c>
      <c r="C36" s="162" t="s">
        <v>53</v>
      </c>
      <c r="D36" s="163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266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63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266</v>
      </c>
      <c r="AF37" s="166"/>
      <c r="AG37" s="167"/>
      <c r="AI37" s="170" t="s">
        <v>264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215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20</v>
      </c>
      <c r="AC46" s="62" cm="1">
        <f t="array" ref="AC46">IFERROR(_xlfn.IFS($AB46&lt;8,1,$AB46&lt;15,2,$AB46&lt;21,3),"")</f>
        <v>3</v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196</v>
      </c>
      <c r="AJ46" s="70" t="s">
        <v>187</v>
      </c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28</v>
      </c>
      <c r="F48" s="142"/>
      <c r="G48" s="142"/>
      <c r="I48" s="5"/>
      <c r="X48" s="5">
        <f>SUMPRODUCT(X3:X46,Y3:Y46)</f>
        <v>95531233700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205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204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2026</v>
      </c>
      <c r="R58" s="1">
        <f t="shared" ref="R58:R60" si="23">COUNTIFS($C$3:$C$46,"=" &amp; $P58,$E$3:$E$46,"&gt;0")</f>
        <v>9</v>
      </c>
      <c r="S58" s="1">
        <f t="shared" ref="S58:S60" si="24">Q58/R58</f>
        <v>225.11111111111111</v>
      </c>
      <c r="X58"/>
    </row>
    <row r="59" spans="2:24" ht="12" customHeight="1" x14ac:dyDescent="0.25">
      <c r="B59" s="240" t="s">
        <v>197</v>
      </c>
      <c r="C59" s="60">
        <v>400000</v>
      </c>
      <c r="D59" s="142"/>
      <c r="I59" s="5"/>
      <c r="P59" s="1" t="s">
        <v>50</v>
      </c>
      <c r="Q59" s="1">
        <f t="shared" si="22"/>
        <v>1880</v>
      </c>
      <c r="R59" s="1">
        <f t="shared" si="23"/>
        <v>8</v>
      </c>
      <c r="S59" s="1">
        <f t="shared" si="24"/>
        <v>235</v>
      </c>
      <c r="X59"/>
    </row>
    <row r="60" spans="2:24" ht="12" customHeight="1" x14ac:dyDescent="0.25">
      <c r="B60" s="204" t="s">
        <v>198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199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3 D57:D81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A45" sqref="A2:A4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260</v>
      </c>
      <c r="E4">
        <f>Palmon!F5</f>
        <v>1</v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1235520000</v>
      </c>
      <c r="X4">
        <f>Palmon!Y5</f>
        <v>1</v>
      </c>
      <c r="Y4">
        <f>Palmon!Z5</f>
        <v>0</v>
      </c>
      <c r="Z4">
        <f>Palmon!AA5</f>
        <v>4260</v>
      </c>
      <c r="AA4">
        <f>Palmon!AB5</f>
        <v>8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7</v>
      </c>
      <c r="AB5">
        <f>Palmon!AC6</f>
        <v>1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12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21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14</v>
      </c>
      <c r="AB9">
        <f>Palmon!AC10</f>
        <v>2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2</v>
      </c>
      <c r="G10">
        <f>Palmon!H11</f>
        <v>2.2999999999999998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0.59999999999999964</v>
      </c>
      <c r="R10">
        <f>Palmon!S11</f>
        <v>0</v>
      </c>
      <c r="S10">
        <f>Palmon!T11</f>
        <v>0</v>
      </c>
      <c r="T10">
        <f>Palmon!U11</f>
        <v>0.13846153846153844</v>
      </c>
      <c r="U10">
        <f>Palmon!V11</f>
        <v>826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2530</v>
      </c>
      <c r="AA10">
        <f>Palmon!AB11</f>
        <v>17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18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260</v>
      </c>
      <c r="E12">
        <f>Palmon!F13</f>
        <v>1</v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1235520000</v>
      </c>
      <c r="X12">
        <f>Palmon!Y13</f>
        <v>1</v>
      </c>
      <c r="Y12">
        <f>Palmon!Z13</f>
        <v>0</v>
      </c>
      <c r="Z12">
        <f>Palmon!AA13</f>
        <v>4260</v>
      </c>
      <c r="AA12">
        <f>Palmon!AB13</f>
        <v>9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22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23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15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260</v>
      </c>
      <c r="E18">
        <f>Palmon!F19</f>
        <v>1</v>
      </c>
      <c r="F18">
        <f>Palmon!G19</f>
        <v>4</v>
      </c>
      <c r="G18">
        <f>Palmon!H19</f>
        <v>4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</v>
      </c>
      <c r="T18">
        <f>Palmon!U19</f>
        <v>0.48717948717948717</v>
      </c>
      <c r="U18">
        <f>Palmon!V19</f>
        <v>487</v>
      </c>
      <c r="V18">
        <f>Palmon!W19</f>
        <v>0</v>
      </c>
      <c r="W18">
        <f>Palmon!X19</f>
        <v>1235520000</v>
      </c>
      <c r="X18">
        <f>Palmon!Y19</f>
        <v>1</v>
      </c>
      <c r="Y18">
        <f>Palmon!Z19</f>
        <v>0</v>
      </c>
      <c r="Z18">
        <f>Palmon!AA19</f>
        <v>4260</v>
      </c>
      <c r="AA18">
        <f>Palmon!AB19</f>
        <v>10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24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19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16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4</v>
      </c>
      <c r="G26">
        <f>Palmon!H27</f>
        <v>4.3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0.59999999999999964</v>
      </c>
      <c r="T26">
        <f>Palmon!U27</f>
        <v>0.7948717948717946</v>
      </c>
      <c r="U26">
        <f>Palmon!V27</f>
        <v>72.000000000000227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4560</v>
      </c>
      <c r="AA26">
        <f>Palmon!AB27</f>
        <v>6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13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634.99999999999989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3386</v>
      </c>
      <c r="AA28">
        <f>Palmon!AB29</f>
        <v>11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0</v>
      </c>
      <c r="G31">
        <f>Palmon!H32</f>
        <v>0</v>
      </c>
      <c r="H31">
        <f>Palmon!I32</f>
        <v>250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725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140</v>
      </c>
      <c r="AA31">
        <f>Palmon!AB32</f>
        <v>31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Palmon!AE36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>
        <f>Palmon!AF36</f>
        <v>0</v>
      </c>
      <c r="AF35">
        <f>Palmon!AG36</f>
        <v>0</v>
      </c>
      <c r="AG35">
        <f>Palmon!AH36</f>
        <v>0</v>
      </c>
      <c r="AH35">
        <f>Palmon!AI36</f>
        <v>0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Palmon!AE37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>
        <f>Palmon!AF37</f>
        <v>0</v>
      </c>
      <c r="AF36">
        <f>Palmon!AG37</f>
        <v>0</v>
      </c>
      <c r="AG36">
        <f>Palmon!AH37</f>
        <v>0</v>
      </c>
      <c r="AH36" t="str">
        <f>Palmon!AI37</f>
        <v>Dreadmaw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Palmon!AE38</f>
        <v>https://encrypted-tbn0.gstatic.com/images?q=tbn:ANd9GcQCf63iS9oq-SMn3DO74UTS2j_zSrzNVTRMOQ&amp;s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 t="str">
        <f>Palmon!AI38</f>
        <v>Fleurizard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>
        <f>Palmon!AI44</f>
        <v>0</v>
      </c>
      <c r="AI43">
        <f>Palmon!AJ44</f>
        <v>0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>
        <f>Palmon!AI45</f>
        <v>0</v>
      </c>
      <c r="AI44">
        <f>Palmon!AJ45</f>
        <v>0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20</v>
      </c>
      <c r="AB45">
        <f>Palmon!AC46</f>
        <v>3</v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 t="str">
        <f>Palmon!AI46</f>
        <v>Vulpyrean</v>
      </c>
      <c r="AI45" t="str">
        <f>Palmon!AJ46</f>
        <v>Camouflynx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workbookViewId="0"/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5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>
        <v>26.000000000000028</v>
      </c>
      <c r="F6" s="33" t="str">
        <v/>
      </c>
      <c r="G6" s="33" t="str">
        <v/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 t="str">
        <v/>
      </c>
      <c r="P16" s="47">
        <v>300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245.71428571428572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134.99999999999989</v>
      </c>
      <c r="O18" s="33">
        <v>500</v>
      </c>
      <c r="P18" s="47">
        <v>500</v>
      </c>
      <c r="Q18" s="40"/>
      <c r="R18" s="1"/>
      <c r="U18" s="46" t="str">
        <v>Water</v>
      </c>
      <c r="V18" s="192">
        <v>240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235.47619047619048</v>
      </c>
      <c r="W20" s="196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134.99999999999989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5</v>
      </c>
      <c r="N26" s="33">
        <v>1</v>
      </c>
      <c r="O26" s="33" t="str">
        <v/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>
        <v>72.000000000000227</v>
      </c>
      <c r="H27" s="33" t="str">
        <v/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487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2</v>
      </c>
      <c r="P29" s="33">
        <v>1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14</v>
      </c>
      <c r="N30" s="86">
        <v>5</v>
      </c>
      <c r="O30" s="86">
        <v>5</v>
      </c>
      <c r="P30" s="86">
        <v>4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4</v>
      </c>
      <c r="O35" s="40">
        <v>2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3</v>
      </c>
      <c r="N37" s="33" t="str">
        <v/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Hoofrit</v>
      </c>
      <c r="N42" s="75" t="str">
        <v>Blazeal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Hoofrit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Lucidina</v>
      </c>
      <c r="N43" s="78" t="str">
        <v>Mantleray</v>
      </c>
      <c r="O43" s="1"/>
      <c r="P43" s="1" t="str">
        <v>Vulpyrean</v>
      </c>
      <c r="Q43" s="1" t="str">
        <v>Lucidina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Pipistrigoi</v>
      </c>
      <c r="N44" s="78" t="str">
        <v>Abuzzinian</v>
      </c>
      <c r="O44" s="1"/>
      <c r="P44" s="1" t="str">
        <v>Gnashley</v>
      </c>
      <c r="Q44" s="1" t="str">
        <v>Pipistrigoi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Kungpaw</v>
      </c>
      <c r="N45" s="78" t="str">
        <v>Escarffier</v>
      </c>
      <c r="O45" s="1"/>
      <c r="P45" s="1" t="str">
        <v>Glacewing</v>
      </c>
      <c r="Q45" s="1" t="str">
        <v>Kungpaw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Magmolin</v>
      </c>
      <c r="N46" s="78" t="str">
        <v>Ninjump</v>
      </c>
      <c r="O46" s="1"/>
      <c r="P46" s="1" t="str">
        <v>Fleurizard</v>
      </c>
      <c r="Q46" s="1" t="str">
        <v>Magmolin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Spookaboo</v>
      </c>
      <c r="N47" s="78" t="str">
        <v>Revontulet</v>
      </c>
      <c r="O47" s="1"/>
      <c r="P47" s="1" t="str">
        <v>Oleana</v>
      </c>
      <c r="Q47" s="1" t="str">
        <v>Spookaboo</v>
      </c>
      <c r="R47" s="1"/>
      <c r="T47"/>
      <c r="U47"/>
      <c r="V47"/>
      <c r="W47"/>
    </row>
    <row r="48" spans="2:23" ht="15.75" thickBot="1" x14ac:dyDescent="0.3">
      <c r="L48" s="81" t="str">
        <v>Ghillant</v>
      </c>
      <c r="M48" s="82" t="str">
        <v>Barkplug</v>
      </c>
      <c r="N48" s="83" t="str">
        <v>Limudroid</v>
      </c>
      <c r="O48" s="1"/>
      <c r="P48" s="1" t="str">
        <v>Ghillant</v>
      </c>
      <c r="Q48" s="1" t="str">
        <v>Barkplug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15</v>
      </c>
      <c r="L52" s="1" t="str">
        <v>Abuzzinian</v>
      </c>
      <c r="M52" s="1" t="str">
        <v/>
      </c>
      <c r="N52" s="1">
        <v>17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6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12</v>
      </c>
      <c r="L54" s="1" t="str">
        <v>Barkplug</v>
      </c>
      <c r="M54" s="1" t="str">
        <v/>
      </c>
      <c r="N54" s="1">
        <v>14</v>
      </c>
      <c r="P54" s="1" t="str">
        <v/>
      </c>
      <c r="Q54" s="1">
        <v>5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13</v>
      </c>
      <c r="H56" s="1" t="str">
        <v/>
      </c>
      <c r="L56" s="1" t="str">
        <v>Blazeal</v>
      </c>
      <c r="M56" s="1">
        <v>15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21</v>
      </c>
      <c r="L58" s="1" t="str">
        <v>Dolphriend</v>
      </c>
      <c r="M58" s="1" t="str">
        <v/>
      </c>
      <c r="N58" s="1">
        <v>24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16</v>
      </c>
      <c r="L59" s="1" t="str">
        <v>Escarffier</v>
      </c>
      <c r="M59" s="1" t="str">
        <v/>
      </c>
      <c r="N59" s="1">
        <v>18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20</v>
      </c>
      <c r="L62" s="1" t="str">
        <v>Fulgairy</v>
      </c>
      <c r="M62" s="1" t="str">
        <v/>
      </c>
      <c r="N62" s="1">
        <v>23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5</v>
      </c>
      <c r="L63" s="1" t="str">
        <v>Ghillant</v>
      </c>
      <c r="M63" s="1" t="str">
        <v/>
      </c>
      <c r="N63" s="1">
        <v>7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6</v>
      </c>
      <c r="H65" s="1" t="str">
        <v/>
      </c>
      <c r="L65" s="1" t="str">
        <v>Hoofrit</v>
      </c>
      <c r="M65" s="1">
        <v>8</v>
      </c>
      <c r="N65" s="1" t="str">
        <v/>
      </c>
      <c r="P65" s="1">
        <v>4</v>
      </c>
      <c r="Q65" s="1" t="str">
        <v/>
      </c>
    </row>
    <row r="66" spans="7:20" s="1" customFormat="1" ht="12" x14ac:dyDescent="0.2">
      <c r="G66" s="1" t="str">
        <v/>
      </c>
      <c r="H66" s="1">
        <v>9</v>
      </c>
      <c r="L66" s="1" t="str">
        <v>Kungpaw</v>
      </c>
      <c r="M66" s="1" t="str">
        <v/>
      </c>
      <c r="N66" s="1">
        <v>11</v>
      </c>
      <c r="P66" s="1" t="str">
        <v/>
      </c>
      <c r="Q66" s="1">
        <v>3</v>
      </c>
    </row>
    <row r="67" spans="7:20" s="1" customFormat="1" ht="12" x14ac:dyDescent="0.2">
      <c r="G67" s="1">
        <v>18</v>
      </c>
      <c r="H67" s="1" t="str">
        <v/>
      </c>
      <c r="L67" s="1" t="str">
        <v>Limudroid</v>
      </c>
      <c r="M67" s="1">
        <v>21</v>
      </c>
      <c r="N67" s="1" t="str">
        <v/>
      </c>
      <c r="P67" s="1">
        <v>11</v>
      </c>
      <c r="Q67" s="1" t="str">
        <v/>
      </c>
    </row>
    <row r="68" spans="7:20" s="1" customFormat="1" ht="12" x14ac:dyDescent="0.2">
      <c r="G68" s="1">
        <v>7</v>
      </c>
      <c r="H68" s="1" t="str">
        <v/>
      </c>
      <c r="L68" s="1" t="str">
        <v>Lucidina</v>
      </c>
      <c r="M68" s="1">
        <v>9</v>
      </c>
      <c r="N68" s="1" t="str">
        <v/>
      </c>
      <c r="P68" s="1">
        <v>5</v>
      </c>
      <c r="Q68" s="1" t="str">
        <v/>
      </c>
    </row>
    <row r="69" spans="7:20" s="1" customFormat="1" ht="12" x14ac:dyDescent="0.2">
      <c r="G69" s="1" t="str">
        <v/>
      </c>
      <c r="H69" s="1">
        <v>10</v>
      </c>
      <c r="L69" s="1" t="str">
        <v>Magmolin</v>
      </c>
      <c r="M69" s="1" t="str">
        <v/>
      </c>
      <c r="N69" s="1">
        <v>12</v>
      </c>
      <c r="P69" s="1" t="str">
        <v/>
      </c>
      <c r="Q69" s="1">
        <v>4</v>
      </c>
    </row>
    <row r="70" spans="7:20" s="1" customFormat="1" ht="12" x14ac:dyDescent="0.2">
      <c r="G70" s="1">
        <v>14</v>
      </c>
      <c r="H70" s="1" t="str">
        <v/>
      </c>
      <c r="L70" s="1" t="str">
        <v>Mantleray</v>
      </c>
      <c r="M70" s="1">
        <v>16</v>
      </c>
      <c r="N70" s="1" t="str">
        <v/>
      </c>
      <c r="P70" s="1">
        <v>9</v>
      </c>
      <c r="Q70" s="1" t="str">
        <v/>
      </c>
    </row>
    <row r="71" spans="7:20" s="1" customFormat="1" ht="12" x14ac:dyDescent="0.2">
      <c r="G71" s="1">
        <v>17</v>
      </c>
      <c r="H71" s="1" t="str">
        <v/>
      </c>
      <c r="L71" s="1" t="str">
        <v>Ninjump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8</v>
      </c>
      <c r="H73" s="1" t="str">
        <v/>
      </c>
      <c r="L73" s="1" t="str">
        <v>Pipistrigoi</v>
      </c>
      <c r="M73" s="1">
        <v>10</v>
      </c>
      <c r="N73" s="1" t="str">
        <v/>
      </c>
      <c r="P73" s="1">
        <v>6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11</v>
      </c>
      <c r="H76" s="1" t="str">
        <v/>
      </c>
      <c r="L76" s="1" t="str">
        <v>Spookaboo</v>
      </c>
      <c r="M76" s="1">
        <v>13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19</v>
      </c>
      <c r="L77" s="1" t="str">
        <v>Statchew</v>
      </c>
      <c r="M77" s="1" t="str">
        <v/>
      </c>
      <c r="N77" s="1">
        <v>22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Y3" sqref="Y3:AC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229</v>
      </c>
      <c r="AA18" s="238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227</v>
      </c>
      <c r="AC20" s="238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200</v>
      </c>
      <c r="Z30" s="236" t="s">
        <v>201</v>
      </c>
      <c r="AA30" s="236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200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B1" workbookViewId="0">
      <selection activeCell="I7" sqref="I7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3" t="s">
        <v>204</v>
      </c>
      <c r="B1" s="254"/>
      <c r="D1" s="292" t="s">
        <v>241</v>
      </c>
      <c r="E1" s="293"/>
      <c r="F1" s="293"/>
      <c r="H1" s="292" t="s">
        <v>241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258</v>
      </c>
      <c r="AA1" s="254"/>
      <c r="AC1" s="253" t="s">
        <v>263</v>
      </c>
      <c r="AD1" s="254"/>
    </row>
    <row r="2" spans="1:30" x14ac:dyDescent="0.25">
      <c r="A2" s="240" t="s">
        <v>197</v>
      </c>
      <c r="B2" s="60">
        <v>400000</v>
      </c>
      <c r="D2" s="223" t="s">
        <v>17</v>
      </c>
      <c r="E2" s="222" t="s">
        <v>20</v>
      </c>
      <c r="F2" s="222" t="s">
        <v>239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242</v>
      </c>
      <c r="M2" s="222" t="s">
        <v>243</v>
      </c>
      <c r="N2" s="222" t="s">
        <v>244</v>
      </c>
      <c r="O2" s="222" t="s">
        <v>245</v>
      </c>
      <c r="P2" s="222" t="s">
        <v>246</v>
      </c>
      <c r="Q2" s="222" t="s">
        <v>144</v>
      </c>
      <c r="S2" s="223" t="s">
        <v>257</v>
      </c>
      <c r="T2" s="222" t="s">
        <v>242</v>
      </c>
      <c r="U2" s="222" t="s">
        <v>243</v>
      </c>
      <c r="V2" s="222" t="s">
        <v>244</v>
      </c>
      <c r="W2" s="222" t="s">
        <v>245</v>
      </c>
      <c r="X2" s="222" t="s">
        <v>246</v>
      </c>
      <c r="Z2" s="223" t="s">
        <v>79</v>
      </c>
      <c r="AA2" s="222" t="s">
        <v>259</v>
      </c>
      <c r="AC2" s="223" t="s">
        <v>79</v>
      </c>
      <c r="AD2" s="222" t="s">
        <v>12</v>
      </c>
    </row>
    <row r="3" spans="1:30" x14ac:dyDescent="0.25">
      <c r="A3" s="204" t="s">
        <v>198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247</v>
      </c>
      <c r="I3" s="248" t="s">
        <v>249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253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199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248</v>
      </c>
      <c r="I4" s="248" t="s">
        <v>50</v>
      </c>
      <c r="J4" s="4">
        <v>42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255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236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250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262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251</v>
      </c>
      <c r="I6" s="248" t="s">
        <v>53</v>
      </c>
      <c r="J6" s="4">
        <v>120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254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252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256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36">
      <formula>$C2="Wood"</formula>
    </cfRule>
    <cfRule type="expression" dxfId="26" priority="35">
      <formula>$C2="Electricity"</formula>
    </cfRule>
    <cfRule type="expression" dxfId="25" priority="34">
      <formula>$C2="Water"</formula>
    </cfRule>
    <cfRule type="expression" dxfId="24" priority="33">
      <formula>$C2="Fire"</formula>
    </cfRule>
  </conditionalFormatting>
  <conditionalFormatting sqref="E2:E4">
    <cfRule type="expression" dxfId="23" priority="31">
      <formula>$C2="Electricity"</formula>
    </cfRule>
    <cfRule type="expression" dxfId="22" priority="30">
      <formula>$C2="Water"</formula>
    </cfRule>
    <cfRule type="expression" dxfId="21" priority="29">
      <formula>$C2="Fire"</formula>
    </cfRule>
    <cfRule type="expression" dxfId="20" priority="32">
      <formula>$C2="Wood"</formula>
    </cfRule>
  </conditionalFormatting>
  <conditionalFormatting sqref="J2:P4">
    <cfRule type="expression" dxfId="19" priority="2">
      <formula>$C2="Water"</formula>
    </cfRule>
    <cfRule type="expression" dxfId="18" priority="3">
      <formula>$C2="Electricity"</formula>
    </cfRule>
    <cfRule type="expression" dxfId="17" priority="4">
      <formula>$C2="Wood"</formula>
    </cfRule>
    <cfRule type="expression" dxfId="16" priority="1">
      <formula>$C2="Fire"</formula>
    </cfRule>
  </conditionalFormatting>
  <conditionalFormatting sqref="Q2:Q7">
    <cfRule type="expression" dxfId="15" priority="21">
      <formula>$C2="Fire"</formula>
    </cfRule>
    <cfRule type="expression" dxfId="14" priority="22">
      <formula>$C2="Water"</formula>
    </cfRule>
    <cfRule type="expression" dxfId="13" priority="23">
      <formula>$C2="Electricity"</formula>
    </cfRule>
    <cfRule type="expression" dxfId="12" priority="24">
      <formula>$C2="Wood"</formula>
    </cfRule>
  </conditionalFormatting>
  <conditionalFormatting sqref="T2:X2">
    <cfRule type="expression" dxfId="11" priority="20">
      <formula>$C2="Wood"</formula>
    </cfRule>
    <cfRule type="expression" dxfId="10" priority="18">
      <formula>$C2="Water"</formula>
    </cfRule>
    <cfRule type="expression" dxfId="9" priority="17">
      <formula>$C2="Fire"</formula>
    </cfRule>
    <cfRule type="expression" dxfId="8" priority="19">
      <formula>$C2="Electricity"</formula>
    </cfRule>
  </conditionalFormatting>
  <conditionalFormatting sqref="AA2">
    <cfRule type="expression" dxfId="7" priority="16">
      <formula>$C2="Wood"</formula>
    </cfRule>
    <cfRule type="expression" dxfId="6" priority="15">
      <formula>$C2="Electricity"</formula>
    </cfRule>
    <cfRule type="expression" dxfId="5" priority="14">
      <formula>$C2="Water"</formula>
    </cfRule>
    <cfRule type="expression" dxfId="4" priority="13">
      <formula>$C2="Fire"</formula>
    </cfRule>
  </conditionalFormatting>
  <conditionalFormatting sqref="AD2">
    <cfRule type="expression" dxfId="3" priority="9">
      <formula>$C2="Fire"</formula>
    </cfRule>
    <cfRule type="expression" dxfId="2" priority="10">
      <formula>$C2="Water"</formula>
    </cfRule>
    <cfRule type="expression" dxfId="1" priority="11">
      <formula>$C2="Electricity"</formula>
    </cfRule>
    <cfRule type="expression" dxfId="0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239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239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233</v>
      </c>
      <c r="D1" s="244" t="s">
        <v>234</v>
      </c>
      <c r="F1" s="244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260,4,4,11,1,1,1,1,0,15,15,15,Max,,0.487179487179487,489,1235520000,1,4260,8,2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Ghillant,Wood,Defend,250,4,4.1,0,1,1,1,1,0.199999999999999,5,5,5,Max,,0.589743589743589,400,2123020000,1,4350,7,1,https://encrypted-tbn0.gstatic.com/images?q=tbn:ANd9GcQOwDXppnwkCtCXXAqUiiNMhf6T-lane54jPg&amp;s,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Magmolin,Fire,Defend,240,3,3.1,61,1,1,1,0.2,0,10,5,15,,,0.241025641025641,679,2831420000,1,3340,12,2,https://encrypted-tbn0.gstatic.com/images?q=tbn:ANd9GcRebc6KbOAxblleg_L3rr2K13bt-Yyzq1bAaw&amp;s,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0.117948717948718,856,3390620000,1,2430,21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0.179487179487179,800,2123020000,1,3250,14,2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230,2,2.3,14,1,1,0.6,0,0,1,1,1,,,0.138461538461538,826,3390620000,1,2530,17,3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Escarffier,Fire,Defend,230,2,2.3,8,1,1,0.6,0,0,5,5,5,,,0.138461538461538,832,3390620000,1,2530,18,3,https://encrypted-tbn0.gstatic.com/images?q=tbn:ANd9GcST2CrUIPAlFNBLPgZn0Tu93KelabHVVAbNLQ&amp;s,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Lucidina,Water,Attack,260,4,4,0,1,1,1,1,0,5,5,15,Max,,0.487179487179487,500,1235520000,1,4260,9,2,https://encrypted-tbn0.gstatic.com/images?q=tbn:ANd9GcR9A_xtftnwTH1zCnLIOcgmJKNZtFnB-e8QOw&amp;s,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Statchew,Wood,Defend,230,2,2.2,10,1,1,0.4,0,0,15,5,9,,,0.117948717948718,850,3390620000,1,2430,22,,https://encrypted-tbn0.gstatic.com/images?q=tbn:ANd9GcSC1rp-0lIuUyVvSi8kN_vJnr_Ln4mF4lh4zg&amp;s,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0.0769230769230769,887,4161420000,1,2210,27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0.117948717948718,852,4161420000,1,2410,23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0.179487179487179,790,2123020000,1,3250,15,3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Pipistrigoi,Fire,Attack,260,4,4,13,1,1,1,1,0,15,15,15,Max,,0.487179487179487,487,1235520000,1,4260,10,2,https://encrypted-tbn0.gstatic.com/images?q=tbn:ANd9GcSSdARGNHB_mPJlsb0v4ULv5HaXw2movjzNTNSrkzsi&amp;s,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0.138461538461538,830,4919220000,1,2460,19,3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Mantleray,Electricity,Attack,210,2,2.4,3,1,1,0.8,0,0,4,1,1,,,0.158974358974359,817,4161420000,1,2610,16,3,https://encrypted-tbn0.gstatic.com/images?q=tbn:ANd9GcSWhzppoZXwh-zBnWIY3GFkIp0x0kc0hAzG0A&amp;s,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Oleana,Wood,Attack,260,4,4.3,128,1,1,1,1,0.6,1,1,1,Max,,0.794871794871795,72,0000000000002,1235520000,1,4560,6,1,https://encrypted-tbn0.gstatic.com/images?q=tbn:ANd9GcQ02wmDjsAMofj1ObwwNW6Vhl_QQ-LUodGIKA&amp;s,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Spookaboo,Fire,Attack,210,3,3.1,10,1,1,1,0.2,0,1,1,1,,,0.241025641025641,730,4161420000,1,3310,13,2,https://encrypted-tbn0.gstatic.com/images?q=tbn:ANd9GcT29K673YTBvt_EofrppvnWB4sgt43DEq1pTw&amp;s,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Kungpaw,Water,Defend,186,3,3.2,45,1,1,1,0.4,0,1,1,1,,,0.302564102564103,635,4667020000,1,3386,11,2,https://encrypted-tbn0.gstatic.com/images?q=tbn:ANd9GcRV1HdRcNPUS4HjDBZ2YOXgaMW_I8FgZEP5xg&amp;s,,,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140,0,0,250,0,0,0,0,0,1,1,1,,,0,725,4999220000,1,140,31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Revontulet,Fire,Attack,160,2,2.3,0,1,1,0.6,0,0,1,1,1,,,0.138461538461538,840,4919220000,1,2460,20,3,,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2026-03-25T13:46:55Z</dcterms:modified>
</cp:coreProperties>
</file>