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8A9A06F0-11D1-4EC1-9551-39A6FCC1DCFC}" xr6:coauthVersionLast="47" xr6:coauthVersionMax="47" xr10:uidLastSave="{00000000-0000-0000-0000-000000000000}"/>
  <bookViews>
    <workbookView xWindow="-120" yWindow="-120" windowWidth="29040" windowHeight="15720" activeTab="1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1" l="1"/>
  <c r="AE4" i="11"/>
  <c r="AE5" i="11"/>
  <c r="AE6" i="11"/>
  <c r="AE7" i="11"/>
  <c r="AE8" i="11"/>
  <c r="AE9" i="11"/>
  <c r="AE10" i="11"/>
  <c r="AE11" i="11"/>
  <c r="AE12" i="11"/>
  <c r="AE13" i="11"/>
  <c r="AE14" i="11"/>
  <c r="AE15" i="11"/>
  <c r="AE16" i="11"/>
  <c r="AE17" i="11"/>
  <c r="AE18" i="11"/>
  <c r="AE19" i="11"/>
  <c r="AE20" i="11"/>
  <c r="AE21" i="11"/>
  <c r="AE22" i="11"/>
  <c r="AE23" i="11"/>
  <c r="AE24" i="11"/>
  <c r="AE25" i="11"/>
  <c r="AE26" i="11"/>
  <c r="AE27" i="11"/>
  <c r="AE28" i="11"/>
  <c r="AE29" i="11"/>
  <c r="AE30" i="11"/>
  <c r="AE31" i="11"/>
  <c r="AE32" i="11"/>
  <c r="AE33" i="11"/>
  <c r="AE34" i="11"/>
  <c r="AE35" i="11"/>
  <c r="AE36" i="11"/>
  <c r="AE37" i="11"/>
  <c r="AE38" i="11"/>
  <c r="AE39" i="11"/>
  <c r="AE40" i="11"/>
  <c r="AE41" i="11"/>
  <c r="AE42" i="11"/>
  <c r="AE43" i="11"/>
  <c r="AE44" i="11"/>
  <c r="AE45" i="11"/>
  <c r="AE2" i="11"/>
  <c r="AD3" i="11"/>
  <c r="AD4" i="11"/>
  <c r="AD5" i="11"/>
  <c r="AD6" i="11"/>
  <c r="AD7" i="11"/>
  <c r="AD8" i="11"/>
  <c r="AD9" i="11"/>
  <c r="AD10" i="11"/>
  <c r="AD11" i="11"/>
  <c r="AD12" i="11"/>
  <c r="AD13" i="11"/>
  <c r="AD14" i="11"/>
  <c r="AD15" i="11"/>
  <c r="AD16" i="11"/>
  <c r="AD17" i="11"/>
  <c r="AD18" i="11"/>
  <c r="AD19" i="11"/>
  <c r="AD20" i="11"/>
  <c r="AD21" i="11"/>
  <c r="AD22" i="11"/>
  <c r="AD23" i="11"/>
  <c r="AD24" i="11"/>
  <c r="AD25" i="11"/>
  <c r="AD26" i="11"/>
  <c r="AD27" i="11"/>
  <c r="AD28" i="11"/>
  <c r="AD29" i="11"/>
  <c r="AD30" i="11"/>
  <c r="AD31" i="11"/>
  <c r="AD32" i="11"/>
  <c r="AD33" i="11"/>
  <c r="AD34" i="11"/>
  <c r="AD35" i="11"/>
  <c r="AD36" i="11"/>
  <c r="AD37" i="11"/>
  <c r="AD38" i="11"/>
  <c r="AD39" i="11"/>
  <c r="AD40" i="11"/>
  <c r="AD41" i="11"/>
  <c r="AD42" i="11"/>
  <c r="AD43" i="11"/>
  <c r="AD44" i="11"/>
  <c r="AD45" i="11"/>
  <c r="AD2" i="11"/>
  <c r="AH3" i="11"/>
  <c r="AI3" i="11"/>
  <c r="AH4" i="11"/>
  <c r="AI4" i="11"/>
  <c r="AH5" i="11"/>
  <c r="AI5" i="11"/>
  <c r="AH6" i="11"/>
  <c r="AI6" i="11"/>
  <c r="AH7" i="11"/>
  <c r="AI7" i="11"/>
  <c r="AH8" i="11"/>
  <c r="AI8" i="11"/>
  <c r="AH9" i="11"/>
  <c r="AI9" i="11"/>
  <c r="AH10" i="11"/>
  <c r="AI10" i="11"/>
  <c r="AH11" i="11"/>
  <c r="AI11" i="11"/>
  <c r="AH12" i="11"/>
  <c r="AI12" i="11"/>
  <c r="AH13" i="11"/>
  <c r="AI13" i="11"/>
  <c r="AH14" i="11"/>
  <c r="AI14" i="11"/>
  <c r="AH15" i="11"/>
  <c r="AI15" i="11"/>
  <c r="AH16" i="11"/>
  <c r="AI16" i="11"/>
  <c r="AH17" i="11"/>
  <c r="AI17" i="11"/>
  <c r="AH18" i="11"/>
  <c r="AI18" i="11"/>
  <c r="AH19" i="11"/>
  <c r="AI19" i="11"/>
  <c r="AH20" i="11"/>
  <c r="AI20" i="11"/>
  <c r="AH21" i="11"/>
  <c r="AI21" i="11"/>
  <c r="AH22" i="11"/>
  <c r="AI22" i="11"/>
  <c r="AH23" i="11"/>
  <c r="AI23" i="11"/>
  <c r="AH24" i="11"/>
  <c r="AI24" i="11"/>
  <c r="AH25" i="11"/>
  <c r="AI25" i="11"/>
  <c r="AH26" i="11"/>
  <c r="AI26" i="11"/>
  <c r="AH27" i="11"/>
  <c r="AI27" i="11"/>
  <c r="AH28" i="11"/>
  <c r="AI28" i="11"/>
  <c r="AH29" i="11"/>
  <c r="AI29" i="11"/>
  <c r="AH30" i="11"/>
  <c r="AI30" i="11"/>
  <c r="AH31" i="11"/>
  <c r="AI31" i="11"/>
  <c r="AH32" i="11"/>
  <c r="AI32" i="11"/>
  <c r="AH33" i="11"/>
  <c r="AI33" i="11"/>
  <c r="AH34" i="11"/>
  <c r="AI34" i="11"/>
  <c r="AH35" i="11"/>
  <c r="AI35" i="11"/>
  <c r="AH36" i="11"/>
  <c r="AI36" i="11"/>
  <c r="AH37" i="11"/>
  <c r="AI37" i="11"/>
  <c r="AH38" i="11"/>
  <c r="AI38" i="11"/>
  <c r="AH39" i="11"/>
  <c r="AI39" i="11"/>
  <c r="AH40" i="11"/>
  <c r="AI40" i="11"/>
  <c r="AH41" i="11"/>
  <c r="AI41" i="11"/>
  <c r="AH42" i="11"/>
  <c r="AI42" i="11"/>
  <c r="AH43" i="11"/>
  <c r="AI43" i="11"/>
  <c r="AH44" i="11"/>
  <c r="AI44" i="11"/>
  <c r="AH45" i="11"/>
  <c r="AI45" i="11"/>
  <c r="AI2" i="11"/>
  <c r="AH2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F35" i="11"/>
  <c r="AG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F36" i="11"/>
  <c r="AG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F37" i="11"/>
  <c r="AG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F38" i="11"/>
  <c r="AG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F39" i="11"/>
  <c r="AG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F40" i="11"/>
  <c r="AG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F41" i="11"/>
  <c r="AG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F42" i="11"/>
  <c r="AG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F43" i="11"/>
  <c r="AG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F44" i="11"/>
  <c r="AG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F45" i="11"/>
  <c r="AG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G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G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G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G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G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G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G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G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G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G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G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G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G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G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G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G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G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G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G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G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G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G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G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G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G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G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G30" i="11"/>
  <c r="AJ30" i="11"/>
  <c r="A31" i="11"/>
  <c r="B31" i="11"/>
  <c r="C31" i="11"/>
  <c r="D31" i="11"/>
  <c r="G31" i="11"/>
  <c r="H31" i="11"/>
  <c r="N31" i="11"/>
  <c r="V31" i="11"/>
  <c r="Y31" i="11"/>
  <c r="AC31" i="11"/>
  <c r="AG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G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G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F33" i="2"/>
  <c r="AF31" i="2"/>
  <c r="AF28" i="2"/>
  <c r="AF27" i="2"/>
  <c r="AF26" i="2"/>
  <c r="AF19" i="2"/>
  <c r="AF15" i="2"/>
  <c r="AF14" i="2"/>
  <c r="AF13" i="2"/>
  <c r="AF12" i="2"/>
  <c r="AF8" i="2"/>
  <c r="AF6" i="2"/>
  <c r="AF3" i="2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<sst xmlns="http://schemas.openxmlformats.org/spreadsheetml/2006/main" count="403" uniqueCount="266">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</sst>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workbookViewId="0">
      <selection activeCell="L7" sqref="L7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30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10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205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14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216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23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210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16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222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12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220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20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207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11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214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24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219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0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800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3210</v>
      </c>
      <c r="AB16" s="63">
        <f>RANK($AA16,$AA$3:$AA$46)+COUNTIF($AA$3:$AA16,AA16)-1</f>
        <v>18</v>
      </c>
      <c r="AC16" s="61" cm="1">
        <f t="array" ref="AC16">IFERROR(_xlfn.IFS($AB16&lt;8,1,$AB16&lt;15,2,$AB16&lt;21,3),"")</f>
        <v>3</v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208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0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860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25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212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17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218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8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206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30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215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26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21</v>
      </c>
      <c r="AC22" s="61" t="str" cm="1">
        <f t="array" ref="AC22">IFERROR(_xlfn.IFS($AB22&lt;8,1,$AB22&lt;15,2,$AB22&lt;21,3),"")</f>
        <v/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29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31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213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2.1</v>
      </c>
      <c r="I25" s="123">
        <v>11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0.20000000000000018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9.7435897435897451E-2</v>
      </c>
      <c r="V25" s="13" cm="1">
        <f t="array" ref="V25">Details!$D$9-SUMPRODUCT(TRANSPOSE(Details!$D$4:$D$8),$P25:$T25)-$I25</f>
        <v>869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2300</v>
      </c>
      <c r="AB25" s="63">
        <f>RANK($AA25,$AA$3:$AA$46)+COUNTIF($AA$3:$AA25,AA25)-1</f>
        <v>28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209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19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221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15</v>
      </c>
      <c r="AC28" s="61" cm="1">
        <f t="array" ref="AC28">IFERROR(_xlfn.IFS($AB28&lt;8,1,$AB28&lt;15,2,$AB28&lt;21,3),"")</f>
        <v>3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236</v>
      </c>
      <c r="C29" s="19" t="s">
        <v>53</v>
      </c>
      <c r="D29" s="71" t="s">
        <v>98</v>
      </c>
      <c r="E29" s="63">
        <v>190</v>
      </c>
      <c r="F29" s="125" cm="1">
        <f t="array" ref="F29">IsUpgradable(E29)</f>
        <v>1</v>
      </c>
      <c r="G29" s="127">
        <f t="shared" ref="G29" si="9">INT(H29)</f>
        <v>4</v>
      </c>
      <c r="H29" s="198">
        <v>4</v>
      </c>
      <c r="I29" s="123">
        <v>30</v>
      </c>
      <c r="J29" s="153">
        <v>1</v>
      </c>
      <c r="K29" s="157">
        <v>1</v>
      </c>
      <c r="L29" s="157">
        <v>1</v>
      </c>
      <c r="M29" s="7" t="str">
        <f t="shared" si="7"/>
        <v>Max</v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1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0.48717948717948717</v>
      </c>
      <c r="V29" s="13" cm="1">
        <f t="array" ref="V29">Details!$D$9-SUMPRODUCT(TRANSPOSE(Details!$D$4:$D$8),$P29:$T29)-$I29</f>
        <v>470</v>
      </c>
      <c r="X29" s="13" cm="1">
        <f t="array" ref="X29">LevelUpgradeCost($E29)</f>
        <v>4605720000</v>
      </c>
      <c r="Y29" s="61">
        <f t="shared" ref="Y29" si="10">F29</f>
        <v>1</v>
      </c>
      <c r="AA29" s="110">
        <f t="shared" si="5"/>
        <v>4190</v>
      </c>
      <c r="AB29" s="63">
        <f>RANK($AA29,$AA$3:$AA$46)+COUNTIF($AA$3:$AA29,AA29)-1</f>
        <v>13</v>
      </c>
      <c r="AC29" s="61" cm="1">
        <f t="array" ref="AC29">IFERROR(_xlfn.IFS($AB29&lt;8,1,$AB29&lt;15,2,$AB29&lt;21,3),"")</f>
        <v>2</v>
      </c>
      <c r="AE29" s="63" t="s">
        <v>239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27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217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223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5</v>
      </c>
      <c r="H32" s="198">
        <v>5</v>
      </c>
      <c r="I32" s="123">
        <v>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>Max</v>
      </c>
      <c r="N32" s="19">
        <f t="shared" si="8"/>
        <v>10</v>
      </c>
      <c r="P32" s="9">
        <f>IFERROR(CHOOSE(IF($H32&gt;=Details!$B$4,1,2),Details!$D$4,IF($H32&gt;Details!$B$4-1,IF($H32&lt;1,$H32,MOD($H32,Details!$B$4-1))*10*Details!$C$4,""))/Details!$D$4,0)</f>
        <v>1</v>
      </c>
      <c r="Q32" s="9">
        <f>IFERROR(CHOOSE(IF($H32&gt;=Details!$B$5,1,2),Details!$D$5,IF($H32&gt;Details!$B$5-1,IF($H32&lt;1,Details!$G$4,MOD($H32,Details!$B$5-1))*10*Details!$C$5,""))/Details!$D$5,0)</f>
        <v>1</v>
      </c>
      <c r="R32" s="9">
        <f>IFERROR(CHOOSE(IF($H32&gt;=Details!$B$6,1,2),Details!$D$6,IF($H32&gt;Details!$B$6-1,IF($H32&lt;1,Details!$G$5,MOD($H32,Details!$B$6-1))*10*Details!$C$6,""))/Details!$D$6,0)</f>
        <v>1</v>
      </c>
      <c r="S32" s="9">
        <f>IFERROR(CHOOSE(IF($H32&gt;=Details!$B$7,1,2),Details!$D$7,IF($H32&gt;Details!$B$7-1,IF($H32&lt;1,Details!$G$5,MOD($H32,Details!$B$7-1))*10*Details!$C$7,""))/Details!$D$7,0)</f>
        <v>1</v>
      </c>
      <c r="T32" s="9">
        <f>IFERROR(CHOOSE(IF($H32&gt;=Details!$B$8,1,2),Details!$D$8,IF($H32&gt;Details!$B$8-1,IF($H32&lt;1,Details!$G$5,MOD($H32,Details!$B$8-1))*10*Details!$C$8,""))/Details!$D$8,0)</f>
        <v>1</v>
      </c>
      <c r="U32" s="9" cm="1">
        <f t="array" ref="U32">SUMPRODUCT(TRANSPOSE(Details!$D$4:$D$8),$P32:$T32)/Details!$D$9</f>
        <v>1</v>
      </c>
      <c r="V32" s="13" cm="1">
        <f t="array" ref="V32">Details!$D$9-SUMPRODUCT(TRANSPOSE(Details!$D$4:$D$8),$P32:$T32)-$I32</f>
        <v>0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5140</v>
      </c>
      <c r="AB32" s="63">
        <f>RANK($AA32,$AA$3:$AA$46)+COUNTIF($AA$3:$AA32,AA32)-1</f>
        <v>7</v>
      </c>
      <c r="AC32" s="61" cm="1">
        <f t="array" ref="AC32">IFERROR(_xlfn.IFS($AB32&lt;8,1,$AB32&lt;15,2,$AB32&lt;21,3),"")</f>
        <v>1</v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224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225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264</v>
      </c>
      <c r="C36" s="162" t="s">
        <v>53</v>
      </c>
      <c r="D36" s="152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265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263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/>
      <c r="AG37" s="167"/>
      <c r="AI37" s="170" t="s">
        <v>263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214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22</v>
      </c>
      <c r="AC46" s="62" t="str" cm="1">
        <f t="array" ref="AC46">IFERROR(_xlfn.IFS($AB46&lt;8,1,$AB46&lt;15,2,$AB46&lt;21,3),"")</f>
        <v/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195</v>
      </c>
      <c r="AJ46" s="70"/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91763373700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204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203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2040</v>
      </c>
      <c r="R58" s="1">
        <f t="shared" ref="R58:R60" si="23">COUNTIFS($C$3:$C$46,"=" &amp; $P58,$E$3:$E$46,"&gt;0")</f>
        <v>9</v>
      </c>
      <c r="S58" s="1">
        <f t="shared" ref="S58:S60" si="24">Q58/R58</f>
        <v>226.66666666666666</v>
      </c>
      <c r="X58"/>
    </row>
    <row r="59" spans="2:24" ht="12" customHeight="1" x14ac:dyDescent="0.25">
      <c r="B59" s="240" t="s">
        <v>196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197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198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3 D57:D81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51">
      <formula>VLOOKUP($B57,PalmonList,3,FALSE)="Attack"</formula>
    </cfRule>
    <cfRule type="expression" dxfId="58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57" priority="254">
      <formula>VLOOKUP($B76,PalmonList,3,FALSE)="Attack"</formula>
    </cfRule>
    <cfRule type="expression" dxfId="56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5" priority="242">
      <formula>VLOOKUP($B81,PalmonList,3,FALSE)="Attack"</formula>
    </cfRule>
    <cfRule type="expression" dxfId="54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tabSelected="1" topLeftCell="N1" workbookViewId="0">
      <selection activeCell="AE2" sqref="AE2:AE4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IF(Palmon!AE3="","",Palmon!AE3)</f>
        <v>https://encrypted-tbn0.gstatic.com/images?q=tbn:ANd9GcRXczs_Bjhslhr7Mf2HENU6MTyGpz0RJEMjNA&amp;s</v>
      </c>
      <c r="AE2" t="str">
        <f>IF(Palmon!AF3="","",Palmon!AF3)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IF(Palmon!AE4="","",Palmon!AE4)</f>
        <v>https://encrypted-tbn0.gstatic.com/images?q=tbn:ANd9GcSDZWuq2tiKYc0zKRxpHXrLSMZ1GsY_6wEIYw&amp;s</v>
      </c>
      <c r="AE3" t="str">
        <f>IF(Palmon!AF4="","",Palmon!AF4)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10</v>
      </c>
      <c r="AB4">
        <f>Palmon!AC5</f>
        <v>2</v>
      </c>
      <c r="AC4">
        <f>Palmon!AD5</f>
        <v>0</v>
      </c>
      <c r="AD4" t="str">
        <f>IF(Palmon!AE5="","",Palmon!AE5)</f>
        <v>https://encrypted-tbn0.gstatic.com/images?q=tbn:ANd9GcRwfHFWjB1bN67FJNyjjWvBJwviWJ3Tada0Yg&amp;s</v>
      </c>
      <c r="AE4" t="str">
        <f>IF(Palmon!AF5="","",Palmon!AF5)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9</v>
      </c>
      <c r="AB5">
        <f>Palmon!AC6</f>
        <v>2</v>
      </c>
      <c r="AC5">
        <f>Palmon!AD6</f>
        <v>0</v>
      </c>
      <c r="AD5" t="str">
        <f>IF(Palmon!AE6="","",Palmon!AE6)</f>
        <v>https://encrypted-tbn0.gstatic.com/images?q=tbn:ANd9GcQOwDXppnwkCtCXXAqUiiNMhf6T-lane54jPg&amp;s</v>
      </c>
      <c r="AE5" t="str">
        <f>IF(Palmon!AF6="","",Palmon!AF6)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IF(Palmon!AE7="","",Palmon!AE7)</f>
        <v>https://encrypted-tbn0.gstatic.com/images?q=tbn:ANd9GcQtrOr7ePo-_tg085QaHk6NorM32ywE44672A&amp;s</v>
      </c>
      <c r="AE6" t="str">
        <f>IF(Palmon!AF7="","",Palmon!AF7)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IF(Palmon!AI7=0,"Non",Palmon!AI7)</f>
        <v>Gnashfin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14</v>
      </c>
      <c r="AB7">
        <f>Palmon!AC8</f>
        <v>2</v>
      </c>
      <c r="AC7">
        <f>Palmon!AD8</f>
        <v>0</v>
      </c>
      <c r="AD7" t="str">
        <f>IF(Palmon!AE8="","",Palmon!AE8)</f>
        <v>https://encrypted-tbn0.gstatic.com/images?q=tbn:ANd9GcRebc6KbOAxblleg_L3rr2K13bt-Yyzq1bAaw&amp;s</v>
      </c>
      <c r="AE7" t="str">
        <f>IF(Palmon!AF8="","",Palmon!AF8)</f>
        <v xml:space="preserve"> </v>
      </c>
      <c r="AF7" t="str">
        <f>Palmon!AG8</f>
        <v xml:space="preserve"> </v>
      </c>
      <c r="AG7">
        <f>Palmon!AH8</f>
        <v>0</v>
      </c>
      <c r="AH7" t="str">
        <f>IF(Palmon!AI8=0,"Non",Palmon!AI8)</f>
        <v>Obsidrake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23</v>
      </c>
      <c r="AB8" t="str">
        <f>Palmon!AC9</f>
        <v/>
      </c>
      <c r="AC8">
        <f>Palmon!AD9</f>
        <v>0</v>
      </c>
      <c r="AD8" t="str">
        <f>IF(Palmon!AE9="","",Palmon!AE9)</f>
        <v>https://encrypted-tbn0.gstatic.com/images?q=tbn:ANd9GcQzaI21taP2V17MKjiPAeulm4V9qfST4umPdg&amp;s</v>
      </c>
      <c r="AE8" t="str">
        <f>IF(Palmon!AF9="","",Palmon!AF9)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IF(Palmon!AI9=0,"Non",Palmon!AI9)</f>
        <v>Bunodroid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16</v>
      </c>
      <c r="AB9">
        <f>Palmon!AC10</f>
        <v>3</v>
      </c>
      <c r="AC9">
        <f>Palmon!AD10</f>
        <v>0</v>
      </c>
      <c r="AD9" t="str">
        <f>IF(Palmon!AE10="","",Palmon!AE10)</f>
        <v>https://encrypted-tbn0.gstatic.com/images?q=tbn:ANd9GcSf59xsunrPEuFvdtBi-IRVMcrdBfW_vNshLA&amp;s</v>
      </c>
      <c r="AE9" t="str">
        <f>IF(Palmon!AF10="","",Palmon!AF10)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Wattweiler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12</v>
      </c>
      <c r="AB10">
        <f>Palmon!AC11</f>
        <v>2</v>
      </c>
      <c r="AC10">
        <f>Palmon!AD11</f>
        <v>0</v>
      </c>
      <c r="AD10" t="str">
        <f>IF(Palmon!AE11="","",Palmon!AE11)</f>
        <v>https://encrypted-tbn0.gstatic.com/images?q=tbn:ANd9GcT-r6BZKxjf-kMlCmzHjhnUHjvmCaOn5DxiYw&amp;s</v>
      </c>
      <c r="AE10" t="str">
        <f>IF(Palmon!AF11="","",Palmon!AF11)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Servolt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20</v>
      </c>
      <c r="AB11">
        <f>Palmon!AC12</f>
        <v>3</v>
      </c>
      <c r="AC11">
        <f>Palmon!AD12</f>
        <v>0</v>
      </c>
      <c r="AD11" t="str">
        <f>IF(Palmon!AE12="","",Palmon!AE12)</f>
        <v>https://encrypted-tbn0.gstatic.com/images?q=tbn:ANd9GcST2CrUIPAlFNBLPgZn0Tu93KelabHVVAbNLQ&amp;s</v>
      </c>
      <c r="AE11" t="str">
        <f>IF(Palmon!AF12="","",Palmon!AF12)</f>
        <v xml:space="preserve"> 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Essaucier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11</v>
      </c>
      <c r="AB12">
        <f>Palmon!AC13</f>
        <v>2</v>
      </c>
      <c r="AC12">
        <f>Palmon!AD13</f>
        <v>0</v>
      </c>
      <c r="AD12" t="str">
        <f>IF(Palmon!AE13="","",Palmon!AE13)</f>
        <v>https://encrypted-tbn0.gstatic.com/images?q=tbn:ANd9GcR9A_xtftnwTH1zCnLIOcgmJKNZtFnB-e8QOw&amp;s</v>
      </c>
      <c r="AE12" t="str">
        <f>IF(Palmon!AF13="","",Palmon!AF13)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Oneirina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IF(Palmon!AE14="","",Palmon!AE14)</f>
        <v>https://encrypted-tbn0.gstatic.com/images?q=tbn:ANd9GcQCf63iS9oq-SMn3DO74UTS2j_zSrzNVTRMOQ&amp;s</v>
      </c>
      <c r="AE13" t="str">
        <f>IF(Palmon!AF14="","",Palmon!AF14)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Non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24</v>
      </c>
      <c r="AB14" t="str">
        <f>Palmon!AC15</f>
        <v/>
      </c>
      <c r="AC14">
        <f>Palmon!AD15</f>
        <v>0</v>
      </c>
      <c r="AD14" t="str">
        <f>IF(Palmon!AE15="","",Palmon!AE15)</f>
        <v>https://encrypted-tbn0.gstatic.com/images?q=tbn:ANd9GcSC1rp-0lIuUyVvSi8kN_vJnr_Ln4mF4lh4zg&amp;s</v>
      </c>
      <c r="AE14" t="str">
        <f>IF(Palmon!AF15="","",Palmon!AF15)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Anubeast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0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800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3210</v>
      </c>
      <c r="AA15">
        <f>Palmon!AB16</f>
        <v>18</v>
      </c>
      <c r="AB15">
        <f>Palmon!AC16</f>
        <v>3</v>
      </c>
      <c r="AC15">
        <f>Palmon!AD16</f>
        <v>0</v>
      </c>
      <c r="AD15" t="str">
        <f>IF(Palmon!AE16="","",Palmon!AE16)</f>
        <v>https://encrypted-tbn0.gstatic.com/images?q=tbn:ANd9GcQaumzt62POzCPWE5kNVnUA5j6pKVetbogSOJqvW2HU&amp;s</v>
      </c>
      <c r="AE15" t="str">
        <f>IF(Palmon!AF16="","",Palmon!AF16)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Ampereina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0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860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25</v>
      </c>
      <c r="AB16" t="str">
        <f>Palmon!AC17</f>
        <v/>
      </c>
      <c r="AC16">
        <f>Palmon!AD17</f>
        <v>0</v>
      </c>
      <c r="AD16" t="str">
        <f>IF(Palmon!AE17="","",Palmon!AE17)</f>
        <v>https://encrypted-tbn0.gstatic.com/images?q=tbn:ANd9GcRvhKm8Syu_29_yraif6I_ybijQhVUhvDmMNg&amp;s</v>
      </c>
      <c r="AE16" t="str">
        <f>IF(Palmon!AF17="","",Palmon!AF17)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Keraunosaur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17</v>
      </c>
      <c r="AB17">
        <f>Palmon!AC18</f>
        <v>3</v>
      </c>
      <c r="AC17">
        <f>Palmon!AD18</f>
        <v>0</v>
      </c>
      <c r="AD17" t="str">
        <f>IF(Palmon!AE18="","",Palmon!AE18)</f>
        <v>https://encrypted-tbn0.gstatic.com/images?q=tbn:ANd9GcRsDMtJC3uCFkue3lLpIZqf7OpQgR7XoKOS8g&amp;s</v>
      </c>
      <c r="AE17" t="str">
        <f>IF(Palmon!AF18="","",Palmon!AF18)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Wildfuror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8</v>
      </c>
      <c r="AB18">
        <f>Palmon!AC19</f>
        <v>2</v>
      </c>
      <c r="AC18">
        <f>Palmon!AD19</f>
        <v>0</v>
      </c>
      <c r="AD18" t="str">
        <f>IF(Palmon!AE19="","",Palmon!AE19)</f>
        <v>https://encrypted-tbn0.gstatic.com/images?q=tbn:ANd9GcSSdARGNHB_mPJlsb0v4ULv5HaXw2movjzNTNSrkzsi&amp;s</v>
      </c>
      <c r="AE18" t="str">
        <f>IF(Palmon!AF19="","",Palmon!AF19)</f>
        <v xml:space="preserve"> 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Azurostrigoi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30</v>
      </c>
      <c r="AB19" t="str">
        <f>Palmon!AC20</f>
        <v/>
      </c>
      <c r="AC19">
        <f>Palmon!AD20</f>
        <v>0</v>
      </c>
      <c r="AD19" t="str">
        <f>IF(Palmon!AE20="","",Palmon!AE20)</f>
        <v>https://encrypted-tbn0.gstatic.com/images?q=tbn:ANd9GcQMvgcplGCQCmIPq5ypILKf8v4mBVwxsMgKdg&amp;s</v>
      </c>
      <c r="AE19" t="str">
        <f>IF(Palmon!AF20="","",Palmon!AF20)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Finnabelle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26</v>
      </c>
      <c r="AB20" t="str">
        <f>Palmon!AC21</f>
        <v/>
      </c>
      <c r="AC20">
        <f>Palmon!AD21</f>
        <v>0</v>
      </c>
      <c r="AD20" t="str">
        <f>IF(Palmon!AE21="","",Palmon!AE21)</f>
        <v>https://encrypted-tbn0.gstatic.com/images?q=tbn:ANd9GcQ5ThIRML8-S9czd3JEMxpMlnMn9UAMwdeiBw&amp;s</v>
      </c>
      <c r="AE20" t="str">
        <f>IF(Palmon!AF21="","",Palmon!AF21)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Adolphonis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21</v>
      </c>
      <c r="AB21" t="str">
        <f>Palmon!AC22</f>
        <v/>
      </c>
      <c r="AC21">
        <f>Palmon!AD22</f>
        <v>0</v>
      </c>
      <c r="AD21" t="str">
        <f>IF(Palmon!AE22="","",Palmon!AE22)</f>
        <v>https://encrypted-tbn0.gstatic.com/images?q=tbn:ANd9GcQlW5YoM4c6bArAuIb7UxI-VfUI9GmBp85Qig&amp;s</v>
      </c>
      <c r="AE21" t="str">
        <f>IF(Palmon!AF22="","",Palmon!AF22)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Bufonobi</v>
      </c>
      <c r="AI21" t="str">
        <f>IF(Palmon!AJ22=0,"Non",Palmon!AJ22)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29</v>
      </c>
      <c r="AB22" t="str">
        <f>Palmon!AC23</f>
        <v/>
      </c>
      <c r="AC22">
        <f>Palmon!AD23</f>
        <v>0</v>
      </c>
      <c r="AD22" t="str">
        <f>IF(Palmon!AE23="","",Palmon!AE23)</f>
        <v>https://encrypted-tbn0.gstatic.com/images?q=tbn:ANd9GcS2Z4TkKenIldVD1AQ7o1ftBU6pG9zKRz-FKA&amp;s</v>
      </c>
      <c r="AE22" t="str">
        <f>IF(Palmon!AF23="","",Palmon!AF23)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Camouflynx</v>
      </c>
      <c r="AI22" t="str">
        <f>IF(Palmon!AJ23=0,"Non",Palmon!AJ23)</f>
        <v>Non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31</v>
      </c>
      <c r="AB23" t="str">
        <f>Palmon!AC24</f>
        <v/>
      </c>
      <c r="AC23">
        <f>Palmon!AD24</f>
        <v>0</v>
      </c>
      <c r="AD23" t="str">
        <f>IF(Palmon!AE24="","",Palmon!AE24)</f>
        <v>https://encrypted-tbn0.gstatic.com/images?q=tbn:ANd9GcSPFSxpzP3XhhfdRhxvv_Oi86DkexX6yjZrRA&amp;s</v>
      </c>
      <c r="AE23" t="str">
        <f>IF(Palmon!AF24="","",Palmon!AF24)</f>
        <v/>
      </c>
      <c r="AF23" t="str">
        <f>Palmon!AG24</f>
        <v xml:space="preserve"> </v>
      </c>
      <c r="AG23">
        <f>Palmon!AH24</f>
        <v>0</v>
      </c>
      <c r="AH23" t="str">
        <f>IF(Palmon!AI24=0,"Non",Palmon!AI24)</f>
        <v>Silvaurus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2.1</v>
      </c>
      <c r="H24">
        <f>Palmon!I25</f>
        <v>11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0.20000000000000018</v>
      </c>
      <c r="R24">
        <f>Palmon!S25</f>
        <v>0</v>
      </c>
      <c r="S24">
        <f>Palmon!T25</f>
        <v>0</v>
      </c>
      <c r="T24">
        <f>Palmon!U25</f>
        <v>9.7435897435897451E-2</v>
      </c>
      <c r="U24">
        <f>Palmon!V25</f>
        <v>869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2300</v>
      </c>
      <c r="AA24">
        <f>Palmon!AB25</f>
        <v>28</v>
      </c>
      <c r="AB24" t="str">
        <f>Palmon!AC25</f>
        <v/>
      </c>
      <c r="AC24">
        <f>Palmon!AD25</f>
        <v>0</v>
      </c>
      <c r="AD24" t="str">
        <f>IF(Palmon!AE25="","",Palmon!AE25)</f>
        <v>https://encrypted-tbn0.gstatic.com/images?q=tbn:ANd9GcToQuTLjFC_oynclPIY9tWM7qAaMIPbmzTn2Q&amp;s</v>
      </c>
      <c r="AE24" t="str">
        <f>IF(Palmon!AF25="","",Palmon!AF25)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IF(Palmon!AI25=0,"Non",Palmon!AI25)</f>
        <v>Lionarch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19</v>
      </c>
      <c r="AB25">
        <f>Palmon!AC26</f>
        <v>3</v>
      </c>
      <c r="AC25">
        <f>Palmon!AD26</f>
        <v>0</v>
      </c>
      <c r="AD25" t="str">
        <f>IF(Palmon!AE26="","",Palmon!AE26)</f>
        <v>https://encrypted-tbn0.gstatic.com/images?q=tbn:ANd9GcSWhzppoZXwh-zBnWIY3GFkIp0x0kc0hAzG0A&amp;s</v>
      </c>
      <c r="AE25" t="str">
        <f>IF(Palmon!AF26="","",Palmon!AF26)</f>
        <v xml:space="preserve"> 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Sorceray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IF(Palmon!AE27="","",Palmon!AE27)</f>
        <v>https://encrypted-tbn0.gstatic.com/images?q=tbn:ANd9GcQ02wmDjsAMofj1ObwwNW6Vhl_QQ-LUodGIKA&amp;s</v>
      </c>
      <c r="AE26" t="str">
        <f>IF(Palmon!AF27="","",Palmon!AF27)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Non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15</v>
      </c>
      <c r="AB27">
        <f>Palmon!AC28</f>
        <v>3</v>
      </c>
      <c r="AC27">
        <f>Palmon!AD28</f>
        <v>0</v>
      </c>
      <c r="AD27" t="str">
        <f>IF(Palmon!AE28="","",Palmon!AE28)</f>
        <v>https://encrypted-tbn0.gstatic.com/images?q=tbn:ANd9GcT29K673YTBvt_EofrppvnWB4sgt43DEq1pTw&amp;s</v>
      </c>
      <c r="AE27" t="str">
        <f>IF(Palmon!AF28="","",Palmon!AF28)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190</v>
      </c>
      <c r="E28">
        <f>Palmon!F29</f>
        <v>1</v>
      </c>
      <c r="F28">
        <f>Palmon!G29</f>
        <v>4</v>
      </c>
      <c r="G28">
        <f>Palmon!H29</f>
        <v>4</v>
      </c>
      <c r="H28">
        <f>Palmon!I29</f>
        <v>30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>Max</v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1</v>
      </c>
      <c r="S28">
        <f>Palmon!T29</f>
        <v>0</v>
      </c>
      <c r="T28">
        <f>Palmon!U29</f>
        <v>0.48717948717948717</v>
      </c>
      <c r="U28">
        <f>Palmon!V29</f>
        <v>470</v>
      </c>
      <c r="V28">
        <f>Palmon!W29</f>
        <v>0</v>
      </c>
      <c r="W28">
        <f>Palmon!X29</f>
        <v>4605720000</v>
      </c>
      <c r="X28">
        <f>Palmon!Y29</f>
        <v>1</v>
      </c>
      <c r="Y28">
        <f>Palmon!Z29</f>
        <v>0</v>
      </c>
      <c r="Z28">
        <f>Palmon!AA29</f>
        <v>4190</v>
      </c>
      <c r="AA28">
        <f>Palmon!AB29</f>
        <v>13</v>
      </c>
      <c r="AB28">
        <f>Palmon!AC29</f>
        <v>2</v>
      </c>
      <c r="AC28">
        <f>Palmon!AD29</f>
        <v>0</v>
      </c>
      <c r="AD28" t="str">
        <f>IF(Palmon!AE29="","",Palmon!AE29)</f>
        <v>https://encrypted-tbn0.gstatic.com/images?q=tbn:ANd9GcRV1HdRcNPUS4HjDBZ2YOXgaMW_I8FgZEP5xg&amp;s</v>
      </c>
      <c r="AE28" t="str">
        <f>IF(Palmon!AF29="","",Palmon!AF29)</f>
        <v/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27</v>
      </c>
      <c r="AB29" t="str">
        <f>Palmon!AC30</f>
        <v/>
      </c>
      <c r="AC29">
        <f>Palmon!AD30</f>
        <v>0</v>
      </c>
      <c r="AD29" t="str">
        <f>IF(Palmon!AE30="","",Palmon!AE30)</f>
        <v>https://encrypted-tbn0.gstatic.com/images?q=tbn:ANd9GcRh7P3oaH_Kq0fni1aOxe3TmDgHULu_Z-UWUg&amp;s</v>
      </c>
      <c r="AE29" t="str">
        <f>IF(Palmon!AF30="","",Palmon!AF30)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IF(Palmon!AI30=0,"Non",Palmon!AI30)</f>
        <v>Rumbkey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IF(Palmon!AE31="","",Palmon!AE31)</f>
        <v>https://encrypted-tbn0.gstatic.com/images?q=tbn:ANd9GcQxjczIZhaTQV2VukHWlKoJMQ30DrUIwatAEw&amp;s</v>
      </c>
      <c r="AE30" t="str">
        <f>IF(Palmon!AF31="","",Palmon!AF31)</f>
        <v xml:space="preserve"> 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Embergeist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5</v>
      </c>
      <c r="G31">
        <f>Palmon!H32</f>
        <v>5</v>
      </c>
      <c r="H31">
        <f>Palmon!I32</f>
        <v>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>Max</v>
      </c>
      <c r="M31">
        <f>Palmon!N32</f>
        <v>10</v>
      </c>
      <c r="N31">
        <f>Palmon!O32</f>
        <v>0</v>
      </c>
      <c r="O31">
        <f>Palmon!P32</f>
        <v>1</v>
      </c>
      <c r="P31">
        <f>Palmon!Q32</f>
        <v>1</v>
      </c>
      <c r="Q31">
        <f>Palmon!R32</f>
        <v>1</v>
      </c>
      <c r="R31">
        <f>Palmon!S32</f>
        <v>1</v>
      </c>
      <c r="S31">
        <f>Palmon!T32</f>
        <v>1</v>
      </c>
      <c r="T31">
        <f>Palmon!U32</f>
        <v>1</v>
      </c>
      <c r="U31">
        <f>Palmon!V32</f>
        <v>0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5140</v>
      </c>
      <c r="AA31">
        <f>Palmon!AB32</f>
        <v>7</v>
      </c>
      <c r="AB31">
        <f>Palmon!AC32</f>
        <v>1</v>
      </c>
      <c r="AC31">
        <f>Palmon!AD32</f>
        <v>0</v>
      </c>
      <c r="AD31" t="str">
        <f>IF(Palmon!AE32="","",Palmon!AE32)</f>
        <v>https://encrypted-tbn0.gstatic.com/images?q=tbn:ANd9GcRNSg29kZ5t51s7m9SpGygJKsQow67zLt08qg&amp;s</v>
      </c>
      <c r="AE31" t="str">
        <f>IF(Palmon!AF32="","",Palmon!AF32)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Thundermane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IF(Palmon!AE33="","",Palmon!AE33)</f>
        <v>https://encrypted-tbn0.gstatic.com/images?q=tbn:ANd9GcRR4T5jdtF_LaheoRmg2FLSWS4DS4QhqCFaAg&amp;s</v>
      </c>
      <c r="AE32" t="str">
        <f>IF(Palmon!AF33="","",Palmon!AF33)</f>
        <v xml:space="preserve"> 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Prismalith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IF(Palmon!AE34="","",Palmon!AE34)</f>
        <v>https://encrypted-tbn0.gstatic.com/images?q=tbn:ANd9GcTrE4qGrnpy2BMETqUKNyATj-OrXMdX4IeXcQ&amp;s</v>
      </c>
      <c r="AE33" t="str">
        <f>IF(Palmon!AF34="","",Palmon!AF34)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Cryovern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 t="str">
        <f>IF(Palmon!AE35="","",Palmon!AE35)</f>
        <v/>
      </c>
      <c r="AE34" t="str">
        <f>IF(Palmon!AF35="","",Palmon!AF35)</f>
        <v xml:space="preserve"> 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Non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IF(Palmon!AE36="","",Palmon!AE36)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 t="str">
        <f>IF(Palmon!AF36="","",Palmon!AF36)</f>
        <v/>
      </c>
      <c r="AF35">
        <f>Palmon!AG36</f>
        <v>0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IF(Palmon!AE37="","",Palmon!AE37)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 t="str">
        <f>IF(Palmon!AF37="","",Palmon!AF37)</f>
        <v/>
      </c>
      <c r="AF36">
        <f>Palmon!AG37</f>
        <v>0</v>
      </c>
      <c r="AG36">
        <f>Palmon!AH37</f>
        <v>0</v>
      </c>
      <c r="AH36" t="str">
        <f>IF(Palmon!AI37=0,"Non",Palmon!AI37)</f>
        <v>Dreadmaw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IF(Palmon!AE38="","",Palmon!AE38)</f>
        <v>https://encrypted-tbn0.gstatic.com/images?q=tbn:ANd9GcQCf63iS9oq-SMn3DO74UTS2j_zSrzNVTRMOQ&amp;s</v>
      </c>
      <c r="AE37" t="str">
        <f>IF(Palmon!AF38="","",Palmon!AF38)</f>
        <v xml:space="preserve"> </v>
      </c>
      <c r="AF37" t="str">
        <f>Palmon!AG38</f>
        <v xml:space="preserve"> </v>
      </c>
      <c r="AG37">
        <f>Palmon!AH38</f>
        <v>0</v>
      </c>
      <c r="AH37" t="str">
        <f>IF(Palmon!AI38=0,"Non",Palmon!AI38)</f>
        <v>Fleurizard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 t="str">
        <f>IF(Palmon!AE39="","",Palmon!AE39)</f>
        <v/>
      </c>
      <c r="AE38" t="str">
        <f>IF(Palmon!AF39="","",Palmon!AF39)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Non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 t="str">
        <f>IF(Palmon!AE40="","",Palmon!AE40)</f>
        <v/>
      </c>
      <c r="AE39" t="str">
        <f>IF(Palmon!AF40="","",Palmon!AF40)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 t="str">
        <f>IF(Palmon!AE41="","",Palmon!AE41)</f>
        <v/>
      </c>
      <c r="AE40" t="str">
        <f>IF(Palmon!AF41="","",Palmon!AF41)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 t="str">
        <f>IF(Palmon!AE42="","",Palmon!AE42)</f>
        <v/>
      </c>
      <c r="AE41" t="str">
        <f>IF(Palmon!AF42="","",Palmon!AF42)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 t="str">
        <f>IF(Palmon!AE43="","",Palmon!AE43)</f>
        <v/>
      </c>
      <c r="AE42" t="str">
        <f>IF(Palmon!AF43="","",Palmon!AF43)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 t="str">
        <f>IF(Palmon!AE44="","",Palmon!AE44)</f>
        <v/>
      </c>
      <c r="AE43" t="str">
        <f>IF(Palmon!AF44="","",Palmon!AF44)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 t="str">
        <f>IF(Palmon!AE45="","",Palmon!AE45)</f>
        <v/>
      </c>
      <c r="AE44" t="str">
        <f>IF(Palmon!AF45="","",Palmon!AF45)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22</v>
      </c>
      <c r="AB45" t="str">
        <f>Palmon!AC46</f>
        <v/>
      </c>
      <c r="AC45">
        <f>Palmon!AD46</f>
        <v>0</v>
      </c>
      <c r="AD45" t="str">
        <f>IF(Palmon!AE46="","",Palmon!AE46)</f>
        <v/>
      </c>
      <c r="AE45" t="str">
        <f>IF(Palmon!AF46="","",Palmon!AF46)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Vulpyrean</v>
      </c>
      <c r="AI45" t="str">
        <f>IF(Palmon!AJ46=0,"Non",Palmon!AJ46)</f>
        <v>Non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6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>
        <v>300</v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59.999999999999972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59.999999999999972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87</v>
      </c>
      <c r="N18" s="33" t="str">
        <v/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31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 t="str">
        <v/>
      </c>
      <c r="G21" s="33">
        <v>470</v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3</v>
      </c>
      <c r="N26" s="33">
        <v>2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 t="str">
        <v/>
      </c>
      <c r="O28" s="33">
        <v>2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68.999999999999986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12</v>
      </c>
      <c r="N30" s="86">
        <v>5</v>
      </c>
      <c r="O30" s="86">
        <v>6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Thundertooth</v>
      </c>
      <c r="C35" s="32" t="str">
        <v>Electricity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3</v>
      </c>
      <c r="O35" s="40">
        <v>3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 t="str">
        <v>Vulpyrean</v>
      </c>
      <c r="C36" s="32" t="str">
        <v>Fire</v>
      </c>
      <c r="D36" s="47" t="str">
        <v>Attack</v>
      </c>
      <c r="E36" s="39" t="str">
        <v/>
      </c>
      <c r="F36" s="33" t="str">
        <v/>
      </c>
      <c r="G36" s="33" t="str">
        <v/>
      </c>
      <c r="H36" s="33">
        <v>0</v>
      </c>
      <c r="I36" s="33"/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Pipistrigoi</v>
      </c>
      <c r="N42" s="75" t="str">
        <v>Spookaboo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Pipistrigoi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Ghillant</v>
      </c>
      <c r="N43" s="78" t="str">
        <v>Barkplug</v>
      </c>
      <c r="O43" s="1"/>
      <c r="P43" s="1" t="str">
        <v>Vulpyrean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Hoofrit</v>
      </c>
      <c r="N44" s="78" t="str">
        <v>Blazeal</v>
      </c>
      <c r="O44" s="1"/>
      <c r="P44" s="1" t="str">
        <v>Gnashley</v>
      </c>
      <c r="Q44" s="1" t="str">
        <v>Hoofrit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Lucidina</v>
      </c>
      <c r="N45" s="78" t="str">
        <v>Battereina</v>
      </c>
      <c r="O45" s="1"/>
      <c r="P45" s="1" t="str">
        <v>Glacewing</v>
      </c>
      <c r="Q45" s="1" t="str">
        <v>Lucidina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Abuzzinian</v>
      </c>
      <c r="N46" s="78" t="str">
        <v>Mantleray</v>
      </c>
      <c r="O46" s="1"/>
      <c r="P46" s="1" t="str">
        <v>Fleurizard</v>
      </c>
      <c r="Q46" s="1" t="str">
        <v>Abuzzinian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Kungpaw</v>
      </c>
      <c r="N47" s="78" t="str">
        <v>Escarffier</v>
      </c>
      <c r="O47" s="1"/>
      <c r="P47" s="1" t="str">
        <v>Oleana</v>
      </c>
      <c r="Q47" s="1" t="str">
        <v>Kungpaw</v>
      </c>
      <c r="R47" s="1"/>
      <c r="T47"/>
      <c r="U47"/>
      <c r="V47"/>
      <c r="W47"/>
    </row>
    <row r="48" spans="2:23" ht="15.75" thickBot="1" x14ac:dyDescent="0.3">
      <c r="L48" s="81" t="str">
        <v>Thundertooth</v>
      </c>
      <c r="M48" s="82" t="str">
        <v>Magmolin</v>
      </c>
      <c r="N48" s="83" t="str">
        <v>Ninjump</v>
      </c>
      <c r="O48" s="1"/>
      <c r="P48" s="1" t="str">
        <v>Thundertooth</v>
      </c>
      <c r="Q48" s="1" t="str">
        <v>Magmolin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12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27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16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18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17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26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20</v>
      </c>
      <c r="P59" s="1" t="str">
        <v/>
      </c>
      <c r="Q59" s="1">
        <v>7</v>
      </c>
    </row>
    <row r="60" spans="7:20" s="1" customFormat="1" ht="12" x14ac:dyDescent="0.2">
      <c r="G60" s="1">
        <v>26</v>
      </c>
      <c r="H60" s="1" t="str">
        <v/>
      </c>
      <c r="L60" s="1" t="str">
        <v>Fingenue</v>
      </c>
      <c r="M60" s="1">
        <v>30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25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9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10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13</v>
      </c>
      <c r="P66" s="1" t="str">
        <v/>
      </c>
      <c r="Q66" s="1">
        <v>4</v>
      </c>
    </row>
    <row r="67" spans="7:20" s="1" customFormat="1" ht="12" x14ac:dyDescent="0.2">
      <c r="G67" s="1">
        <v>19</v>
      </c>
      <c r="H67" s="1" t="str">
        <v/>
      </c>
      <c r="L67" s="1" t="str">
        <v>Limudroid</v>
      </c>
      <c r="M67" s="1">
        <v>23</v>
      </c>
      <c r="N67" s="1" t="str">
        <v/>
      </c>
      <c r="P67" s="1">
        <v>12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11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14</v>
      </c>
      <c r="P69" s="1" t="str">
        <v/>
      </c>
      <c r="Q69" s="1">
        <v>5</v>
      </c>
    </row>
    <row r="70" spans="7:20" s="1" customFormat="1" ht="12" x14ac:dyDescent="0.2">
      <c r="G70" s="1">
        <v>16</v>
      </c>
      <c r="H70" s="1" t="str">
        <v/>
      </c>
      <c r="L70" s="1" t="str">
        <v>Mantleray</v>
      </c>
      <c r="M70" s="1">
        <v>19</v>
      </c>
      <c r="N70" s="1" t="str">
        <v/>
      </c>
      <c r="P70" s="1">
        <v>10</v>
      </c>
      <c r="Q70" s="1" t="str">
        <v/>
      </c>
    </row>
    <row r="71" spans="7:20" s="1" customFormat="1" ht="12" x14ac:dyDescent="0.2">
      <c r="G71" s="1">
        <v>18</v>
      </c>
      <c r="H71" s="1" t="str">
        <v/>
      </c>
      <c r="L71" s="1" t="str">
        <v>Ninjump</v>
      </c>
      <c r="M71" s="1">
        <v>21</v>
      </c>
      <c r="N71" s="1" t="str">
        <v/>
      </c>
      <c r="P71" s="1">
        <v>11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8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24</v>
      </c>
      <c r="L74" s="1" t="str">
        <v>Regalion</v>
      </c>
      <c r="M74" s="1" t="str">
        <v/>
      </c>
      <c r="N74" s="1">
        <v>28</v>
      </c>
      <c r="P74" s="1" t="str">
        <v/>
      </c>
      <c r="Q74" s="1">
        <v>11</v>
      </c>
    </row>
    <row r="75" spans="7:20" s="1" customFormat="1" ht="12" x14ac:dyDescent="0.2">
      <c r="G75" s="1">
        <v>27</v>
      </c>
      <c r="H75" s="1" t="str">
        <v/>
      </c>
      <c r="L75" s="1" t="str">
        <v>Salamantis</v>
      </c>
      <c r="M75" s="1">
        <v>31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15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20</v>
      </c>
      <c r="L77" s="1" t="str">
        <v>Statchew</v>
      </c>
      <c r="M77" s="1" t="str">
        <v/>
      </c>
      <c r="N77" s="1">
        <v>24</v>
      </c>
      <c r="P77" s="1" t="str">
        <v/>
      </c>
      <c r="Q77" s="1">
        <v>8</v>
      </c>
    </row>
    <row r="78" spans="7:20" s="1" customFormat="1" ht="12" x14ac:dyDescent="0.2">
      <c r="G78" s="1">
        <v>25</v>
      </c>
      <c r="H78" s="1" t="str">
        <v/>
      </c>
      <c r="L78" s="1" t="str">
        <v>Surveilynx</v>
      </c>
      <c r="M78" s="1">
        <v>29</v>
      </c>
      <c r="N78" s="1" t="str">
        <v/>
      </c>
      <c r="P78" s="1">
        <v>14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E1" workbookViewId="0">
      <selection activeCell="M14" sqref="M14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3" t="s">
        <v>203</v>
      </c>
      <c r="B1" s="254"/>
      <c r="D1" s="292" t="s">
        <v>240</v>
      </c>
      <c r="E1" s="293"/>
      <c r="F1" s="293"/>
      <c r="H1" s="292" t="s">
        <v>240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257</v>
      </c>
      <c r="AA1" s="254"/>
      <c r="AC1" s="253" t="s">
        <v>262</v>
      </c>
      <c r="AD1" s="254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33">
      <formula>$C2="Fire"</formula>
    </cfRule>
    <cfRule type="expression" dxfId="26" priority="34">
      <formula>$C2="Water"</formula>
    </cfRule>
    <cfRule type="expression" dxfId="25" priority="35">
      <formula>$C2="Electricity"</formula>
    </cfRule>
    <cfRule type="expression" dxfId="24" priority="36">
      <formula>$C2="Wood"</formula>
    </cfRule>
  </conditionalFormatting>
  <conditionalFormatting sqref="E2:E4">
    <cfRule type="expression" dxfId="23" priority="29">
      <formula>$C2="Fire"</formula>
    </cfRule>
    <cfRule type="expression" dxfId="22" priority="30">
      <formula>$C2="Water"</formula>
    </cfRule>
    <cfRule type="expression" dxfId="21" priority="31">
      <formula>$C2="Electricity"</formula>
    </cfRule>
    <cfRule type="expression" dxfId="20" priority="32">
      <formula>$C2="Wood"</formula>
    </cfRule>
  </conditionalFormatting>
  <conditionalFormatting sqref="J2:P4">
    <cfRule type="expression" dxfId="19" priority="1">
      <formula>$C2="Fire"</formula>
    </cfRule>
    <cfRule type="expression" dxfId="18" priority="2">
      <formula>$C2="Water"</formula>
    </cfRule>
    <cfRule type="expression" dxfId="17" priority="3">
      <formula>$C2="Electricity"</formula>
    </cfRule>
    <cfRule type="expression" dxfId="16" priority="4">
      <formula>$C2="Wood"</formula>
    </cfRule>
  </conditionalFormatting>
  <conditionalFormatting sqref="Q2:Q7">
    <cfRule type="expression" dxfId="15" priority="21">
      <formula>$C2="Fire"</formula>
    </cfRule>
    <cfRule type="expression" dxfId="14" priority="22">
      <formula>$C2="Water"</formula>
    </cfRule>
    <cfRule type="expression" dxfId="13" priority="23">
      <formula>$C2="Electricity"</formula>
    </cfRule>
    <cfRule type="expression" dxfId="12" priority="24">
      <formula>$C2="Wood"</formula>
    </cfRule>
  </conditionalFormatting>
  <conditionalFormatting sqref="T2:X2">
    <cfRule type="expression" dxfId="11" priority="17">
      <formula>$C2="Fire"</formula>
    </cfRule>
    <cfRule type="expression" dxfId="10" priority="18">
      <formula>$C2="Water"</formula>
    </cfRule>
    <cfRule type="expression" dxfId="9" priority="19">
      <formula>$C2="Electricity"</formula>
    </cfRule>
    <cfRule type="expression" dxfId="8" priority="20">
      <formula>$C2="Wood"</formula>
    </cfRule>
  </conditionalFormatting>
  <conditionalFormatting sqref="AA2">
    <cfRule type="expression" dxfId="7" priority="13">
      <formula>$C2="Fire"</formula>
    </cfRule>
    <cfRule type="expression" dxfId="6" priority="14">
      <formula>$C2="Water"</formula>
    </cfRule>
    <cfRule type="expression" dxfId="5" priority="15">
      <formula>$C2="Electricity"</formula>
    </cfRule>
    <cfRule type="expression" dxfId="4" priority="16">
      <formula>$C2="Wood"</formula>
    </cfRule>
  </conditionalFormatting>
  <conditionalFormatting sqref="AD2">
    <cfRule type="expression" dxfId="3" priority="9">
      <formula>$C2="Fire"</formula>
    </cfRule>
    <cfRule type="expression" dxfId="2" priority="10">
      <formula>$C2="Water"</formula>
    </cfRule>
    <cfRule type="expression" dxfId="1" priority="11">
      <formula>$C2="Electricity"</formula>
    </cfRule>
    <cfRule type="expression" dxfId="0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Bufonobi,Water,Attack,270,5,5,0,1,1,1,1,1,30,20,30,Max,10,1,0,135120000,,5270,1,1,https://encrypted-tbn0.gstatic.com/images?q=tbn:ANd9GcRXczs_Bjhslhr7Mf2HENU6MTyGpz0RJEMjNA&amp;s,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4270,10,2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Magmolin,Fire,Defend,240,3,3.1,61,1,1,1,0.2,0,10,5,15,,,0.241025641025641,679,2831420000,1,3340,14,2,https://encrypted-tbn0.gstatic.com/images?q=tbn:ANd9GcRebc6KbOAxblleg_L3rr2K13bt-Yyzq1bAaw&amp;s,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0.117948717948718,856,3390620000,1,2430,23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0.179487179487179,800,2123020000,1,3250,16,3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0.487179487179487,486,3390620000,1,4230,12,2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Escarffier,Fire,Defend,230,2,2.3,8,1,1,0.6,0,0,5,5,5,,,0.138461538461538,832,3390620000,1,2530,20,3,https://encrypted-tbn0.gstatic.com/images?q=tbn:ANd9GcST2CrUIPAlFNBLPgZn0Tu93KelabHVVAbNLQ&amp;s,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Lucidina,Water,Attack,270,4,4,0,1,1,1,1,0,5,5,15,Max,,0.487179487179487,500,135120000,,4270,11,2,https://encrypted-tbn0.gstatic.com/images?q=tbn:ANd9GcR9A_xtftnwTH1zCnLIOcgmJKNZtFnB-e8QOw&amp;s,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Statchew,Wood,Defend,230,2,2.2,10,1,1,0.4,0,0,15,5,9,,,0.117948717948718,850,3390620000,1,2430,24,,https://encrypted-tbn0.gstatic.com/images?q=tbn:ANd9GcSC1rp-0lIuUyVvSi8kN_vJnr_Ln4mF4lh4zg&amp;s,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210,3,3,0,1,1,1,0,0,1,1,1,,,0.179487179487179,800,4161420000,1,3210,18,3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210,2,2.2,0,1,1,0.4,0,0,5,5,10,,,0.117948717948718,860,4161420000,1,2410,25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0.179487179487179,790,2123020000,1,3250,17,3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Pipistrigoi,Fire,Attack,270,4,4.1,13,1,1,1,1,0.199999999999999,15,15,15,Max,,0.589743589743589,387,135120000,,4370,8,2,https://encrypted-tbn0.gstatic.com/images?q=tbn:ANd9GcSSdARGNHB_mPJlsb0v4ULv5HaXw2movjzNTNSrkzsi&amp;s,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0.0769230769230769,887,4415720000,1,2200,30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0.117948717948718,859,4161420000,1,2410,26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0.138461538461538,830,4919220000,1,2460,21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0.0769230769230769,900,3826220000,1,2220,29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Salamantis,Wood,Attack,200,2,2,0,1,1,0,0,0,1,1,1,,,0.0769230769230769,900,4415720000,1,2200,31,,https://encrypted-tbn0.gstatic.com/images?q=tbn:ANd9GcSPFSxpzP3XhhfdRhxvv_Oi86DkexX6yjZrRA&amp;s,,Silvaurus,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200,2,2.1,11,1,1,0.2,0,0,10,10,10,,,0.0974358974358975,869,4415720000,1,2300,28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Mantleray,Electricity,Attack,210,2,2.4,3,1,1,0.8,0,0,4,1,1,,,0.158974358974359,817,4161420000,1,2610,19,3,https://encrypted-tbn0.gstatic.com/images?q=tbn:ANd9GcSWhzppoZXwh-zBnWIY3GFkIp0x0kc0hAzG0A&amp;s,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Spookaboo,Fire,Attack,210,3,3.1,10,1,1,1,0.2,0,1,1,1,,,0.241025641025641,730,4161420000,1,3310,15,3,https://encrypted-tbn0.gstatic.com/images?q=tbn:ANd9GcT29K673YTBvt_EofrppvnWB4sgt43DEq1pTw&amp;s,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Kungpaw,Water,Defend,190,4,4,30,1,1,1,1,0,1,1,1,Max,,0.487179487179487,470,4605720000,1,4190,13,2,https://encrypted-tbn0.gstatic.com/images?q=tbn:ANd9GcRV1HdRcNPUS4HjDBZ2YOXgaMW_I8FgZEP5xg&amp;s,,,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0.0974358974358975,870,4161420000,1,2310,27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140,5,5,0,1,1,1,1,1,1,1,1,Max,10,1,0,4999220000,1,5140,7,1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Revontulet,Fire,Attack,160,2,2.3,0,1,1,0.6,0,0,1,1,1,,,0.138461538461538,840,4919220000,1,2460,22,,,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Bufonobi,Water,Attack,270,,5,5,0,30,20,30,Max,10,,1,1,1,1,1,1,0,,135120000,,,5270,1,1,,https://encrypted-tbn0.gstatic.com/images?q=tbn:ANd9GcRXczs_Bjhslhr7Mf2HENU6MTyGpz0RJEMjNA&amp;s,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2026-04-02T13:34:21Z</dcterms:modified>
</cp:coreProperties>
</file>