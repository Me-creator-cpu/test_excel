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081AFD2A-6DAF-4D72-9D39-4455FDA3B8F9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1" l="1"/>
  <c r="AI3" i="11"/>
  <c r="AH4" i="11"/>
  <c r="AI4" i="11"/>
  <c r="AH5" i="11"/>
  <c r="AI5" i="11"/>
  <c r="AH6" i="11"/>
  <c r="AI6" i="11"/>
  <c r="AH7" i="11"/>
  <c r="AI7" i="11"/>
  <c r="AH8" i="11"/>
  <c r="AI8" i="11"/>
  <c r="AH9" i="11"/>
  <c r="AI9" i="11"/>
  <c r="AH10" i="11"/>
  <c r="AI10" i="11"/>
  <c r="AH11" i="11"/>
  <c r="AI11" i="11"/>
  <c r="AH12" i="11"/>
  <c r="AI12" i="11"/>
  <c r="AH13" i="11"/>
  <c r="AI13" i="11"/>
  <c r="AH14" i="11"/>
  <c r="AI14" i="11"/>
  <c r="AH15" i="11"/>
  <c r="AI15" i="11"/>
  <c r="AH16" i="11"/>
  <c r="AI16" i="11"/>
  <c r="AH17" i="11"/>
  <c r="AI17" i="11"/>
  <c r="AH18" i="11"/>
  <c r="AI18" i="11"/>
  <c r="AH19" i="11"/>
  <c r="AI19" i="11"/>
  <c r="AH20" i="11"/>
  <c r="AI20" i="11"/>
  <c r="AH21" i="11"/>
  <c r="AI21" i="11"/>
  <c r="AH22" i="11"/>
  <c r="AI22" i="11"/>
  <c r="AH23" i="11"/>
  <c r="AI23" i="11"/>
  <c r="AH24" i="11"/>
  <c r="AI24" i="11"/>
  <c r="AH25" i="11"/>
  <c r="AI25" i="11"/>
  <c r="AH26" i="11"/>
  <c r="AI26" i="11"/>
  <c r="AH27" i="11"/>
  <c r="AI27" i="11"/>
  <c r="AH28" i="11"/>
  <c r="AI28" i="11"/>
  <c r="AH29" i="11"/>
  <c r="AI29" i="11"/>
  <c r="AH30" i="11"/>
  <c r="AI30" i="11"/>
  <c r="AH31" i="11"/>
  <c r="AI31" i="11"/>
  <c r="AH32" i="11"/>
  <c r="AI32" i="11"/>
  <c r="AH33" i="11"/>
  <c r="AI33" i="11"/>
  <c r="AH34" i="11"/>
  <c r="AI34" i="11"/>
  <c r="AH35" i="11"/>
  <c r="AI35" i="11"/>
  <c r="AH36" i="11"/>
  <c r="AI36" i="11"/>
  <c r="AH37" i="11"/>
  <c r="AI37" i="11"/>
  <c r="AH38" i="11"/>
  <c r="AI38" i="11"/>
  <c r="AH39" i="11"/>
  <c r="AI39" i="11"/>
  <c r="AH40" i="11"/>
  <c r="AI40" i="11"/>
  <c r="AH41" i="11"/>
  <c r="AI41" i="11"/>
  <c r="AH42" i="11"/>
  <c r="AI42" i="11"/>
  <c r="AH43" i="11"/>
  <c r="AI43" i="11"/>
  <c r="AH44" i="11"/>
  <c r="AI44" i="11"/>
  <c r="AH45" i="11"/>
  <c r="AI45" i="11"/>
  <c r="AI2" i="11"/>
  <c r="AH2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<sst xmlns="http://schemas.openxmlformats.org/spreadsheetml/2006/main" count="403" uniqueCount="266">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</sst>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workbookViewId="0">
      <selection activeCell="L7" sqref="L7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205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14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216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23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210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16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222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12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220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20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207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11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214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24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219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18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208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25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212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17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218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8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206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30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215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26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21</v>
      </c>
      <c r="AC22" s="61" t="str" cm="1">
        <f t="array" ref="AC22">IFERROR(_xlfn.IFS($AB22&lt;8,1,$AB22&lt;15,2,$AB22&lt;21,3),"")</f>
        <v/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29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31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213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2.1</v>
      </c>
      <c r="I25" s="123">
        <v>11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0.20000000000000018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9.7435897435897451E-2</v>
      </c>
      <c r="V25" s="13" cm="1">
        <f t="array" ref="V25">Details!$D$9-SUMPRODUCT(TRANSPOSE(Details!$D$4:$D$8),$P25:$T25)-$I25</f>
        <v>869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2300</v>
      </c>
      <c r="AB25" s="63">
        <f>RANK($AA25,$AA$3:$AA$46)+COUNTIF($AA$3:$AA25,AA25)-1</f>
        <v>28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209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19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221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15</v>
      </c>
      <c r="AC28" s="61" cm="1">
        <f t="array" ref="AC28">IFERROR(_xlfn.IFS($AB28&lt;8,1,$AB28&lt;15,2,$AB28&lt;21,3),"")</f>
        <v>3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236</v>
      </c>
      <c r="C29" s="19" t="s">
        <v>53</v>
      </c>
      <c r="D29" s="71" t="s">
        <v>98</v>
      </c>
      <c r="E29" s="63">
        <v>190</v>
      </c>
      <c r="F29" s="125" cm="1">
        <f t="array" ref="F29">IsUpgradable(E29)</f>
        <v>1</v>
      </c>
      <c r="G29" s="127">
        <f t="shared" ref="G29" si="9">INT(H29)</f>
        <v>4</v>
      </c>
      <c r="H29" s="198">
        <v>4</v>
      </c>
      <c r="I29" s="123">
        <v>30</v>
      </c>
      <c r="J29" s="153">
        <v>1</v>
      </c>
      <c r="K29" s="157">
        <v>1</v>
      </c>
      <c r="L29" s="157">
        <v>1</v>
      </c>
      <c r="M29" s="7" t="str">
        <f t="shared" si="7"/>
        <v>Max</v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1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0.48717948717948717</v>
      </c>
      <c r="V29" s="13" cm="1">
        <f t="array" ref="V29">Details!$D$9-SUMPRODUCT(TRANSPOSE(Details!$D$4:$D$8),$P29:$T29)-$I29</f>
        <v>470</v>
      </c>
      <c r="X29" s="13" cm="1">
        <f t="array" ref="X29">LevelUpgradeCost($E29)</f>
        <v>4605720000</v>
      </c>
      <c r="Y29" s="61">
        <f t="shared" ref="Y29" si="10">F29</f>
        <v>1</v>
      </c>
      <c r="AA29" s="110">
        <f t="shared" si="5"/>
        <v>4190</v>
      </c>
      <c r="AB29" s="63">
        <f>RANK($AA29,$AA$3:$AA$46)+COUNTIF($AA$3:$AA29,AA29)-1</f>
        <v>13</v>
      </c>
      <c r="AC29" s="61" cm="1">
        <f t="array" ref="AC29">IFERROR(_xlfn.IFS($AB29&lt;8,1,$AB29&lt;15,2,$AB29&lt;21,3),"")</f>
        <v>2</v>
      </c>
      <c r="AE29" s="63" t="s">
        <v>239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27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217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223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5</v>
      </c>
      <c r="H32" s="198">
        <v>5</v>
      </c>
      <c r="I32" s="123">
        <v>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>Max</v>
      </c>
      <c r="N32" s="19">
        <f t="shared" si="8"/>
        <v>10</v>
      </c>
      <c r="P32" s="9">
        <f>IFERROR(CHOOSE(IF($H32&gt;=Details!$B$4,1,2),Details!$D$4,IF($H32&gt;Details!$B$4-1,IF($H32&lt;1,$H32,MOD($H32,Details!$B$4-1))*10*Details!$C$4,""))/Details!$D$4,0)</f>
        <v>1</v>
      </c>
      <c r="Q32" s="9">
        <f>IFERROR(CHOOSE(IF($H32&gt;=Details!$B$5,1,2),Details!$D$5,IF($H32&gt;Details!$B$5-1,IF($H32&lt;1,Details!$G$4,MOD($H32,Details!$B$5-1))*10*Details!$C$5,""))/Details!$D$5,0)</f>
        <v>1</v>
      </c>
      <c r="R32" s="9">
        <f>IFERROR(CHOOSE(IF($H32&gt;=Details!$B$6,1,2),Details!$D$6,IF($H32&gt;Details!$B$6-1,IF($H32&lt;1,Details!$G$5,MOD($H32,Details!$B$6-1))*10*Details!$C$6,""))/Details!$D$6,0)</f>
        <v>1</v>
      </c>
      <c r="S32" s="9">
        <f>IFERROR(CHOOSE(IF($H32&gt;=Details!$B$7,1,2),Details!$D$7,IF($H32&gt;Details!$B$7-1,IF($H32&lt;1,Details!$G$5,MOD($H32,Details!$B$7-1))*10*Details!$C$7,""))/Details!$D$7,0)</f>
        <v>1</v>
      </c>
      <c r="T32" s="9">
        <f>IFERROR(CHOOSE(IF($H32&gt;=Details!$B$8,1,2),Details!$D$8,IF($H32&gt;Details!$B$8-1,IF($H32&lt;1,Details!$G$5,MOD($H32,Details!$B$8-1))*10*Details!$C$8,""))/Details!$D$8,0)</f>
        <v>1</v>
      </c>
      <c r="U32" s="9" cm="1">
        <f t="array" ref="U32">SUMPRODUCT(TRANSPOSE(Details!$D$4:$D$8),$P32:$T32)/Details!$D$9</f>
        <v>1</v>
      </c>
      <c r="V32" s="13" cm="1">
        <f t="array" ref="V32">Details!$D$9-SUMPRODUCT(TRANSPOSE(Details!$D$4:$D$8),$P32:$T32)-$I32</f>
        <v>0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5140</v>
      </c>
      <c r="AB32" s="63">
        <f>RANK($AA32,$AA$3:$AA$46)+COUNTIF($AA$3:$AA32,AA32)-1</f>
        <v>7</v>
      </c>
      <c r="AC32" s="61" cm="1">
        <f t="array" ref="AC32">IFERROR(_xlfn.IFS($AB32&lt;8,1,$AB32&lt;15,2,$AB32&lt;21,3),"")</f>
        <v>1</v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224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225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264</v>
      </c>
      <c r="C36" s="162" t="s">
        <v>53</v>
      </c>
      <c r="D36" s="152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265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263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/>
      <c r="AG37" s="167"/>
      <c r="AI37" s="170" t="s">
        <v>263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214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22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195</v>
      </c>
      <c r="AJ46" s="70"/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91763373700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204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203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2040</v>
      </c>
      <c r="R58" s="1">
        <f t="shared" ref="R58:R60" si="23">COUNTIFS($C$3:$C$46,"=" &amp; $P58,$E$3:$E$46,"&gt;0")</f>
        <v>9</v>
      </c>
      <c r="S58" s="1">
        <f t="shared" ref="S58:S60" si="24">Q58/R58</f>
        <v>226.66666666666666</v>
      </c>
      <c r="X58"/>
    </row>
    <row r="59" spans="2:24" ht="12" customHeight="1" x14ac:dyDescent="0.25">
      <c r="B59" s="240" t="s">
        <v>196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197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198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57:D81 D3:D53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AJ2" sqref="AJ2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IF(Palmon!AI7=0,"Non",Palmon!AI7)</f>
        <v>Gnashfin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14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IF(Palmon!AI8=0,"Non",Palmon!AI8)</f>
        <v>Obsidrake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23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IF(Palmon!AI9=0,"Non",Palmon!AI9)</f>
        <v>Bunodroid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16</v>
      </c>
      <c r="AB9">
        <f>Palmon!AC10</f>
        <v>3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Wattweiler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12</v>
      </c>
      <c r="AB10">
        <f>Palmon!AC11</f>
        <v>2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Servolt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20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Essaucier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11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Oneirina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Non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24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Anubeast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18</v>
      </c>
      <c r="AB15">
        <f>Palmon!AC16</f>
        <v>3</v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Ampereina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25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Keraunosaur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17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Wildfuror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8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Azurostrigoi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30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Finnabelle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26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Adolphonis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21</v>
      </c>
      <c r="AB21" t="str">
        <f>Palmon!AC22</f>
        <v/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Bufonobi</v>
      </c>
      <c r="AI21" t="str">
        <f>IF(Palmon!AJ22=0,"Non",Palmon!AJ22)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29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Camouflynx</v>
      </c>
      <c r="AI22" t="str">
        <f>IF(Palmon!AJ23=0,"Non",Palmon!AJ23)</f>
        <v>Non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31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IF(Palmon!AI24=0,"Non",Palmon!AI24)</f>
        <v>Silvaurus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2.1</v>
      </c>
      <c r="H24">
        <f>Palmon!I25</f>
        <v>11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0.20000000000000018</v>
      </c>
      <c r="R24">
        <f>Palmon!S25</f>
        <v>0</v>
      </c>
      <c r="S24">
        <f>Palmon!T25</f>
        <v>0</v>
      </c>
      <c r="T24">
        <f>Palmon!U25</f>
        <v>9.7435897435897451E-2</v>
      </c>
      <c r="U24">
        <f>Palmon!V25</f>
        <v>869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2300</v>
      </c>
      <c r="AA24">
        <f>Palmon!AB25</f>
        <v>28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IF(Palmon!AI25=0,"Non",Palmon!AI25)</f>
        <v>Lionarch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19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Sorceray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Non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15</v>
      </c>
      <c r="AB27">
        <f>Palmon!AC28</f>
        <v>3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190</v>
      </c>
      <c r="E28">
        <f>Palmon!F29</f>
        <v>1</v>
      </c>
      <c r="F28">
        <f>Palmon!G29</f>
        <v>4</v>
      </c>
      <c r="G28">
        <f>Palmon!H29</f>
        <v>4</v>
      </c>
      <c r="H28">
        <f>Palmon!I29</f>
        <v>30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>Max</v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1</v>
      </c>
      <c r="S28">
        <f>Palmon!T29</f>
        <v>0</v>
      </c>
      <c r="T28">
        <f>Palmon!U29</f>
        <v>0.48717948717948717</v>
      </c>
      <c r="U28">
        <f>Palmon!V29</f>
        <v>470</v>
      </c>
      <c r="V28">
        <f>Palmon!W29</f>
        <v>0</v>
      </c>
      <c r="W28">
        <f>Palmon!X29</f>
        <v>4605720000</v>
      </c>
      <c r="X28">
        <f>Palmon!Y29</f>
        <v>1</v>
      </c>
      <c r="Y28">
        <f>Palmon!Z29</f>
        <v>0</v>
      </c>
      <c r="Z28">
        <f>Palmon!AA29</f>
        <v>4190</v>
      </c>
      <c r="AA28">
        <f>Palmon!AB29</f>
        <v>13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27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IF(Palmon!AI30=0,"Non",Palmon!AI30)</f>
        <v>Rumbkey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Embergeist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5</v>
      </c>
      <c r="G31">
        <f>Palmon!H32</f>
        <v>5</v>
      </c>
      <c r="H31">
        <f>Palmon!I32</f>
        <v>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>Max</v>
      </c>
      <c r="M31">
        <f>Palmon!N32</f>
        <v>10</v>
      </c>
      <c r="N31">
        <f>Palmon!O32</f>
        <v>0</v>
      </c>
      <c r="O31">
        <f>Palmon!P32</f>
        <v>1</v>
      </c>
      <c r="P31">
        <f>Palmon!Q32</f>
        <v>1</v>
      </c>
      <c r="Q31">
        <f>Palmon!R32</f>
        <v>1</v>
      </c>
      <c r="R31">
        <f>Palmon!S32</f>
        <v>1</v>
      </c>
      <c r="S31">
        <f>Palmon!T32</f>
        <v>1</v>
      </c>
      <c r="T31">
        <f>Palmon!U32</f>
        <v>1</v>
      </c>
      <c r="U31">
        <f>Palmon!V32</f>
        <v>0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5140</v>
      </c>
      <c r="AA31">
        <f>Palmon!AB32</f>
        <v>7</v>
      </c>
      <c r="AB31">
        <f>Palmon!AC32</f>
        <v>1</v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Thundermane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Prismalith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Cryovern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Non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Palmon!AE36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>
        <f>Palmon!AF36</f>
        <v>0</v>
      </c>
      <c r="AF35">
        <f>Palmon!AG36</f>
        <v>0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Palmon!AE37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>
        <f>Palmon!AF37</f>
        <v>0</v>
      </c>
      <c r="AF36">
        <f>Palmon!AG37</f>
        <v>0</v>
      </c>
      <c r="AG36">
        <f>Palmon!AH37</f>
        <v>0</v>
      </c>
      <c r="AH36" t="str">
        <f>IF(Palmon!AI37=0,"Non",Palmon!AI37)</f>
        <v>Dreadmaw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Palmon!AE38</f>
        <v>https://encrypted-tbn0.gstatic.com/images?q=tbn:ANd9GcQCf63iS9oq-SMn3DO74UTS2j_zSrzNVTRMOQ&amp;s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 t="str">
        <f>IF(Palmon!AI38=0,"Non",Palmon!AI38)</f>
        <v>Fleurizard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Non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>
        <f>Palmon!AE45</f>
        <v>0</v>
      </c>
      <c r="AE44" t="str">
        <f>Palmon!AF45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22</v>
      </c>
      <c r="AB45" t="str">
        <f>Palmon!AC46</f>
        <v/>
      </c>
      <c r="AC45">
        <f>Palmon!AD46</f>
        <v>0</v>
      </c>
      <c r="AD45">
        <f>Palmon!AE46</f>
        <v>0</v>
      </c>
      <c r="AE45" t="str">
        <f>Palmon!AF46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Vulpyrean</v>
      </c>
      <c r="AI45" t="str">
        <f>IF(Palmon!AJ46=0,"Non",Palmon!AJ46)</f>
        <v>Non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6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87</v>
      </c>
      <c r="N18" s="33" t="str">
        <v/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31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 t="str">
        <v/>
      </c>
      <c r="G21" s="33">
        <v>470</v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 t="str">
        <v/>
      </c>
      <c r="O28" s="33">
        <v>2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68.999999999999986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5</v>
      </c>
      <c r="O30" s="86">
        <v>6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Thundertooth</v>
      </c>
      <c r="C35" s="32" t="str">
        <v>Electricity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Vulpyrean</v>
      </c>
      <c r="C36" s="32" t="str">
        <v>Fire</v>
      </c>
      <c r="D36" s="47" t="str">
        <v>Attack</v>
      </c>
      <c r="E36" s="39" t="str">
        <v/>
      </c>
      <c r="F36" s="33" t="str">
        <v/>
      </c>
      <c r="G36" s="33" t="str">
        <v/>
      </c>
      <c r="H36" s="33">
        <v>0</v>
      </c>
      <c r="I36" s="33"/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Spookaboo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Hoofrit</v>
      </c>
      <c r="N44" s="78" t="str">
        <v>Blazeal</v>
      </c>
      <c r="O44" s="1"/>
      <c r="P44" s="1" t="str">
        <v>Gnashley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Magmolin</v>
      </c>
      <c r="N48" s="83" t="str">
        <v>Ninjump</v>
      </c>
      <c r="O48" s="1"/>
      <c r="P48" s="1" t="str">
        <v>Thundertooth</v>
      </c>
      <c r="Q48" s="1" t="str">
        <v>Magmolin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26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10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13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23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11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14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19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21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8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24</v>
      </c>
      <c r="L74" s="1" t="str">
        <v>Regalion</v>
      </c>
      <c r="M74" s="1" t="str">
        <v/>
      </c>
      <c r="N74" s="1">
        <v>28</v>
      </c>
      <c r="P74" s="1" t="str">
        <v/>
      </c>
      <c r="Q74" s="1">
        <v>11</v>
      </c>
    </row>
    <row r="75" spans="7:20" s="1" customFormat="1" ht="12" x14ac:dyDescent="0.2">
      <c r="G75" s="1">
        <v>27</v>
      </c>
      <c r="H75" s="1" t="str">
        <v/>
      </c>
      <c r="L75" s="1" t="str">
        <v>Salamantis</v>
      </c>
      <c r="M75" s="1">
        <v>31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15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24</v>
      </c>
      <c r="P77" s="1" t="str">
        <v/>
      </c>
      <c r="Q77" s="1">
        <v>8</v>
      </c>
    </row>
    <row r="78" spans="7:20" s="1" customFormat="1" ht="12" x14ac:dyDescent="0.2">
      <c r="G78" s="1">
        <v>25</v>
      </c>
      <c r="H78" s="1" t="str">
        <v/>
      </c>
      <c r="L78" s="1" t="str">
        <v>Surveilynx</v>
      </c>
      <c r="M78" s="1">
        <v>29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M14" sqref="M14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203</v>
      </c>
      <c r="B1" s="254"/>
      <c r="D1" s="292" t="s">
        <v>240</v>
      </c>
      <c r="E1" s="293"/>
      <c r="F1" s="293"/>
      <c r="H1" s="292" t="s">
        <v>240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257</v>
      </c>
      <c r="AA1" s="254"/>
      <c r="AC1" s="253" t="s">
        <v>262</v>
      </c>
      <c r="AD1" s="254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3">
      <formula>$C2="Fire"</formula>
    </cfRule>
    <cfRule type="expression" dxfId="26" priority="34">
      <formula>$C2="Water"</formula>
    </cfRule>
    <cfRule type="expression" dxfId="25" priority="35">
      <formula>$C2="Electricity"</formula>
    </cfRule>
    <cfRule type="expression" dxfId="24" priority="36">
      <formula>$C2="Wood"</formula>
    </cfRule>
  </conditionalFormatting>
  <conditionalFormatting sqref="E2:E4">
    <cfRule type="expression" dxfId="23" priority="29">
      <formula>$C2="Fire"</formula>
    </cfRule>
    <cfRule type="expression" dxfId="22" priority="30">
      <formula>$C2="Water"</formula>
    </cfRule>
    <cfRule type="expression" dxfId="21" priority="31">
      <formula>$C2="Electricity"</formula>
    </cfRule>
    <cfRule type="expression" dxfId="20" priority="32">
      <formula>$C2="Wood"</formula>
    </cfRule>
  </conditionalFormatting>
  <conditionalFormatting sqref="J2:P4">
    <cfRule type="expression" dxfId="19" priority="1">
      <formula>$C2="Fire"</formula>
    </cfRule>
    <cfRule type="expression" dxfId="18" priority="2">
      <formula>$C2="Water"</formula>
    </cfRule>
    <cfRule type="expression" dxfId="17" priority="3">
      <formula>$C2="Electricity"</formula>
    </cfRule>
    <cfRule type="expression" dxfId="16" priority="4">
      <formula>$C2="Wood"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17">
      <formula>$C2="Fire"</formula>
    </cfRule>
    <cfRule type="expression" dxfId="10" priority="18">
      <formula>$C2="Water"</formula>
    </cfRule>
    <cfRule type="expression" dxfId="9" priority="19">
      <formula>$C2="Electricity"</formula>
    </cfRule>
    <cfRule type="expression" dxfId="8" priority="20">
      <formula>$C2="Wood"</formula>
    </cfRule>
  </conditionalFormatting>
  <conditionalFormatting sqref="AA2">
    <cfRule type="expression" dxfId="7" priority="13">
      <formula>$C2="Fire"</formula>
    </cfRule>
    <cfRule type="expression" dxfId="6" priority="14">
      <formula>$C2="Water"</formula>
    </cfRule>
    <cfRule type="expression" dxfId="5" priority="15">
      <formula>$C2="Electricity"</formula>
    </cfRule>
    <cfRule type="expression" dxfId="4" priority="16">
      <formula>$C2="Wood"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Magmolin,Fire,Defend,240,3,3.1,61,1,1,1,0.2,0,10,5,15,,,0.241025641025641,679,2831420000,1,3340,14,2,https://encrypted-tbn0.gstatic.com/images?q=tbn:ANd9GcRebc6KbOAxblleg_L3rr2K13bt-Yyzq1bAaw&amp;s,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0.117948717948718,856,3390620000,1,2430,23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Statchew,Wood,Defend,230,2,2.2,10,1,1,0.4,0,0,15,5,9,,,0.117948717948718,850,3390620000,1,2430,24,,https://encrypted-tbn0.gstatic.com/images?q=tbn:ANd9GcSC1rp-0lIuUyVvSi8kN_vJnr_Ln4mF4lh4zg&amp;s,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Spookaboo,Fire,Attack,210,3,3.1,10,1,1,1,0.2,0,1,1,1,,,0.241025641025641,730,4161420000,1,3310,15,3,https://encrypted-tbn0.gstatic.com/images?q=tbn:ANd9GcT29K673YTBvt_EofrppvnWB4sgt43DEq1pTw&amp;s,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2026-04-02T13:16:20Z</dcterms:modified>
</cp:coreProperties>
</file>